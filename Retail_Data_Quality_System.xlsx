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 firstSheet="1" activeTab="10"/>
  </bookViews>
  <sheets>
    <sheet name="Dashboard" sheetId="1" r:id="rId1"/>
    <sheet name="Filtered_Dashboard" sheetId="2" r:id="rId2"/>
    <sheet name="Target_vs_Actual" sheetId="3" r:id="rId3"/>
    <sheet name="Quality_Checklist" sheetId="4" r:id="rId4"/>
    <sheet name="Error_Report" sheetId="5" r:id="rId5"/>
    <sheet name="Clean_Data" sheetId="6" r:id="rId6"/>
    <sheet name="Raw_Data" sheetId="7" r:id="rId7"/>
    <sheet name="Master_Data" sheetId="8" r:id="rId8"/>
    <sheet name="Settings" sheetId="9" r:id="rId9"/>
    <sheet name="Lookups" sheetId="10" r:id="rId10"/>
    <sheet name="Data_Validation" sheetId="11" r:id="rId11"/>
  </sheets>
  <definedNames>
    <definedName name="_xlnm._FilterDatabase" localSheetId="7" hidden="1">Master_Data!$A$17:$F$22</definedName>
    <definedName name="_xlnm._FilterDatabase" localSheetId="8" hidden="1">Settings!$A$4:$D$14</definedName>
  </definedNames>
  <calcPr calcId="144525"/>
</workbook>
</file>

<file path=xl/calcChain.xml><?xml version="1.0" encoding="utf-8"?>
<calcChain xmlns="http://schemas.openxmlformats.org/spreadsheetml/2006/main">
  <c r="B26" i="4" l="1"/>
  <c r="B23" i="4"/>
  <c r="B25" i="4" s="1"/>
  <c r="B22" i="4"/>
  <c r="B24" i="4" s="1"/>
  <c r="B21" i="4"/>
  <c r="A9" i="1"/>
  <c r="E9" i="1"/>
  <c r="A5" i="1"/>
  <c r="E5" i="1"/>
  <c r="I5" i="1"/>
  <c r="I9" i="1"/>
  <c r="B14" i="1"/>
  <c r="C14" i="1"/>
  <c r="D14" i="1"/>
  <c r="G14" i="1"/>
  <c r="H14" i="1"/>
  <c r="I14" i="1"/>
  <c r="B15" i="1"/>
  <c r="C15" i="1"/>
  <c r="D15" i="1"/>
  <c r="G15" i="1"/>
  <c r="H15" i="1"/>
  <c r="I15" i="1"/>
  <c r="B16" i="1"/>
  <c r="C16" i="1"/>
  <c r="D16" i="1"/>
  <c r="G16" i="1"/>
  <c r="H16" i="1"/>
  <c r="I16" i="1"/>
  <c r="B17" i="1"/>
  <c r="C17" i="1"/>
  <c r="D17" i="1"/>
  <c r="G17" i="1"/>
  <c r="H17" i="1"/>
  <c r="I17" i="1"/>
  <c r="B18" i="1"/>
  <c r="C18" i="1"/>
  <c r="D18" i="1"/>
  <c r="G18" i="1"/>
  <c r="H18" i="1"/>
  <c r="I18" i="1"/>
  <c r="B19" i="1"/>
  <c r="C19" i="1"/>
  <c r="D19" i="1"/>
  <c r="B20" i="1"/>
  <c r="C20" i="1"/>
  <c r="D20" i="1"/>
  <c r="B21" i="1"/>
  <c r="C21" i="1"/>
  <c r="D21" i="1"/>
  <c r="B22" i="1"/>
  <c r="C22" i="1"/>
  <c r="D22" i="1"/>
  <c r="G22" i="1"/>
  <c r="H22" i="1"/>
  <c r="B23" i="1"/>
  <c r="C23" i="1"/>
  <c r="D23" i="1"/>
  <c r="G23" i="1"/>
  <c r="H23" i="1"/>
  <c r="I23" i="1" s="1"/>
  <c r="B24" i="1"/>
  <c r="C24" i="1"/>
  <c r="D24" i="1"/>
  <c r="G24" i="1"/>
  <c r="H24" i="1"/>
  <c r="B25" i="1"/>
  <c r="C25" i="1"/>
  <c r="D25" i="1"/>
  <c r="A48" i="1"/>
  <c r="E48" i="1"/>
  <c r="I48" i="1"/>
  <c r="A52" i="1"/>
  <c r="E52" i="1"/>
  <c r="I52" i="1"/>
  <c r="I22" i="1" l="1"/>
  <c r="I24" i="1"/>
  <c r="AM301" i="6"/>
  <c r="AK301" i="6"/>
  <c r="AJ301" i="6"/>
  <c r="AI301" i="6"/>
  <c r="AD301" i="6"/>
  <c r="AB301" i="6"/>
  <c r="Y301" i="6"/>
  <c r="X301" i="6"/>
  <c r="P301" i="6"/>
  <c r="O301" i="6"/>
  <c r="N301" i="6"/>
  <c r="M301" i="6"/>
  <c r="L301" i="6"/>
  <c r="AF301" i="6" s="1"/>
  <c r="K301" i="6"/>
  <c r="S301" i="6" s="1"/>
  <c r="J301" i="6"/>
  <c r="I301" i="6"/>
  <c r="H301" i="6"/>
  <c r="G301" i="6"/>
  <c r="F301" i="6"/>
  <c r="E301" i="6"/>
  <c r="AE301" i="6" s="1"/>
  <c r="D301" i="6"/>
  <c r="AG301" i="6" s="1"/>
  <c r="C301" i="6"/>
  <c r="B301" i="6"/>
  <c r="A301" i="6"/>
  <c r="AM300" i="6"/>
  <c r="AI300" i="6"/>
  <c r="AB300" i="6"/>
  <c r="P300" i="6"/>
  <c r="O300" i="6"/>
  <c r="N300" i="6"/>
  <c r="M300" i="6"/>
  <c r="L300" i="6"/>
  <c r="K300" i="6"/>
  <c r="S300" i="6" s="1"/>
  <c r="J300" i="6"/>
  <c r="I300" i="6"/>
  <c r="H300" i="6"/>
  <c r="G300" i="6"/>
  <c r="F300" i="6"/>
  <c r="E300" i="6"/>
  <c r="D300" i="6"/>
  <c r="AG300" i="6" s="1"/>
  <c r="C300" i="6"/>
  <c r="B300" i="6"/>
  <c r="X300" i="6" s="1"/>
  <c r="A300" i="6"/>
  <c r="AK299" i="6"/>
  <c r="AG299" i="6"/>
  <c r="AF299" i="6"/>
  <c r="AE299" i="6"/>
  <c r="S299" i="6"/>
  <c r="P299" i="6"/>
  <c r="O299" i="6"/>
  <c r="N299" i="6"/>
  <c r="AB299" i="6" s="1"/>
  <c r="M299" i="6"/>
  <c r="L299" i="6"/>
  <c r="K299" i="6"/>
  <c r="Q299" i="6" s="1"/>
  <c r="R299" i="6" s="1"/>
  <c r="T299" i="6" s="1"/>
  <c r="J299" i="6"/>
  <c r="I299" i="6"/>
  <c r="H299" i="6"/>
  <c r="G299" i="6"/>
  <c r="F299" i="6"/>
  <c r="E299" i="6"/>
  <c r="AD299" i="6" s="1"/>
  <c r="D299" i="6"/>
  <c r="C299" i="6"/>
  <c r="AJ299" i="6" s="1"/>
  <c r="B299" i="6"/>
  <c r="X299" i="6" s="1"/>
  <c r="A299" i="6"/>
  <c r="AM298" i="6"/>
  <c r="AK298" i="6"/>
  <c r="AJ298" i="6"/>
  <c r="AB298" i="6"/>
  <c r="Y298" i="6"/>
  <c r="X298" i="6"/>
  <c r="P298" i="6"/>
  <c r="O298" i="6"/>
  <c r="N298" i="6"/>
  <c r="M298" i="6"/>
  <c r="L298" i="6"/>
  <c r="K298" i="6"/>
  <c r="S298" i="6" s="1"/>
  <c r="J298" i="6"/>
  <c r="I298" i="6"/>
  <c r="H298" i="6"/>
  <c r="G298" i="6"/>
  <c r="F298" i="6"/>
  <c r="E298" i="6"/>
  <c r="AE298" i="6" s="1"/>
  <c r="D298" i="6"/>
  <c r="AG298" i="6" s="1"/>
  <c r="C298" i="6"/>
  <c r="B298" i="6"/>
  <c r="A298" i="6"/>
  <c r="AI298" i="6" s="1"/>
  <c r="AM297" i="6"/>
  <c r="AI297" i="6"/>
  <c r="AB297" i="6"/>
  <c r="P297" i="6"/>
  <c r="O297" i="6"/>
  <c r="N297" i="6"/>
  <c r="M297" i="6"/>
  <c r="L297" i="6"/>
  <c r="K297" i="6"/>
  <c r="S297" i="6" s="1"/>
  <c r="J297" i="6"/>
  <c r="I297" i="6"/>
  <c r="H297" i="6"/>
  <c r="G297" i="6"/>
  <c r="F297" i="6"/>
  <c r="E297" i="6"/>
  <c r="D297" i="6"/>
  <c r="AG297" i="6" s="1"/>
  <c r="C297" i="6"/>
  <c r="B297" i="6"/>
  <c r="X297" i="6" s="1"/>
  <c r="A297" i="6"/>
  <c r="AG296" i="6"/>
  <c r="AF296" i="6"/>
  <c r="AE296" i="6"/>
  <c r="AD296" i="6"/>
  <c r="Y296" i="6"/>
  <c r="S296" i="6"/>
  <c r="P296" i="6"/>
  <c r="O296" i="6"/>
  <c r="N296" i="6"/>
  <c r="AB296" i="6" s="1"/>
  <c r="M296" i="6"/>
  <c r="L296" i="6"/>
  <c r="K296" i="6"/>
  <c r="Q296" i="6" s="1"/>
  <c r="J296" i="6"/>
  <c r="I296" i="6"/>
  <c r="H296" i="6"/>
  <c r="G296" i="6"/>
  <c r="F296" i="6"/>
  <c r="E296" i="6"/>
  <c r="D296" i="6"/>
  <c r="C296" i="6"/>
  <c r="AJ296" i="6" s="1"/>
  <c r="B296" i="6"/>
  <c r="A296" i="6"/>
  <c r="AM295" i="6"/>
  <c r="AK295" i="6"/>
  <c r="AJ295" i="6"/>
  <c r="AI295" i="6"/>
  <c r="AE295" i="6"/>
  <c r="AB295" i="6"/>
  <c r="Y295" i="6"/>
  <c r="X295" i="6"/>
  <c r="P295" i="6"/>
  <c r="O295" i="6"/>
  <c r="N295" i="6"/>
  <c r="M295" i="6"/>
  <c r="L295" i="6"/>
  <c r="K295" i="6"/>
  <c r="Q295" i="6" s="1"/>
  <c r="R295" i="6" s="1"/>
  <c r="J295" i="6"/>
  <c r="I295" i="6"/>
  <c r="H295" i="6"/>
  <c r="G295" i="6"/>
  <c r="F295" i="6"/>
  <c r="E295" i="6"/>
  <c r="AD295" i="6" s="1"/>
  <c r="D295" i="6"/>
  <c r="AG295" i="6" s="1"/>
  <c r="C295" i="6"/>
  <c r="B295" i="6"/>
  <c r="A295" i="6"/>
  <c r="AM294" i="6"/>
  <c r="AI294" i="6"/>
  <c r="AG294" i="6"/>
  <c r="AB294" i="6"/>
  <c r="P294" i="6"/>
  <c r="O294" i="6"/>
  <c r="N294" i="6"/>
  <c r="M294" i="6"/>
  <c r="L294" i="6"/>
  <c r="K294" i="6"/>
  <c r="S294" i="6" s="1"/>
  <c r="J294" i="6"/>
  <c r="I294" i="6"/>
  <c r="H294" i="6"/>
  <c r="G294" i="6"/>
  <c r="F294" i="6"/>
  <c r="E294" i="6"/>
  <c r="D294" i="6"/>
  <c r="C294" i="6"/>
  <c r="B294" i="6"/>
  <c r="X294" i="6" s="1"/>
  <c r="A294" i="6"/>
  <c r="AM293" i="6"/>
  <c r="AG293" i="6"/>
  <c r="AF293" i="6"/>
  <c r="AE293" i="6"/>
  <c r="AD293" i="6"/>
  <c r="T293" i="6"/>
  <c r="S293" i="6"/>
  <c r="P293" i="6"/>
  <c r="O293" i="6"/>
  <c r="N293" i="6"/>
  <c r="AB293" i="6" s="1"/>
  <c r="M293" i="6"/>
  <c r="L293" i="6"/>
  <c r="K293" i="6"/>
  <c r="Q293" i="6" s="1"/>
  <c r="R293" i="6" s="1"/>
  <c r="J293" i="6"/>
  <c r="I293" i="6"/>
  <c r="H293" i="6"/>
  <c r="G293" i="6"/>
  <c r="F293" i="6"/>
  <c r="E293" i="6"/>
  <c r="D293" i="6"/>
  <c r="C293" i="6"/>
  <c r="AJ293" i="6" s="1"/>
  <c r="B293" i="6"/>
  <c r="X293" i="6" s="1"/>
  <c r="A293" i="6"/>
  <c r="AK292" i="6"/>
  <c r="AJ292" i="6"/>
  <c r="AB292" i="6"/>
  <c r="Y292" i="6"/>
  <c r="X292" i="6"/>
  <c r="P292" i="6"/>
  <c r="O292" i="6"/>
  <c r="N292" i="6"/>
  <c r="M292" i="6"/>
  <c r="L292" i="6"/>
  <c r="AF292" i="6" s="1"/>
  <c r="K292" i="6"/>
  <c r="S292" i="6" s="1"/>
  <c r="J292" i="6"/>
  <c r="I292" i="6"/>
  <c r="H292" i="6"/>
  <c r="G292" i="6"/>
  <c r="F292" i="6"/>
  <c r="E292" i="6"/>
  <c r="D292" i="6"/>
  <c r="AG292" i="6" s="1"/>
  <c r="C292" i="6"/>
  <c r="B292" i="6"/>
  <c r="AM292" i="6" s="1"/>
  <c r="A292" i="6"/>
  <c r="AI292" i="6" s="1"/>
  <c r="AI291" i="6"/>
  <c r="AF291" i="6"/>
  <c r="P291" i="6"/>
  <c r="O291" i="6"/>
  <c r="N291" i="6"/>
  <c r="AB291" i="6" s="1"/>
  <c r="M291" i="6"/>
  <c r="L291" i="6"/>
  <c r="K291" i="6"/>
  <c r="S291" i="6" s="1"/>
  <c r="J291" i="6"/>
  <c r="I291" i="6"/>
  <c r="H291" i="6"/>
  <c r="G291" i="6"/>
  <c r="F291" i="6"/>
  <c r="E291" i="6"/>
  <c r="D291" i="6"/>
  <c r="AG291" i="6" s="1"/>
  <c r="C291" i="6"/>
  <c r="B291" i="6"/>
  <c r="AM291" i="6" s="1"/>
  <c r="A291" i="6"/>
  <c r="AG290" i="6"/>
  <c r="AF290" i="6"/>
  <c r="AE290" i="6"/>
  <c r="AD290" i="6"/>
  <c r="Y290" i="6"/>
  <c r="X290" i="6"/>
  <c r="S290" i="6"/>
  <c r="P290" i="6"/>
  <c r="O290" i="6"/>
  <c r="N290" i="6"/>
  <c r="AB290" i="6" s="1"/>
  <c r="M290" i="6"/>
  <c r="L290" i="6"/>
  <c r="K290" i="6"/>
  <c r="J290" i="6"/>
  <c r="I290" i="6"/>
  <c r="H290" i="6"/>
  <c r="G290" i="6"/>
  <c r="F290" i="6"/>
  <c r="E290" i="6"/>
  <c r="D290" i="6"/>
  <c r="C290" i="6"/>
  <c r="B290" i="6"/>
  <c r="AM290" i="6" s="1"/>
  <c r="A290" i="6"/>
  <c r="AK289" i="6"/>
  <c r="AJ289" i="6"/>
  <c r="AI289" i="6"/>
  <c r="AB289" i="6"/>
  <c r="Y289" i="6"/>
  <c r="X289" i="6"/>
  <c r="P289" i="6"/>
  <c r="O289" i="6"/>
  <c r="N289" i="6"/>
  <c r="M289" i="6"/>
  <c r="L289" i="6"/>
  <c r="AF289" i="6" s="1"/>
  <c r="K289" i="6"/>
  <c r="S289" i="6" s="1"/>
  <c r="J289" i="6"/>
  <c r="I289" i="6"/>
  <c r="H289" i="6"/>
  <c r="G289" i="6"/>
  <c r="F289" i="6"/>
  <c r="E289" i="6"/>
  <c r="D289" i="6"/>
  <c r="AG289" i="6" s="1"/>
  <c r="C289" i="6"/>
  <c r="B289" i="6"/>
  <c r="AM289" i="6" s="1"/>
  <c r="A289" i="6"/>
  <c r="AI288" i="6"/>
  <c r="AF288" i="6"/>
  <c r="P288" i="6"/>
  <c r="O288" i="6"/>
  <c r="N288" i="6"/>
  <c r="AB288" i="6" s="1"/>
  <c r="M288" i="6"/>
  <c r="L288" i="6"/>
  <c r="K288" i="6"/>
  <c r="S288" i="6" s="1"/>
  <c r="J288" i="6"/>
  <c r="I288" i="6"/>
  <c r="H288" i="6"/>
  <c r="G288" i="6"/>
  <c r="F288" i="6"/>
  <c r="E288" i="6"/>
  <c r="D288" i="6"/>
  <c r="AG288" i="6" s="1"/>
  <c r="C288" i="6"/>
  <c r="B288" i="6"/>
  <c r="A288" i="6"/>
  <c r="AG287" i="6"/>
  <c r="AF287" i="6"/>
  <c r="AE287" i="6"/>
  <c r="AD287" i="6"/>
  <c r="Y287" i="6"/>
  <c r="X287" i="6"/>
  <c r="S287" i="6"/>
  <c r="P287" i="6"/>
  <c r="O287" i="6"/>
  <c r="N287" i="6"/>
  <c r="AB287" i="6" s="1"/>
  <c r="M287" i="6"/>
  <c r="L287" i="6"/>
  <c r="K287" i="6"/>
  <c r="J287" i="6"/>
  <c r="I287" i="6"/>
  <c r="H287" i="6"/>
  <c r="G287" i="6"/>
  <c r="F287" i="6"/>
  <c r="E287" i="6"/>
  <c r="D287" i="6"/>
  <c r="C287" i="6"/>
  <c r="B287" i="6"/>
  <c r="AM287" i="6" s="1"/>
  <c r="A287" i="6"/>
  <c r="AK286" i="6"/>
  <c r="AJ286" i="6"/>
  <c r="AI286" i="6"/>
  <c r="AB286" i="6"/>
  <c r="Y286" i="6"/>
  <c r="X286" i="6"/>
  <c r="P286" i="6"/>
  <c r="O286" i="6"/>
  <c r="N286" i="6"/>
  <c r="M286" i="6"/>
  <c r="L286" i="6"/>
  <c r="K286" i="6"/>
  <c r="S286" i="6" s="1"/>
  <c r="J286" i="6"/>
  <c r="I286" i="6"/>
  <c r="H286" i="6"/>
  <c r="G286" i="6"/>
  <c r="F286" i="6"/>
  <c r="E286" i="6"/>
  <c r="D286" i="6"/>
  <c r="AG286" i="6" s="1"/>
  <c r="C286" i="6"/>
  <c r="B286" i="6"/>
  <c r="AM286" i="6" s="1"/>
  <c r="A286" i="6"/>
  <c r="AI285" i="6"/>
  <c r="AF285" i="6"/>
  <c r="P285" i="6"/>
  <c r="O285" i="6"/>
  <c r="N285" i="6"/>
  <c r="AB285" i="6" s="1"/>
  <c r="M285" i="6"/>
  <c r="L285" i="6"/>
  <c r="K285" i="6"/>
  <c r="S285" i="6" s="1"/>
  <c r="J285" i="6"/>
  <c r="I285" i="6"/>
  <c r="H285" i="6"/>
  <c r="G285" i="6"/>
  <c r="F285" i="6"/>
  <c r="E285" i="6"/>
  <c r="D285" i="6"/>
  <c r="AG285" i="6" s="1"/>
  <c r="C285" i="6"/>
  <c r="B285" i="6"/>
  <c r="A285" i="6"/>
  <c r="AG284" i="6"/>
  <c r="AF284" i="6"/>
  <c r="AE284" i="6"/>
  <c r="AD284" i="6"/>
  <c r="Y284" i="6"/>
  <c r="X284" i="6"/>
  <c r="S284" i="6"/>
  <c r="P284" i="6"/>
  <c r="O284" i="6"/>
  <c r="N284" i="6"/>
  <c r="AB284" i="6" s="1"/>
  <c r="M284" i="6"/>
  <c r="L284" i="6"/>
  <c r="K284" i="6"/>
  <c r="J284" i="6"/>
  <c r="I284" i="6"/>
  <c r="H284" i="6"/>
  <c r="G284" i="6"/>
  <c r="F284" i="6"/>
  <c r="E284" i="6"/>
  <c r="D284" i="6"/>
  <c r="C284" i="6"/>
  <c r="AJ284" i="6" s="1"/>
  <c r="B284" i="6"/>
  <c r="AM284" i="6" s="1"/>
  <c r="A284" i="6"/>
  <c r="AK283" i="6"/>
  <c r="AJ283" i="6"/>
  <c r="AI283" i="6"/>
  <c r="AB283" i="6"/>
  <c r="Y283" i="6"/>
  <c r="X283" i="6"/>
  <c r="P283" i="6"/>
  <c r="O283" i="6"/>
  <c r="N283" i="6"/>
  <c r="M283" i="6"/>
  <c r="L283" i="6"/>
  <c r="AF283" i="6" s="1"/>
  <c r="K283" i="6"/>
  <c r="S283" i="6" s="1"/>
  <c r="J283" i="6"/>
  <c r="I283" i="6"/>
  <c r="H283" i="6"/>
  <c r="G283" i="6"/>
  <c r="F283" i="6"/>
  <c r="E283" i="6"/>
  <c r="AE283" i="6" s="1"/>
  <c r="D283" i="6"/>
  <c r="AG283" i="6" s="1"/>
  <c r="C283" i="6"/>
  <c r="B283" i="6"/>
  <c r="AM283" i="6" s="1"/>
  <c r="A283" i="6"/>
  <c r="AI282" i="6"/>
  <c r="AF282" i="6"/>
  <c r="P282" i="6"/>
  <c r="O282" i="6"/>
  <c r="N282" i="6"/>
  <c r="AB282" i="6" s="1"/>
  <c r="M282" i="6"/>
  <c r="L282" i="6"/>
  <c r="K282" i="6"/>
  <c r="S282" i="6" s="1"/>
  <c r="J282" i="6"/>
  <c r="I282" i="6"/>
  <c r="H282" i="6"/>
  <c r="G282" i="6"/>
  <c r="F282" i="6"/>
  <c r="E282" i="6"/>
  <c r="D282" i="6"/>
  <c r="AG282" i="6" s="1"/>
  <c r="C282" i="6"/>
  <c r="B282" i="6"/>
  <c r="AM282" i="6" s="1"/>
  <c r="A282" i="6"/>
  <c r="AM281" i="6"/>
  <c r="AK281" i="6"/>
  <c r="AF281" i="6"/>
  <c r="Y281" i="6"/>
  <c r="X281" i="6"/>
  <c r="P281" i="6"/>
  <c r="O281" i="6"/>
  <c r="N281" i="6"/>
  <c r="AB281" i="6" s="1"/>
  <c r="M281" i="6"/>
  <c r="S281" i="6" s="1"/>
  <c r="L281" i="6"/>
  <c r="K281" i="6"/>
  <c r="Q281" i="6" s="1"/>
  <c r="R281" i="6" s="1"/>
  <c r="J281" i="6"/>
  <c r="I281" i="6"/>
  <c r="H281" i="6"/>
  <c r="G281" i="6"/>
  <c r="F281" i="6"/>
  <c r="E281" i="6"/>
  <c r="D281" i="6"/>
  <c r="AG281" i="6" s="1"/>
  <c r="C281" i="6"/>
  <c r="AJ281" i="6" s="1"/>
  <c r="B281" i="6"/>
  <c r="A281" i="6"/>
  <c r="AI280" i="6"/>
  <c r="AG280" i="6"/>
  <c r="P280" i="6"/>
  <c r="O280" i="6"/>
  <c r="N280" i="6"/>
  <c r="AB280" i="6" s="1"/>
  <c r="M280" i="6"/>
  <c r="L280" i="6"/>
  <c r="K280" i="6"/>
  <c r="S280" i="6" s="1"/>
  <c r="J280" i="6"/>
  <c r="I280" i="6"/>
  <c r="H280" i="6"/>
  <c r="G280" i="6"/>
  <c r="F280" i="6"/>
  <c r="E280" i="6"/>
  <c r="D280" i="6"/>
  <c r="C280" i="6"/>
  <c r="B280" i="6"/>
  <c r="A280" i="6"/>
  <c r="AM279" i="6"/>
  <c r="AG279" i="6"/>
  <c r="AE279" i="6"/>
  <c r="AD279" i="6"/>
  <c r="Y279" i="6"/>
  <c r="X279" i="6"/>
  <c r="S279" i="6"/>
  <c r="P279" i="6"/>
  <c r="O279" i="6"/>
  <c r="N279" i="6"/>
  <c r="AB279" i="6" s="1"/>
  <c r="M279" i="6"/>
  <c r="L279" i="6"/>
  <c r="AF279" i="6" s="1"/>
  <c r="K279" i="6"/>
  <c r="J279" i="6"/>
  <c r="I279" i="6"/>
  <c r="H279" i="6"/>
  <c r="G279" i="6"/>
  <c r="F279" i="6"/>
  <c r="E279" i="6"/>
  <c r="D279" i="6"/>
  <c r="C279" i="6"/>
  <c r="AJ279" i="6" s="1"/>
  <c r="B279" i="6"/>
  <c r="A279" i="6"/>
  <c r="AM278" i="6"/>
  <c r="AK278" i="6"/>
  <c r="AI278" i="6"/>
  <c r="AB278" i="6"/>
  <c r="Y278" i="6"/>
  <c r="X278" i="6"/>
  <c r="P278" i="6"/>
  <c r="O278" i="6"/>
  <c r="N278" i="6"/>
  <c r="M278" i="6"/>
  <c r="L278" i="6"/>
  <c r="K278" i="6"/>
  <c r="Q278" i="6" s="1"/>
  <c r="R278" i="6" s="1"/>
  <c r="J278" i="6"/>
  <c r="I278" i="6"/>
  <c r="H278" i="6"/>
  <c r="G278" i="6"/>
  <c r="F278" i="6"/>
  <c r="E278" i="6"/>
  <c r="D278" i="6"/>
  <c r="C278" i="6"/>
  <c r="AJ278" i="6" s="1"/>
  <c r="B278" i="6"/>
  <c r="A278" i="6"/>
  <c r="AI277" i="6"/>
  <c r="AG277" i="6"/>
  <c r="AF277" i="6"/>
  <c r="P277" i="6"/>
  <c r="O277" i="6"/>
  <c r="N277" i="6"/>
  <c r="AB277" i="6" s="1"/>
  <c r="M277" i="6"/>
  <c r="L277" i="6"/>
  <c r="K277" i="6"/>
  <c r="S277" i="6" s="1"/>
  <c r="J277" i="6"/>
  <c r="I277" i="6"/>
  <c r="H277" i="6"/>
  <c r="G277" i="6"/>
  <c r="F277" i="6"/>
  <c r="E277" i="6"/>
  <c r="D277" i="6"/>
  <c r="C277" i="6"/>
  <c r="B277" i="6"/>
  <c r="A277" i="6"/>
  <c r="AM276" i="6"/>
  <c r="AJ276" i="6"/>
  <c r="AG276" i="6"/>
  <c r="AE276" i="6"/>
  <c r="AD276" i="6"/>
  <c r="Y276" i="6"/>
  <c r="X276" i="6"/>
  <c r="P276" i="6"/>
  <c r="O276" i="6"/>
  <c r="N276" i="6"/>
  <c r="AB276" i="6" s="1"/>
  <c r="M276" i="6"/>
  <c r="S276" i="6" s="1"/>
  <c r="L276" i="6"/>
  <c r="AF276" i="6" s="1"/>
  <c r="K276" i="6"/>
  <c r="J276" i="6"/>
  <c r="I276" i="6"/>
  <c r="H276" i="6"/>
  <c r="G276" i="6"/>
  <c r="F276" i="6"/>
  <c r="E276" i="6"/>
  <c r="D276" i="6"/>
  <c r="C276" i="6"/>
  <c r="AK276" i="6" s="1"/>
  <c r="B276" i="6"/>
  <c r="A276" i="6"/>
  <c r="AM275" i="6"/>
  <c r="AE275" i="6"/>
  <c r="AB275" i="6"/>
  <c r="Y275" i="6"/>
  <c r="X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AD275" i="6" s="1"/>
  <c r="D275" i="6"/>
  <c r="AG275" i="6" s="1"/>
  <c r="C275" i="6"/>
  <c r="AJ275" i="6" s="1"/>
  <c r="B275" i="6"/>
  <c r="A275" i="6"/>
  <c r="AI275" i="6" s="1"/>
  <c r="AI274" i="6"/>
  <c r="AB274" i="6"/>
  <c r="Y274" i="6"/>
  <c r="P274" i="6"/>
  <c r="O274" i="6"/>
  <c r="N274" i="6"/>
  <c r="M274" i="6"/>
  <c r="L274" i="6"/>
  <c r="K274" i="6"/>
  <c r="S274" i="6" s="1"/>
  <c r="J274" i="6"/>
  <c r="I274" i="6"/>
  <c r="H274" i="6"/>
  <c r="G274" i="6"/>
  <c r="F274" i="6"/>
  <c r="E274" i="6"/>
  <c r="AD274" i="6" s="1"/>
  <c r="D274" i="6"/>
  <c r="AG274" i="6" s="1"/>
  <c r="C274" i="6"/>
  <c r="AJ274" i="6" s="1"/>
  <c r="B274" i="6"/>
  <c r="X274" i="6" s="1"/>
  <c r="A274" i="6"/>
  <c r="AK273" i="6"/>
  <c r="AJ273" i="6"/>
  <c r="AG273" i="6"/>
  <c r="P273" i="6"/>
  <c r="O273" i="6"/>
  <c r="N273" i="6"/>
  <c r="AB273" i="6" s="1"/>
  <c r="M273" i="6"/>
  <c r="L273" i="6"/>
  <c r="K273" i="6"/>
  <c r="S273" i="6" s="1"/>
  <c r="J273" i="6"/>
  <c r="I273" i="6"/>
  <c r="H273" i="6"/>
  <c r="G273" i="6"/>
  <c r="F273" i="6"/>
  <c r="E273" i="6"/>
  <c r="AD273" i="6" s="1"/>
  <c r="D273" i="6"/>
  <c r="C273" i="6"/>
  <c r="B273" i="6"/>
  <c r="X273" i="6" s="1"/>
  <c r="A273" i="6"/>
  <c r="AI273" i="6" s="1"/>
  <c r="AM272" i="6"/>
  <c r="AK272" i="6"/>
  <c r="AE272" i="6"/>
  <c r="AB272" i="6"/>
  <c r="Y272" i="6"/>
  <c r="X272" i="6"/>
  <c r="P272" i="6"/>
  <c r="O272" i="6"/>
  <c r="N272" i="6"/>
  <c r="M272" i="6"/>
  <c r="L272" i="6"/>
  <c r="K272" i="6"/>
  <c r="Q272" i="6" s="1"/>
  <c r="R272" i="6" s="1"/>
  <c r="J272" i="6"/>
  <c r="I272" i="6"/>
  <c r="H272" i="6"/>
  <c r="G272" i="6"/>
  <c r="F272" i="6"/>
  <c r="E272" i="6"/>
  <c r="AD272" i="6" s="1"/>
  <c r="D272" i="6"/>
  <c r="AG272" i="6" s="1"/>
  <c r="C272" i="6"/>
  <c r="AJ272" i="6" s="1"/>
  <c r="B272" i="6"/>
  <c r="A272" i="6"/>
  <c r="AK271" i="6"/>
  <c r="AB271" i="6"/>
  <c r="Y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AD271" i="6" s="1"/>
  <c r="D271" i="6"/>
  <c r="AG271" i="6" s="1"/>
  <c r="C271" i="6"/>
  <c r="AJ271" i="6" s="1"/>
  <c r="B271" i="6"/>
  <c r="X271" i="6" s="1"/>
  <c r="A271" i="6"/>
  <c r="AI271" i="6" s="1"/>
  <c r="AM270" i="6"/>
  <c r="AK270" i="6"/>
  <c r="AG270" i="6"/>
  <c r="AD270" i="6"/>
  <c r="Y270" i="6"/>
  <c r="X270" i="6"/>
  <c r="P270" i="6"/>
  <c r="O270" i="6"/>
  <c r="N270" i="6"/>
  <c r="AB270" i="6" s="1"/>
  <c r="M270" i="6"/>
  <c r="S270" i="6" s="1"/>
  <c r="L270" i="6"/>
  <c r="AF270" i="6" s="1"/>
  <c r="K270" i="6"/>
  <c r="Q270" i="6" s="1"/>
  <c r="R270" i="6" s="1"/>
  <c r="J270" i="6"/>
  <c r="I270" i="6"/>
  <c r="H270" i="6"/>
  <c r="G270" i="6"/>
  <c r="F270" i="6"/>
  <c r="E270" i="6"/>
  <c r="AE270" i="6" s="1"/>
  <c r="D270" i="6"/>
  <c r="C270" i="6"/>
  <c r="AJ270" i="6" s="1"/>
  <c r="B270" i="6"/>
  <c r="A270" i="6"/>
  <c r="AI270" i="6" s="1"/>
  <c r="AM269" i="6"/>
  <c r="AK269" i="6"/>
  <c r="AG269" i="6"/>
  <c r="AD269" i="6"/>
  <c r="AB269" i="6"/>
  <c r="Y269" i="6"/>
  <c r="X269" i="6"/>
  <c r="P269" i="6"/>
  <c r="O269" i="6"/>
  <c r="N269" i="6"/>
  <c r="M269" i="6"/>
  <c r="L269" i="6"/>
  <c r="AF269" i="6" s="1"/>
  <c r="K269" i="6"/>
  <c r="S269" i="6" s="1"/>
  <c r="J269" i="6"/>
  <c r="I269" i="6"/>
  <c r="H269" i="6"/>
  <c r="G269" i="6"/>
  <c r="F269" i="6"/>
  <c r="E269" i="6"/>
  <c r="AE269" i="6" s="1"/>
  <c r="D269" i="6"/>
  <c r="C269" i="6"/>
  <c r="AJ269" i="6" s="1"/>
  <c r="B269" i="6"/>
  <c r="A269" i="6"/>
  <c r="AM268" i="6"/>
  <c r="AG268" i="6"/>
  <c r="AE268" i="6"/>
  <c r="Y268" i="6"/>
  <c r="S268" i="6"/>
  <c r="P268" i="6"/>
  <c r="O268" i="6"/>
  <c r="N268" i="6"/>
  <c r="AB268" i="6" s="1"/>
  <c r="M268" i="6"/>
  <c r="L268" i="6"/>
  <c r="K268" i="6"/>
  <c r="Q268" i="6" s="1"/>
  <c r="R268" i="6" s="1"/>
  <c r="J268" i="6"/>
  <c r="I268" i="6"/>
  <c r="H268" i="6"/>
  <c r="G268" i="6"/>
  <c r="F268" i="6"/>
  <c r="E268" i="6"/>
  <c r="AD268" i="6" s="1"/>
  <c r="D268" i="6"/>
  <c r="C268" i="6"/>
  <c r="AJ268" i="6" s="1"/>
  <c r="B268" i="6"/>
  <c r="X268" i="6" s="1"/>
  <c r="A268" i="6"/>
  <c r="AM267" i="6"/>
  <c r="AK267" i="6"/>
  <c r="AG267" i="6"/>
  <c r="AD267" i="6"/>
  <c r="Y267" i="6"/>
  <c r="X267" i="6"/>
  <c r="P267" i="6"/>
  <c r="O267" i="6"/>
  <c r="N267" i="6"/>
  <c r="AB267" i="6" s="1"/>
  <c r="M267" i="6"/>
  <c r="L267" i="6"/>
  <c r="AF267" i="6" s="1"/>
  <c r="K267" i="6"/>
  <c r="S267" i="6" s="1"/>
  <c r="J267" i="6"/>
  <c r="I267" i="6"/>
  <c r="H267" i="6"/>
  <c r="G267" i="6"/>
  <c r="F267" i="6"/>
  <c r="E267" i="6"/>
  <c r="AE267" i="6" s="1"/>
  <c r="D267" i="6"/>
  <c r="C267" i="6"/>
  <c r="AJ267" i="6" s="1"/>
  <c r="B267" i="6"/>
  <c r="A267" i="6"/>
  <c r="AI267" i="6" s="1"/>
  <c r="AM266" i="6"/>
  <c r="AK266" i="6"/>
  <c r="AG266" i="6"/>
  <c r="AD266" i="6"/>
  <c r="AB266" i="6"/>
  <c r="Y266" i="6"/>
  <c r="X266" i="6"/>
  <c r="P266" i="6"/>
  <c r="O266" i="6"/>
  <c r="N266" i="6"/>
  <c r="M266" i="6"/>
  <c r="L266" i="6"/>
  <c r="AF266" i="6" s="1"/>
  <c r="K266" i="6"/>
  <c r="S266" i="6" s="1"/>
  <c r="J266" i="6"/>
  <c r="I266" i="6"/>
  <c r="H266" i="6"/>
  <c r="G266" i="6"/>
  <c r="F266" i="6"/>
  <c r="E266" i="6"/>
  <c r="AE266" i="6" s="1"/>
  <c r="D266" i="6"/>
  <c r="C266" i="6"/>
  <c r="AJ266" i="6" s="1"/>
  <c r="B266" i="6"/>
  <c r="A266" i="6"/>
  <c r="AM265" i="6"/>
  <c r="AG265" i="6"/>
  <c r="AE265" i="6"/>
  <c r="Z265" i="6"/>
  <c r="Y265" i="6"/>
  <c r="S265" i="6"/>
  <c r="P265" i="6"/>
  <c r="O265" i="6"/>
  <c r="N265" i="6"/>
  <c r="AB265" i="6" s="1"/>
  <c r="M265" i="6"/>
  <c r="L265" i="6"/>
  <c r="K265" i="6"/>
  <c r="Q265" i="6" s="1"/>
  <c r="R265" i="6" s="1"/>
  <c r="J265" i="6"/>
  <c r="I265" i="6"/>
  <c r="H265" i="6"/>
  <c r="G265" i="6"/>
  <c r="F265" i="6"/>
  <c r="E265" i="6"/>
  <c r="AD265" i="6" s="1"/>
  <c r="D265" i="6"/>
  <c r="C265" i="6"/>
  <c r="AJ265" i="6" s="1"/>
  <c r="B265" i="6"/>
  <c r="X265" i="6" s="1"/>
  <c r="A265" i="6"/>
  <c r="AM264" i="6"/>
  <c r="AK264" i="6"/>
  <c r="AG264" i="6"/>
  <c r="AF264" i="6"/>
  <c r="AD264" i="6"/>
  <c r="Y264" i="6"/>
  <c r="X264" i="6"/>
  <c r="P264" i="6"/>
  <c r="O264" i="6"/>
  <c r="N264" i="6"/>
  <c r="AB264" i="6" s="1"/>
  <c r="M264" i="6"/>
  <c r="L264" i="6"/>
  <c r="K264" i="6"/>
  <c r="S264" i="6" s="1"/>
  <c r="J264" i="6"/>
  <c r="I264" i="6"/>
  <c r="H264" i="6"/>
  <c r="G264" i="6"/>
  <c r="F264" i="6"/>
  <c r="E264" i="6"/>
  <c r="AE264" i="6" s="1"/>
  <c r="D264" i="6"/>
  <c r="C264" i="6"/>
  <c r="AJ264" i="6" s="1"/>
  <c r="B264" i="6"/>
  <c r="A264" i="6"/>
  <c r="AI264" i="6" s="1"/>
  <c r="AM263" i="6"/>
  <c r="AK263" i="6"/>
  <c r="AD263" i="6"/>
  <c r="AB263" i="6"/>
  <c r="Y263" i="6"/>
  <c r="X263" i="6"/>
  <c r="P263" i="6"/>
  <c r="O263" i="6"/>
  <c r="N263" i="6"/>
  <c r="M263" i="6"/>
  <c r="L263" i="6"/>
  <c r="AF263" i="6" s="1"/>
  <c r="K263" i="6"/>
  <c r="S263" i="6" s="1"/>
  <c r="J263" i="6"/>
  <c r="I263" i="6"/>
  <c r="H263" i="6"/>
  <c r="G263" i="6"/>
  <c r="F263" i="6"/>
  <c r="E263" i="6"/>
  <c r="AE263" i="6" s="1"/>
  <c r="D263" i="6"/>
  <c r="C263" i="6"/>
  <c r="AJ263" i="6" s="1"/>
  <c r="B263" i="6"/>
  <c r="A263" i="6"/>
  <c r="AM262" i="6"/>
  <c r="AE262" i="6"/>
  <c r="Y262" i="6"/>
  <c r="S262" i="6"/>
  <c r="P262" i="6"/>
  <c r="O262" i="6"/>
  <c r="N262" i="6"/>
  <c r="AB262" i="6" s="1"/>
  <c r="M262" i="6"/>
  <c r="L262" i="6"/>
  <c r="K262" i="6"/>
  <c r="Q262" i="6" s="1"/>
  <c r="R262" i="6" s="1"/>
  <c r="J262" i="6"/>
  <c r="I262" i="6"/>
  <c r="H262" i="6"/>
  <c r="G262" i="6"/>
  <c r="F262" i="6"/>
  <c r="E262" i="6"/>
  <c r="AD262" i="6" s="1"/>
  <c r="D262" i="6"/>
  <c r="C262" i="6"/>
  <c r="AJ262" i="6" s="1"/>
  <c r="B262" i="6"/>
  <c r="X262" i="6" s="1"/>
  <c r="A262" i="6"/>
  <c r="AM261" i="6"/>
  <c r="AK261" i="6"/>
  <c r="AG261" i="6"/>
  <c r="AD261" i="6"/>
  <c r="Y261" i="6"/>
  <c r="X261" i="6"/>
  <c r="P261" i="6"/>
  <c r="O261" i="6"/>
  <c r="N261" i="6"/>
  <c r="AB261" i="6" s="1"/>
  <c r="M261" i="6"/>
  <c r="L261" i="6"/>
  <c r="AF261" i="6" s="1"/>
  <c r="K261" i="6"/>
  <c r="S261" i="6" s="1"/>
  <c r="J261" i="6"/>
  <c r="I261" i="6"/>
  <c r="H261" i="6"/>
  <c r="G261" i="6"/>
  <c r="F261" i="6"/>
  <c r="E261" i="6"/>
  <c r="AE261" i="6" s="1"/>
  <c r="D261" i="6"/>
  <c r="C261" i="6"/>
  <c r="AJ261" i="6" s="1"/>
  <c r="B261" i="6"/>
  <c r="A261" i="6"/>
  <c r="AI261" i="6" s="1"/>
  <c r="AM260" i="6"/>
  <c r="AK260" i="6"/>
  <c r="AD260" i="6"/>
  <c r="AB260" i="6"/>
  <c r="Y260" i="6"/>
  <c r="X260" i="6"/>
  <c r="P260" i="6"/>
  <c r="O260" i="6"/>
  <c r="N260" i="6"/>
  <c r="M260" i="6"/>
  <c r="L260" i="6"/>
  <c r="AF260" i="6" s="1"/>
  <c r="K260" i="6"/>
  <c r="S260" i="6" s="1"/>
  <c r="J260" i="6"/>
  <c r="I260" i="6"/>
  <c r="H260" i="6"/>
  <c r="G260" i="6"/>
  <c r="F260" i="6"/>
  <c r="E260" i="6"/>
  <c r="AE260" i="6" s="1"/>
  <c r="D260" i="6"/>
  <c r="AG260" i="6" s="1"/>
  <c r="C260" i="6"/>
  <c r="AJ260" i="6" s="1"/>
  <c r="B260" i="6"/>
  <c r="A260" i="6"/>
  <c r="AM259" i="6"/>
  <c r="AE259" i="6"/>
  <c r="Z259" i="6"/>
  <c r="Y259" i="6"/>
  <c r="S259" i="6"/>
  <c r="P259" i="6"/>
  <c r="O259" i="6"/>
  <c r="N259" i="6"/>
  <c r="AB259" i="6" s="1"/>
  <c r="M259" i="6"/>
  <c r="L259" i="6"/>
  <c r="K259" i="6"/>
  <c r="Q259" i="6" s="1"/>
  <c r="R259" i="6" s="1"/>
  <c r="J259" i="6"/>
  <c r="I259" i="6"/>
  <c r="H259" i="6"/>
  <c r="G259" i="6"/>
  <c r="F259" i="6"/>
  <c r="E259" i="6"/>
  <c r="AD259" i="6" s="1"/>
  <c r="D259" i="6"/>
  <c r="C259" i="6"/>
  <c r="AJ259" i="6" s="1"/>
  <c r="B259" i="6"/>
  <c r="X259" i="6" s="1"/>
  <c r="A259" i="6"/>
  <c r="AM258" i="6"/>
  <c r="AK258" i="6"/>
  <c r="AG258" i="6"/>
  <c r="AF258" i="6"/>
  <c r="AD258" i="6"/>
  <c r="Y258" i="6"/>
  <c r="X258" i="6"/>
  <c r="P258" i="6"/>
  <c r="O258" i="6"/>
  <c r="N258" i="6"/>
  <c r="AB258" i="6" s="1"/>
  <c r="M258" i="6"/>
  <c r="L258" i="6"/>
  <c r="K258" i="6"/>
  <c r="S258" i="6" s="1"/>
  <c r="J258" i="6"/>
  <c r="I258" i="6"/>
  <c r="H258" i="6"/>
  <c r="G258" i="6"/>
  <c r="F258" i="6"/>
  <c r="E258" i="6"/>
  <c r="AE258" i="6" s="1"/>
  <c r="D258" i="6"/>
  <c r="C258" i="6"/>
  <c r="AJ258" i="6" s="1"/>
  <c r="B258" i="6"/>
  <c r="A258" i="6"/>
  <c r="AI258" i="6" s="1"/>
  <c r="AM257" i="6"/>
  <c r="AK257" i="6"/>
  <c r="AG257" i="6"/>
  <c r="AB257" i="6"/>
  <c r="Y257" i="6"/>
  <c r="X257" i="6"/>
  <c r="P257" i="6"/>
  <c r="O257" i="6"/>
  <c r="N257" i="6"/>
  <c r="M257" i="6"/>
  <c r="L257" i="6"/>
  <c r="AF257" i="6" s="1"/>
  <c r="K257" i="6"/>
  <c r="S257" i="6" s="1"/>
  <c r="J257" i="6"/>
  <c r="I257" i="6"/>
  <c r="H257" i="6"/>
  <c r="G257" i="6"/>
  <c r="F257" i="6"/>
  <c r="E257" i="6"/>
  <c r="AE257" i="6" s="1"/>
  <c r="D257" i="6"/>
  <c r="C257" i="6"/>
  <c r="AJ257" i="6" s="1"/>
  <c r="B257" i="6"/>
  <c r="A257" i="6"/>
  <c r="AM256" i="6"/>
  <c r="AE256" i="6"/>
  <c r="Y256" i="6"/>
  <c r="P256" i="6"/>
  <c r="O256" i="6"/>
  <c r="N256" i="6"/>
  <c r="AB256" i="6" s="1"/>
  <c r="M256" i="6"/>
  <c r="L256" i="6"/>
  <c r="K256" i="6"/>
  <c r="S256" i="6" s="1"/>
  <c r="J256" i="6"/>
  <c r="I256" i="6"/>
  <c r="H256" i="6"/>
  <c r="G256" i="6"/>
  <c r="F256" i="6"/>
  <c r="E256" i="6"/>
  <c r="AD256" i="6" s="1"/>
  <c r="D256" i="6"/>
  <c r="C256" i="6"/>
  <c r="AJ256" i="6" s="1"/>
  <c r="B256" i="6"/>
  <c r="X256" i="6" s="1"/>
  <c r="A256" i="6"/>
  <c r="AM255" i="6"/>
  <c r="AK255" i="6"/>
  <c r="AG255" i="6"/>
  <c r="AD255" i="6"/>
  <c r="Y255" i="6"/>
  <c r="X255" i="6"/>
  <c r="P255" i="6"/>
  <c r="O255" i="6"/>
  <c r="N255" i="6"/>
  <c r="AB255" i="6" s="1"/>
  <c r="M255" i="6"/>
  <c r="L255" i="6"/>
  <c r="AF255" i="6" s="1"/>
  <c r="K255" i="6"/>
  <c r="S255" i="6" s="1"/>
  <c r="J255" i="6"/>
  <c r="I255" i="6"/>
  <c r="H255" i="6"/>
  <c r="G255" i="6"/>
  <c r="F255" i="6"/>
  <c r="E255" i="6"/>
  <c r="AE255" i="6" s="1"/>
  <c r="D255" i="6"/>
  <c r="C255" i="6"/>
  <c r="AJ255" i="6" s="1"/>
  <c r="B255" i="6"/>
  <c r="A255" i="6"/>
  <c r="AI255" i="6" s="1"/>
  <c r="AM254" i="6"/>
  <c r="AK254" i="6"/>
  <c r="AG254" i="6"/>
  <c r="AE254" i="6"/>
  <c r="AB254" i="6"/>
  <c r="Y254" i="6"/>
  <c r="X254" i="6"/>
  <c r="P254" i="6"/>
  <c r="O254" i="6"/>
  <c r="N254" i="6"/>
  <c r="M254" i="6"/>
  <c r="L254" i="6"/>
  <c r="AF254" i="6" s="1"/>
  <c r="K254" i="6"/>
  <c r="S254" i="6" s="1"/>
  <c r="J254" i="6"/>
  <c r="I254" i="6"/>
  <c r="H254" i="6"/>
  <c r="G254" i="6"/>
  <c r="F254" i="6"/>
  <c r="E254" i="6"/>
  <c r="D254" i="6"/>
  <c r="C254" i="6"/>
  <c r="AJ254" i="6" s="1"/>
  <c r="B254" i="6"/>
  <c r="A254" i="6"/>
  <c r="AM253" i="6"/>
  <c r="Y253" i="6"/>
  <c r="P253" i="6"/>
  <c r="O253" i="6"/>
  <c r="N253" i="6"/>
  <c r="AB253" i="6" s="1"/>
  <c r="M253" i="6"/>
  <c r="L253" i="6"/>
  <c r="K253" i="6"/>
  <c r="S253" i="6" s="1"/>
  <c r="J253" i="6"/>
  <c r="I253" i="6"/>
  <c r="H253" i="6"/>
  <c r="G253" i="6"/>
  <c r="F253" i="6"/>
  <c r="E253" i="6"/>
  <c r="AD253" i="6" s="1"/>
  <c r="D253" i="6"/>
  <c r="AG253" i="6" s="1"/>
  <c r="C253" i="6"/>
  <c r="AJ253" i="6" s="1"/>
  <c r="B253" i="6"/>
  <c r="X253" i="6" s="1"/>
  <c r="A253" i="6"/>
  <c r="AM252" i="6"/>
  <c r="AK252" i="6"/>
  <c r="AG252" i="6"/>
  <c r="AD252" i="6"/>
  <c r="Y252" i="6"/>
  <c r="X252" i="6"/>
  <c r="P252" i="6"/>
  <c r="O252" i="6"/>
  <c r="N252" i="6"/>
  <c r="AB252" i="6" s="1"/>
  <c r="M252" i="6"/>
  <c r="L252" i="6"/>
  <c r="AF252" i="6" s="1"/>
  <c r="K252" i="6"/>
  <c r="S252" i="6" s="1"/>
  <c r="J252" i="6"/>
  <c r="I252" i="6"/>
  <c r="H252" i="6"/>
  <c r="G252" i="6"/>
  <c r="F252" i="6"/>
  <c r="E252" i="6"/>
  <c r="AE252" i="6" s="1"/>
  <c r="D252" i="6"/>
  <c r="C252" i="6"/>
  <c r="AJ252" i="6" s="1"/>
  <c r="B252" i="6"/>
  <c r="A252" i="6"/>
  <c r="AI252" i="6" s="1"/>
  <c r="AM251" i="6"/>
  <c r="AK251" i="6"/>
  <c r="AB251" i="6"/>
  <c r="Y251" i="6"/>
  <c r="X251" i="6"/>
  <c r="P251" i="6"/>
  <c r="O251" i="6"/>
  <c r="N251" i="6"/>
  <c r="M251" i="6"/>
  <c r="L251" i="6"/>
  <c r="K251" i="6"/>
  <c r="S251" i="6" s="1"/>
  <c r="J251" i="6"/>
  <c r="I251" i="6"/>
  <c r="H251" i="6"/>
  <c r="G251" i="6"/>
  <c r="F251" i="6"/>
  <c r="E251" i="6"/>
  <c r="AE251" i="6" s="1"/>
  <c r="D251" i="6"/>
  <c r="AG251" i="6" s="1"/>
  <c r="C251" i="6"/>
  <c r="AJ251" i="6" s="1"/>
  <c r="B251" i="6"/>
  <c r="A251" i="6"/>
  <c r="AM250" i="6"/>
  <c r="AE250" i="6"/>
  <c r="Y250" i="6"/>
  <c r="P250" i="6"/>
  <c r="O250" i="6"/>
  <c r="N250" i="6"/>
  <c r="AB250" i="6" s="1"/>
  <c r="M250" i="6"/>
  <c r="L250" i="6"/>
  <c r="K250" i="6"/>
  <c r="Q250" i="6" s="1"/>
  <c r="R250" i="6" s="1"/>
  <c r="J250" i="6"/>
  <c r="I250" i="6"/>
  <c r="H250" i="6"/>
  <c r="G250" i="6"/>
  <c r="F250" i="6"/>
  <c r="E250" i="6"/>
  <c r="AD250" i="6" s="1"/>
  <c r="D250" i="6"/>
  <c r="AG250" i="6" s="1"/>
  <c r="C250" i="6"/>
  <c r="AJ250" i="6" s="1"/>
  <c r="B250" i="6"/>
  <c r="X250" i="6" s="1"/>
  <c r="A250" i="6"/>
  <c r="AM249" i="6"/>
  <c r="AK249" i="6"/>
  <c r="AG249" i="6"/>
  <c r="AF249" i="6"/>
  <c r="AE249" i="6"/>
  <c r="Y249" i="6"/>
  <c r="X249" i="6"/>
  <c r="P249" i="6"/>
  <c r="O249" i="6"/>
  <c r="N249" i="6"/>
  <c r="AB249" i="6" s="1"/>
  <c r="M249" i="6"/>
  <c r="S249" i="6" s="1"/>
  <c r="L249" i="6"/>
  <c r="K249" i="6"/>
  <c r="Q249" i="6" s="1"/>
  <c r="R249" i="6" s="1"/>
  <c r="J249" i="6"/>
  <c r="I249" i="6"/>
  <c r="H249" i="6"/>
  <c r="G249" i="6"/>
  <c r="F249" i="6"/>
  <c r="E249" i="6"/>
  <c r="AD249" i="6" s="1"/>
  <c r="D249" i="6"/>
  <c r="C249" i="6"/>
  <c r="AJ249" i="6" s="1"/>
  <c r="B249" i="6"/>
  <c r="A249" i="6"/>
  <c r="AM248" i="6"/>
  <c r="AE248" i="6"/>
  <c r="AB248" i="6"/>
  <c r="Y248" i="6"/>
  <c r="X248" i="6"/>
  <c r="P248" i="6"/>
  <c r="O248" i="6"/>
  <c r="N248" i="6"/>
  <c r="M248" i="6"/>
  <c r="L248" i="6"/>
  <c r="K248" i="6"/>
  <c r="S248" i="6" s="1"/>
  <c r="J248" i="6"/>
  <c r="I248" i="6"/>
  <c r="H248" i="6"/>
  <c r="G248" i="6"/>
  <c r="F248" i="6"/>
  <c r="E248" i="6"/>
  <c r="AD248" i="6" s="1"/>
  <c r="D248" i="6"/>
  <c r="AG248" i="6" s="1"/>
  <c r="C248" i="6"/>
  <c r="AJ248" i="6" s="1"/>
  <c r="B248" i="6"/>
  <c r="A248" i="6"/>
  <c r="AI248" i="6" s="1"/>
  <c r="AM247" i="6"/>
  <c r="AK247" i="6"/>
  <c r="AF247" i="6"/>
  <c r="AE247" i="6"/>
  <c r="Y247" i="6"/>
  <c r="P247" i="6"/>
  <c r="O247" i="6"/>
  <c r="N247" i="6"/>
  <c r="AB247" i="6" s="1"/>
  <c r="M247" i="6"/>
  <c r="S247" i="6" s="1"/>
  <c r="L247" i="6"/>
  <c r="K247" i="6"/>
  <c r="Q247" i="6" s="1"/>
  <c r="R247" i="6" s="1"/>
  <c r="J247" i="6"/>
  <c r="I247" i="6"/>
  <c r="H247" i="6"/>
  <c r="G247" i="6"/>
  <c r="F247" i="6"/>
  <c r="E247" i="6"/>
  <c r="AD247" i="6" s="1"/>
  <c r="D247" i="6"/>
  <c r="AG247" i="6" s="1"/>
  <c r="C247" i="6"/>
  <c r="AJ247" i="6" s="1"/>
  <c r="B247" i="6"/>
  <c r="X247" i="6" s="1"/>
  <c r="A247" i="6"/>
  <c r="AI247" i="6" s="1"/>
  <c r="AM246" i="6"/>
  <c r="AG246" i="6"/>
  <c r="AF246" i="6"/>
  <c r="AE246" i="6"/>
  <c r="Y246" i="6"/>
  <c r="X246" i="6"/>
  <c r="P246" i="6"/>
  <c r="O246" i="6"/>
  <c r="N246" i="6"/>
  <c r="AB246" i="6" s="1"/>
  <c r="M246" i="6"/>
  <c r="L246" i="6"/>
  <c r="K246" i="6"/>
  <c r="S246" i="6" s="1"/>
  <c r="J246" i="6"/>
  <c r="I246" i="6"/>
  <c r="H246" i="6"/>
  <c r="G246" i="6"/>
  <c r="F246" i="6"/>
  <c r="E246" i="6"/>
  <c r="AD246" i="6" s="1"/>
  <c r="D246" i="6"/>
  <c r="C246" i="6"/>
  <c r="AK246" i="6" s="1"/>
  <c r="B246" i="6"/>
  <c r="A246" i="6"/>
  <c r="AM245" i="6"/>
  <c r="AK245" i="6"/>
  <c r="AJ245" i="6"/>
  <c r="AE245" i="6"/>
  <c r="AD245" i="6"/>
  <c r="AB245" i="6"/>
  <c r="Y245" i="6"/>
  <c r="X245" i="6"/>
  <c r="P245" i="6"/>
  <c r="O245" i="6"/>
  <c r="N245" i="6"/>
  <c r="M245" i="6"/>
  <c r="S245" i="6" s="1"/>
  <c r="L245" i="6"/>
  <c r="K245" i="6"/>
  <c r="Q245" i="6" s="1"/>
  <c r="R245" i="6" s="1"/>
  <c r="J245" i="6"/>
  <c r="I245" i="6"/>
  <c r="H245" i="6"/>
  <c r="G245" i="6"/>
  <c r="F245" i="6"/>
  <c r="E245" i="6"/>
  <c r="D245" i="6"/>
  <c r="AG245" i="6" s="1"/>
  <c r="C245" i="6"/>
  <c r="B245" i="6"/>
  <c r="A245" i="6"/>
  <c r="AI245" i="6" s="1"/>
  <c r="AM244" i="6"/>
  <c r="AK244" i="6"/>
  <c r="Y244" i="6"/>
  <c r="P244" i="6"/>
  <c r="O244" i="6"/>
  <c r="N244" i="6"/>
  <c r="AB244" i="6" s="1"/>
  <c r="M244" i="6"/>
  <c r="L244" i="6"/>
  <c r="K244" i="6"/>
  <c r="S244" i="6" s="1"/>
  <c r="J244" i="6"/>
  <c r="I244" i="6"/>
  <c r="H244" i="6"/>
  <c r="G244" i="6"/>
  <c r="F244" i="6"/>
  <c r="E244" i="6"/>
  <c r="AD244" i="6" s="1"/>
  <c r="D244" i="6"/>
  <c r="AG244" i="6" s="1"/>
  <c r="C244" i="6"/>
  <c r="AJ244" i="6" s="1"/>
  <c r="B244" i="6"/>
  <c r="X244" i="6" s="1"/>
  <c r="A244" i="6"/>
  <c r="AI244" i="6" s="1"/>
  <c r="AM243" i="6"/>
  <c r="AK243" i="6"/>
  <c r="AG243" i="6"/>
  <c r="AF243" i="6"/>
  <c r="AE243" i="6"/>
  <c r="AD243" i="6"/>
  <c r="Y243" i="6"/>
  <c r="X243" i="6"/>
  <c r="P243" i="6"/>
  <c r="O243" i="6"/>
  <c r="N243" i="6"/>
  <c r="AB243" i="6" s="1"/>
  <c r="M243" i="6"/>
  <c r="S243" i="6" s="1"/>
  <c r="L243" i="6"/>
  <c r="K243" i="6"/>
  <c r="Q243" i="6" s="1"/>
  <c r="R243" i="6" s="1"/>
  <c r="J243" i="6"/>
  <c r="I243" i="6"/>
  <c r="H243" i="6"/>
  <c r="G243" i="6"/>
  <c r="F243" i="6"/>
  <c r="E243" i="6"/>
  <c r="D243" i="6"/>
  <c r="C243" i="6"/>
  <c r="AJ243" i="6" s="1"/>
  <c r="B243" i="6"/>
  <c r="A243" i="6"/>
  <c r="AM242" i="6"/>
  <c r="AK242" i="6"/>
  <c r="AJ242" i="6"/>
  <c r="AG242" i="6"/>
  <c r="AB242" i="6"/>
  <c r="Y242" i="6"/>
  <c r="X242" i="6"/>
  <c r="P242" i="6"/>
  <c r="O242" i="6"/>
  <c r="N242" i="6"/>
  <c r="M242" i="6"/>
  <c r="L242" i="6"/>
  <c r="AF242" i="6" s="1"/>
  <c r="K242" i="6"/>
  <c r="S242" i="6" s="1"/>
  <c r="J242" i="6"/>
  <c r="I242" i="6"/>
  <c r="H242" i="6"/>
  <c r="G242" i="6"/>
  <c r="F242" i="6"/>
  <c r="E242" i="6"/>
  <c r="AD242" i="6" s="1"/>
  <c r="D242" i="6"/>
  <c r="C242" i="6"/>
  <c r="B242" i="6"/>
  <c r="A242" i="6"/>
  <c r="AI242" i="6" s="1"/>
  <c r="AM241" i="6"/>
  <c r="AF241" i="6"/>
  <c r="AE241" i="6"/>
  <c r="Y241" i="6"/>
  <c r="P241" i="6"/>
  <c r="O241" i="6"/>
  <c r="N241" i="6"/>
  <c r="AB241" i="6" s="1"/>
  <c r="M241" i="6"/>
  <c r="L241" i="6"/>
  <c r="K241" i="6"/>
  <c r="S241" i="6" s="1"/>
  <c r="J241" i="6"/>
  <c r="I241" i="6"/>
  <c r="H241" i="6"/>
  <c r="G241" i="6"/>
  <c r="F241" i="6"/>
  <c r="E241" i="6"/>
  <c r="AD241" i="6" s="1"/>
  <c r="D241" i="6"/>
  <c r="AG241" i="6" s="1"/>
  <c r="C241" i="6"/>
  <c r="AJ241" i="6" s="1"/>
  <c r="B241" i="6"/>
  <c r="X241" i="6" s="1"/>
  <c r="A241" i="6"/>
  <c r="AI241" i="6" s="1"/>
  <c r="AM240" i="6"/>
  <c r="AK240" i="6"/>
  <c r="AJ240" i="6"/>
  <c r="AG240" i="6"/>
  <c r="Y240" i="6"/>
  <c r="X240" i="6"/>
  <c r="P240" i="6"/>
  <c r="O240" i="6"/>
  <c r="N240" i="6"/>
  <c r="AB240" i="6" s="1"/>
  <c r="M240" i="6"/>
  <c r="L240" i="6"/>
  <c r="AF240" i="6" s="1"/>
  <c r="K240" i="6"/>
  <c r="S240" i="6" s="1"/>
  <c r="J240" i="6"/>
  <c r="I240" i="6"/>
  <c r="H240" i="6"/>
  <c r="G240" i="6"/>
  <c r="F240" i="6"/>
  <c r="E240" i="6"/>
  <c r="AE240" i="6" s="1"/>
  <c r="D240" i="6"/>
  <c r="C240" i="6"/>
  <c r="B240" i="6"/>
  <c r="A240" i="6"/>
  <c r="AM239" i="6"/>
  <c r="AE239" i="6"/>
  <c r="AD239" i="6"/>
  <c r="AB239" i="6"/>
  <c r="Y239" i="6"/>
  <c r="X239" i="6"/>
  <c r="P239" i="6"/>
  <c r="O239" i="6"/>
  <c r="N239" i="6"/>
  <c r="M239" i="6"/>
  <c r="L239" i="6"/>
  <c r="K239" i="6"/>
  <c r="S239" i="6" s="1"/>
  <c r="J239" i="6"/>
  <c r="I239" i="6"/>
  <c r="H239" i="6"/>
  <c r="G239" i="6"/>
  <c r="F239" i="6"/>
  <c r="E239" i="6"/>
  <c r="D239" i="6"/>
  <c r="AG239" i="6" s="1"/>
  <c r="C239" i="6"/>
  <c r="AJ239" i="6" s="1"/>
  <c r="B239" i="6"/>
  <c r="A239" i="6"/>
  <c r="AI239" i="6" s="1"/>
  <c r="AK238" i="6"/>
  <c r="AF238" i="6"/>
  <c r="AE238" i="6"/>
  <c r="P238" i="6"/>
  <c r="O238" i="6"/>
  <c r="N238" i="6"/>
  <c r="AB238" i="6" s="1"/>
  <c r="M238" i="6"/>
  <c r="S238" i="6" s="1"/>
  <c r="L238" i="6"/>
  <c r="K238" i="6"/>
  <c r="Q238" i="6" s="1"/>
  <c r="R238" i="6" s="1"/>
  <c r="J238" i="6"/>
  <c r="I238" i="6"/>
  <c r="H238" i="6"/>
  <c r="G238" i="6"/>
  <c r="F238" i="6"/>
  <c r="E238" i="6"/>
  <c r="AD238" i="6" s="1"/>
  <c r="D238" i="6"/>
  <c r="AG238" i="6" s="1"/>
  <c r="C238" i="6"/>
  <c r="AJ238" i="6" s="1"/>
  <c r="B238" i="6"/>
  <c r="X238" i="6" s="1"/>
  <c r="A238" i="6"/>
  <c r="AI238" i="6" s="1"/>
  <c r="AI237" i="6"/>
  <c r="AD237" i="6"/>
  <c r="P237" i="6"/>
  <c r="O237" i="6"/>
  <c r="N237" i="6"/>
  <c r="AB237" i="6" s="1"/>
  <c r="M237" i="6"/>
  <c r="L237" i="6"/>
  <c r="K237" i="6"/>
  <c r="S237" i="6" s="1"/>
  <c r="J237" i="6"/>
  <c r="I237" i="6"/>
  <c r="H237" i="6"/>
  <c r="G237" i="6"/>
  <c r="F237" i="6"/>
  <c r="E237" i="6"/>
  <c r="AE237" i="6" s="1"/>
  <c r="D237" i="6"/>
  <c r="AG237" i="6" s="1"/>
  <c r="C237" i="6"/>
  <c r="AK237" i="6" s="1"/>
  <c r="B237" i="6"/>
  <c r="Y237" i="6" s="1"/>
  <c r="A237" i="6"/>
  <c r="AJ236" i="6"/>
  <c r="AF236" i="6"/>
  <c r="AE236" i="6"/>
  <c r="AD236" i="6"/>
  <c r="P236" i="6"/>
  <c r="O236" i="6"/>
  <c r="N236" i="6"/>
  <c r="AB236" i="6" s="1"/>
  <c r="M236" i="6"/>
  <c r="S236" i="6" s="1"/>
  <c r="L236" i="6"/>
  <c r="K236" i="6"/>
  <c r="Q236" i="6" s="1"/>
  <c r="R236" i="6" s="1"/>
  <c r="J236" i="6"/>
  <c r="I236" i="6"/>
  <c r="H236" i="6"/>
  <c r="G236" i="6"/>
  <c r="F236" i="6"/>
  <c r="E236" i="6"/>
  <c r="D236" i="6"/>
  <c r="AG236" i="6" s="1"/>
  <c r="C236" i="6"/>
  <c r="AK236" i="6" s="1"/>
  <c r="B236" i="6"/>
  <c r="AM236" i="6" s="1"/>
  <c r="A236" i="6"/>
  <c r="AK235" i="6"/>
  <c r="AJ235" i="6"/>
  <c r="AI235" i="6"/>
  <c r="AD235" i="6"/>
  <c r="P235" i="6"/>
  <c r="O235" i="6"/>
  <c r="N235" i="6"/>
  <c r="AB235" i="6" s="1"/>
  <c r="M235" i="6"/>
  <c r="S235" i="6" s="1"/>
  <c r="L235" i="6"/>
  <c r="AF235" i="6" s="1"/>
  <c r="K235" i="6"/>
  <c r="Q235" i="6" s="1"/>
  <c r="R235" i="6" s="1"/>
  <c r="J235" i="6"/>
  <c r="I235" i="6"/>
  <c r="H235" i="6"/>
  <c r="G235" i="6"/>
  <c r="F235" i="6"/>
  <c r="E235" i="6"/>
  <c r="AE235" i="6" s="1"/>
  <c r="D235" i="6"/>
  <c r="AG235" i="6" s="1"/>
  <c r="C235" i="6"/>
  <c r="B235" i="6"/>
  <c r="AM235" i="6" s="1"/>
  <c r="A235" i="6"/>
  <c r="AI234" i="6"/>
  <c r="AD234" i="6"/>
  <c r="P234" i="6"/>
  <c r="O234" i="6"/>
  <c r="N234" i="6"/>
  <c r="AB234" i="6" s="1"/>
  <c r="M234" i="6"/>
  <c r="L234" i="6"/>
  <c r="K234" i="6"/>
  <c r="S234" i="6" s="1"/>
  <c r="J234" i="6"/>
  <c r="I234" i="6"/>
  <c r="H234" i="6"/>
  <c r="G234" i="6"/>
  <c r="F234" i="6"/>
  <c r="E234" i="6"/>
  <c r="AE234" i="6" s="1"/>
  <c r="D234" i="6"/>
  <c r="AG234" i="6" s="1"/>
  <c r="C234" i="6"/>
  <c r="AK234" i="6" s="1"/>
  <c r="B234" i="6"/>
  <c r="Y234" i="6" s="1"/>
  <c r="A234" i="6"/>
  <c r="AJ233" i="6"/>
  <c r="AF233" i="6"/>
  <c r="AE233" i="6"/>
  <c r="AD233" i="6"/>
  <c r="P233" i="6"/>
  <c r="O233" i="6"/>
  <c r="N233" i="6"/>
  <c r="AB233" i="6" s="1"/>
  <c r="M233" i="6"/>
  <c r="S233" i="6" s="1"/>
  <c r="L233" i="6"/>
  <c r="K233" i="6"/>
  <c r="Q233" i="6" s="1"/>
  <c r="R233" i="6" s="1"/>
  <c r="J233" i="6"/>
  <c r="I233" i="6"/>
  <c r="H233" i="6"/>
  <c r="G233" i="6"/>
  <c r="F233" i="6"/>
  <c r="E233" i="6"/>
  <c r="D233" i="6"/>
  <c r="AG233" i="6" s="1"/>
  <c r="C233" i="6"/>
  <c r="AK233" i="6" s="1"/>
  <c r="B233" i="6"/>
  <c r="AM233" i="6" s="1"/>
  <c r="A233" i="6"/>
  <c r="AK232" i="6"/>
  <c r="AJ232" i="6"/>
  <c r="AI232" i="6"/>
  <c r="AD232" i="6"/>
  <c r="P232" i="6"/>
  <c r="O232" i="6"/>
  <c r="N232" i="6"/>
  <c r="AB232" i="6" s="1"/>
  <c r="M232" i="6"/>
  <c r="S232" i="6" s="1"/>
  <c r="L232" i="6"/>
  <c r="AF232" i="6" s="1"/>
  <c r="K232" i="6"/>
  <c r="Q232" i="6" s="1"/>
  <c r="R232" i="6" s="1"/>
  <c r="J232" i="6"/>
  <c r="I232" i="6"/>
  <c r="H232" i="6"/>
  <c r="G232" i="6"/>
  <c r="F232" i="6"/>
  <c r="E232" i="6"/>
  <c r="AE232" i="6" s="1"/>
  <c r="D232" i="6"/>
  <c r="AG232" i="6" s="1"/>
  <c r="C232" i="6"/>
  <c r="B232" i="6"/>
  <c r="AM232" i="6" s="1"/>
  <c r="A232" i="6"/>
  <c r="AI231" i="6"/>
  <c r="AD231" i="6"/>
  <c r="P231" i="6"/>
  <c r="O231" i="6"/>
  <c r="N231" i="6"/>
  <c r="AB231" i="6" s="1"/>
  <c r="M231" i="6"/>
  <c r="L231" i="6"/>
  <c r="K231" i="6"/>
  <c r="S231" i="6" s="1"/>
  <c r="J231" i="6"/>
  <c r="I231" i="6"/>
  <c r="H231" i="6"/>
  <c r="G231" i="6"/>
  <c r="F231" i="6"/>
  <c r="E231" i="6"/>
  <c r="AE231" i="6" s="1"/>
  <c r="D231" i="6"/>
  <c r="C231" i="6"/>
  <c r="AK231" i="6" s="1"/>
  <c r="B231" i="6"/>
  <c r="Y231" i="6" s="1"/>
  <c r="A231" i="6"/>
  <c r="AJ230" i="6"/>
  <c r="AF230" i="6"/>
  <c r="AE230" i="6"/>
  <c r="AD230" i="6"/>
  <c r="P230" i="6"/>
  <c r="O230" i="6"/>
  <c r="N230" i="6"/>
  <c r="AB230" i="6" s="1"/>
  <c r="M230" i="6"/>
  <c r="S230" i="6" s="1"/>
  <c r="L230" i="6"/>
  <c r="K230" i="6"/>
  <c r="Q230" i="6" s="1"/>
  <c r="J230" i="6"/>
  <c r="I230" i="6"/>
  <c r="H230" i="6"/>
  <c r="G230" i="6"/>
  <c r="F230" i="6"/>
  <c r="E230" i="6"/>
  <c r="D230" i="6"/>
  <c r="AG230" i="6" s="1"/>
  <c r="C230" i="6"/>
  <c r="AK230" i="6" s="1"/>
  <c r="B230" i="6"/>
  <c r="A230" i="6"/>
  <c r="AK229" i="6"/>
  <c r="AJ229" i="6"/>
  <c r="AI229" i="6"/>
  <c r="AD229" i="6"/>
  <c r="P229" i="6"/>
  <c r="O229" i="6"/>
  <c r="N229" i="6"/>
  <c r="AB229" i="6" s="1"/>
  <c r="M229" i="6"/>
  <c r="S229" i="6" s="1"/>
  <c r="L229" i="6"/>
  <c r="AF229" i="6" s="1"/>
  <c r="K229" i="6"/>
  <c r="Q229" i="6" s="1"/>
  <c r="J229" i="6"/>
  <c r="I229" i="6"/>
  <c r="H229" i="6"/>
  <c r="G229" i="6"/>
  <c r="F229" i="6"/>
  <c r="E229" i="6"/>
  <c r="AE229" i="6" s="1"/>
  <c r="D229" i="6"/>
  <c r="AG229" i="6" s="1"/>
  <c r="C229" i="6"/>
  <c r="B229" i="6"/>
  <c r="A229" i="6"/>
  <c r="AI228" i="6"/>
  <c r="AD228" i="6"/>
  <c r="P228" i="6"/>
  <c r="O228" i="6"/>
  <c r="N228" i="6"/>
  <c r="AB228" i="6" s="1"/>
  <c r="M228" i="6"/>
  <c r="L228" i="6"/>
  <c r="K228" i="6"/>
  <c r="S228" i="6" s="1"/>
  <c r="J228" i="6"/>
  <c r="I228" i="6"/>
  <c r="H228" i="6"/>
  <c r="G228" i="6"/>
  <c r="F228" i="6"/>
  <c r="E228" i="6"/>
  <c r="AE228" i="6" s="1"/>
  <c r="D228" i="6"/>
  <c r="C228" i="6"/>
  <c r="AK228" i="6" s="1"/>
  <c r="B228" i="6"/>
  <c r="A228" i="6"/>
  <c r="AJ227" i="6"/>
  <c r="AF227" i="6"/>
  <c r="AE227" i="6"/>
  <c r="AD227" i="6"/>
  <c r="AB227" i="6"/>
  <c r="P227" i="6"/>
  <c r="O227" i="6"/>
  <c r="N227" i="6"/>
  <c r="M227" i="6"/>
  <c r="S227" i="6" s="1"/>
  <c r="L227" i="6"/>
  <c r="K227" i="6"/>
  <c r="Q227" i="6" s="1"/>
  <c r="J227" i="6"/>
  <c r="I227" i="6"/>
  <c r="H227" i="6"/>
  <c r="G227" i="6"/>
  <c r="F227" i="6"/>
  <c r="E227" i="6"/>
  <c r="D227" i="6"/>
  <c r="AG227" i="6" s="1"/>
  <c r="C227" i="6"/>
  <c r="AK227" i="6" s="1"/>
  <c r="B227" i="6"/>
  <c r="A227" i="6"/>
  <c r="AK226" i="6"/>
  <c r="AJ226" i="6"/>
  <c r="AI226" i="6"/>
  <c r="AD226" i="6"/>
  <c r="AB226" i="6"/>
  <c r="P226" i="6"/>
  <c r="O226" i="6"/>
  <c r="N226" i="6"/>
  <c r="M226" i="6"/>
  <c r="S226" i="6" s="1"/>
  <c r="L226" i="6"/>
  <c r="AF226" i="6" s="1"/>
  <c r="K226" i="6"/>
  <c r="Q226" i="6" s="1"/>
  <c r="J226" i="6"/>
  <c r="I226" i="6"/>
  <c r="H226" i="6"/>
  <c r="G226" i="6"/>
  <c r="F226" i="6"/>
  <c r="E226" i="6"/>
  <c r="AE226" i="6" s="1"/>
  <c r="D226" i="6"/>
  <c r="C226" i="6"/>
  <c r="B226" i="6"/>
  <c r="A226" i="6"/>
  <c r="AI225" i="6"/>
  <c r="AD225" i="6"/>
  <c r="P225" i="6"/>
  <c r="O225" i="6"/>
  <c r="N225" i="6"/>
  <c r="AB225" i="6" s="1"/>
  <c r="M225" i="6"/>
  <c r="L225" i="6"/>
  <c r="K225" i="6"/>
  <c r="S225" i="6" s="1"/>
  <c r="J225" i="6"/>
  <c r="I225" i="6"/>
  <c r="H225" i="6"/>
  <c r="G225" i="6"/>
  <c r="F225" i="6"/>
  <c r="E225" i="6"/>
  <c r="AE225" i="6" s="1"/>
  <c r="D225" i="6"/>
  <c r="AG225" i="6" s="1"/>
  <c r="C225" i="6"/>
  <c r="AK225" i="6" s="1"/>
  <c r="B225" i="6"/>
  <c r="A225" i="6"/>
  <c r="AJ224" i="6"/>
  <c r="AF224" i="6"/>
  <c r="AE224" i="6"/>
  <c r="AD224" i="6"/>
  <c r="P224" i="6"/>
  <c r="O224" i="6"/>
  <c r="N224" i="6"/>
  <c r="AB224" i="6" s="1"/>
  <c r="M224" i="6"/>
  <c r="S224" i="6" s="1"/>
  <c r="L224" i="6"/>
  <c r="K224" i="6"/>
  <c r="Q224" i="6" s="1"/>
  <c r="J224" i="6"/>
  <c r="I224" i="6"/>
  <c r="H224" i="6"/>
  <c r="G224" i="6"/>
  <c r="F224" i="6"/>
  <c r="E224" i="6"/>
  <c r="D224" i="6"/>
  <c r="AG224" i="6" s="1"/>
  <c r="C224" i="6"/>
  <c r="AK224" i="6" s="1"/>
  <c r="B224" i="6"/>
  <c r="X224" i="6" s="1"/>
  <c r="A224" i="6"/>
  <c r="AK223" i="6"/>
  <c r="AJ223" i="6"/>
  <c r="AI223" i="6"/>
  <c r="AD223" i="6"/>
  <c r="AB223" i="6"/>
  <c r="P223" i="6"/>
  <c r="O223" i="6"/>
  <c r="N223" i="6"/>
  <c r="M223" i="6"/>
  <c r="S223" i="6" s="1"/>
  <c r="L223" i="6"/>
  <c r="AF223" i="6" s="1"/>
  <c r="K223" i="6"/>
  <c r="Q223" i="6" s="1"/>
  <c r="R223" i="6" s="1"/>
  <c r="J223" i="6"/>
  <c r="I223" i="6"/>
  <c r="H223" i="6"/>
  <c r="G223" i="6"/>
  <c r="F223" i="6"/>
  <c r="E223" i="6"/>
  <c r="AE223" i="6" s="1"/>
  <c r="D223" i="6"/>
  <c r="C223" i="6"/>
  <c r="B223" i="6"/>
  <c r="A223" i="6"/>
  <c r="AI222" i="6"/>
  <c r="AD222" i="6"/>
  <c r="AB222" i="6"/>
  <c r="P222" i="6"/>
  <c r="O222" i="6"/>
  <c r="N222" i="6"/>
  <c r="M222" i="6"/>
  <c r="L222" i="6"/>
  <c r="K222" i="6"/>
  <c r="S222" i="6" s="1"/>
  <c r="J222" i="6"/>
  <c r="I222" i="6"/>
  <c r="H222" i="6"/>
  <c r="G222" i="6"/>
  <c r="F222" i="6"/>
  <c r="E222" i="6"/>
  <c r="AE222" i="6" s="1"/>
  <c r="D222" i="6"/>
  <c r="AG222" i="6" s="1"/>
  <c r="C222" i="6"/>
  <c r="AK222" i="6" s="1"/>
  <c r="B222" i="6"/>
  <c r="A222" i="6"/>
  <c r="AF221" i="6"/>
  <c r="AE221" i="6"/>
  <c r="AD221" i="6"/>
  <c r="X221" i="6"/>
  <c r="P221" i="6"/>
  <c r="O221" i="6"/>
  <c r="N221" i="6"/>
  <c r="AB221" i="6" s="1"/>
  <c r="M221" i="6"/>
  <c r="S221" i="6" s="1"/>
  <c r="L221" i="6"/>
  <c r="K221" i="6"/>
  <c r="Q221" i="6" s="1"/>
  <c r="R221" i="6" s="1"/>
  <c r="J221" i="6"/>
  <c r="I221" i="6"/>
  <c r="H221" i="6"/>
  <c r="G221" i="6"/>
  <c r="F221" i="6"/>
  <c r="E221" i="6"/>
  <c r="D221" i="6"/>
  <c r="AG221" i="6" s="1"/>
  <c r="C221" i="6"/>
  <c r="AK221" i="6" s="1"/>
  <c r="B221" i="6"/>
  <c r="A221" i="6"/>
  <c r="AK220" i="6"/>
  <c r="AJ220" i="6"/>
  <c r="AI220" i="6"/>
  <c r="AD220" i="6"/>
  <c r="P220" i="6"/>
  <c r="O220" i="6"/>
  <c r="N220" i="6"/>
  <c r="AB220" i="6" s="1"/>
  <c r="M220" i="6"/>
  <c r="S220" i="6" s="1"/>
  <c r="L220" i="6"/>
  <c r="AF220" i="6" s="1"/>
  <c r="K220" i="6"/>
  <c r="Q220" i="6" s="1"/>
  <c r="J220" i="6"/>
  <c r="I220" i="6"/>
  <c r="H220" i="6"/>
  <c r="G220" i="6"/>
  <c r="F220" i="6"/>
  <c r="E220" i="6"/>
  <c r="AE220" i="6" s="1"/>
  <c r="D220" i="6"/>
  <c r="AG220" i="6" s="1"/>
  <c r="C220" i="6"/>
  <c r="B220" i="6"/>
  <c r="A220" i="6"/>
  <c r="AI219" i="6"/>
  <c r="AD219" i="6"/>
  <c r="P219" i="6"/>
  <c r="O219" i="6"/>
  <c r="N219" i="6"/>
  <c r="AB219" i="6" s="1"/>
  <c r="M219" i="6"/>
  <c r="L219" i="6"/>
  <c r="K219" i="6"/>
  <c r="S219" i="6" s="1"/>
  <c r="J219" i="6"/>
  <c r="I219" i="6"/>
  <c r="H219" i="6"/>
  <c r="G219" i="6"/>
  <c r="F219" i="6"/>
  <c r="E219" i="6"/>
  <c r="AE219" i="6" s="1"/>
  <c r="D219" i="6"/>
  <c r="AG219" i="6" s="1"/>
  <c r="C219" i="6"/>
  <c r="AK219" i="6" s="1"/>
  <c r="B219" i="6"/>
  <c r="A219" i="6"/>
  <c r="AK218" i="6"/>
  <c r="AF218" i="6"/>
  <c r="AE218" i="6"/>
  <c r="AD218" i="6"/>
  <c r="X218" i="6"/>
  <c r="P218" i="6"/>
  <c r="O218" i="6"/>
  <c r="N218" i="6"/>
  <c r="AB218" i="6" s="1"/>
  <c r="M218" i="6"/>
  <c r="S218" i="6" s="1"/>
  <c r="L218" i="6"/>
  <c r="K218" i="6"/>
  <c r="Q218" i="6" s="1"/>
  <c r="R218" i="6" s="1"/>
  <c r="J218" i="6"/>
  <c r="I218" i="6"/>
  <c r="H218" i="6"/>
  <c r="G218" i="6"/>
  <c r="F218" i="6"/>
  <c r="E218" i="6"/>
  <c r="D218" i="6"/>
  <c r="AG218" i="6" s="1"/>
  <c r="C218" i="6"/>
  <c r="AJ218" i="6" s="1"/>
  <c r="B218" i="6"/>
  <c r="A218" i="6"/>
  <c r="AK217" i="6"/>
  <c r="AJ217" i="6"/>
  <c r="AI217" i="6"/>
  <c r="AD217" i="6"/>
  <c r="P217" i="6"/>
  <c r="O217" i="6"/>
  <c r="N217" i="6"/>
  <c r="AB217" i="6" s="1"/>
  <c r="M217" i="6"/>
  <c r="S217" i="6" s="1"/>
  <c r="L217" i="6"/>
  <c r="AF217" i="6" s="1"/>
  <c r="K217" i="6"/>
  <c r="Q217" i="6" s="1"/>
  <c r="J217" i="6"/>
  <c r="I217" i="6"/>
  <c r="H217" i="6"/>
  <c r="G217" i="6"/>
  <c r="F217" i="6"/>
  <c r="E217" i="6"/>
  <c r="AE217" i="6" s="1"/>
  <c r="D217" i="6"/>
  <c r="AG217" i="6" s="1"/>
  <c r="C217" i="6"/>
  <c r="B217" i="6"/>
  <c r="A217" i="6"/>
  <c r="AI216" i="6"/>
  <c r="AD216" i="6"/>
  <c r="P216" i="6"/>
  <c r="O216" i="6"/>
  <c r="N216" i="6"/>
  <c r="AB216" i="6" s="1"/>
  <c r="M216" i="6"/>
  <c r="L216" i="6"/>
  <c r="K216" i="6"/>
  <c r="S216" i="6" s="1"/>
  <c r="J216" i="6"/>
  <c r="I216" i="6"/>
  <c r="H216" i="6"/>
  <c r="G216" i="6"/>
  <c r="F216" i="6"/>
  <c r="E216" i="6"/>
  <c r="AE216" i="6" s="1"/>
  <c r="D216" i="6"/>
  <c r="AG216" i="6" s="1"/>
  <c r="C216" i="6"/>
  <c r="AK216" i="6" s="1"/>
  <c r="B216" i="6"/>
  <c r="A216" i="6"/>
  <c r="AK215" i="6"/>
  <c r="AF215" i="6"/>
  <c r="AE215" i="6"/>
  <c r="AD215" i="6"/>
  <c r="X215" i="6"/>
  <c r="P215" i="6"/>
  <c r="O215" i="6"/>
  <c r="N215" i="6"/>
  <c r="AB215" i="6" s="1"/>
  <c r="M215" i="6"/>
  <c r="S215" i="6" s="1"/>
  <c r="L215" i="6"/>
  <c r="K215" i="6"/>
  <c r="Q215" i="6" s="1"/>
  <c r="R215" i="6" s="1"/>
  <c r="J215" i="6"/>
  <c r="I215" i="6"/>
  <c r="H215" i="6"/>
  <c r="G215" i="6"/>
  <c r="F215" i="6"/>
  <c r="E215" i="6"/>
  <c r="D215" i="6"/>
  <c r="AG215" i="6" s="1"/>
  <c r="C215" i="6"/>
  <c r="AJ215" i="6" s="1"/>
  <c r="B215" i="6"/>
  <c r="A215" i="6"/>
  <c r="AK214" i="6"/>
  <c r="AJ214" i="6"/>
  <c r="AD214" i="6"/>
  <c r="Z214" i="6"/>
  <c r="S214" i="6"/>
  <c r="P214" i="6"/>
  <c r="O214" i="6"/>
  <c r="N214" i="6"/>
  <c r="AB214" i="6" s="1"/>
  <c r="M214" i="6"/>
  <c r="L214" i="6"/>
  <c r="AF214" i="6" s="1"/>
  <c r="K214" i="6"/>
  <c r="Q214" i="6" s="1"/>
  <c r="R214" i="6" s="1"/>
  <c r="AA214" i="6" s="1"/>
  <c r="J214" i="6"/>
  <c r="I214" i="6"/>
  <c r="H214" i="6"/>
  <c r="G214" i="6"/>
  <c r="F214" i="6"/>
  <c r="E214" i="6"/>
  <c r="AE214" i="6" s="1"/>
  <c r="D214" i="6"/>
  <c r="AG214" i="6" s="1"/>
  <c r="C214" i="6"/>
  <c r="B214" i="6"/>
  <c r="A214" i="6"/>
  <c r="AI214" i="6" s="1"/>
  <c r="AI213" i="6"/>
  <c r="AD213" i="6"/>
  <c r="AB213" i="6"/>
  <c r="P213" i="6"/>
  <c r="O213" i="6"/>
  <c r="N213" i="6"/>
  <c r="M213" i="6"/>
  <c r="L213" i="6"/>
  <c r="K213" i="6"/>
  <c r="S213" i="6" s="1"/>
  <c r="J213" i="6"/>
  <c r="I213" i="6"/>
  <c r="H213" i="6"/>
  <c r="G213" i="6"/>
  <c r="F213" i="6"/>
  <c r="E213" i="6"/>
  <c r="AE213" i="6" s="1"/>
  <c r="D213" i="6"/>
  <c r="AG213" i="6" s="1"/>
  <c r="C213" i="6"/>
  <c r="AK213" i="6" s="1"/>
  <c r="B213" i="6"/>
  <c r="A213" i="6"/>
  <c r="AK212" i="6"/>
  <c r="AF212" i="6"/>
  <c r="AE212" i="6"/>
  <c r="AD212" i="6"/>
  <c r="P212" i="6"/>
  <c r="O212" i="6"/>
  <c r="N212" i="6"/>
  <c r="AB212" i="6" s="1"/>
  <c r="M212" i="6"/>
  <c r="S212" i="6" s="1"/>
  <c r="L212" i="6"/>
  <c r="K212" i="6"/>
  <c r="Q212" i="6" s="1"/>
  <c r="J212" i="6"/>
  <c r="I212" i="6"/>
  <c r="H212" i="6"/>
  <c r="G212" i="6"/>
  <c r="F212" i="6"/>
  <c r="E212" i="6"/>
  <c r="D212" i="6"/>
  <c r="AG212" i="6" s="1"/>
  <c r="C212" i="6"/>
  <c r="AJ212" i="6" s="1"/>
  <c r="B212" i="6"/>
  <c r="A212" i="6"/>
  <c r="AK211" i="6"/>
  <c r="AJ211" i="6"/>
  <c r="AI211" i="6"/>
  <c r="AD211" i="6"/>
  <c r="AB211" i="6"/>
  <c r="P211" i="6"/>
  <c r="O211" i="6"/>
  <c r="N211" i="6"/>
  <c r="M211" i="6"/>
  <c r="S211" i="6" s="1"/>
  <c r="L211" i="6"/>
  <c r="AF211" i="6" s="1"/>
  <c r="K211" i="6"/>
  <c r="Q211" i="6" s="1"/>
  <c r="J211" i="6"/>
  <c r="I211" i="6"/>
  <c r="H211" i="6"/>
  <c r="G211" i="6"/>
  <c r="F211" i="6"/>
  <c r="E211" i="6"/>
  <c r="AE211" i="6" s="1"/>
  <c r="D211" i="6"/>
  <c r="AG211" i="6" s="1"/>
  <c r="C211" i="6"/>
  <c r="B211" i="6"/>
  <c r="A211" i="6"/>
  <c r="AI210" i="6"/>
  <c r="AD210" i="6"/>
  <c r="P210" i="6"/>
  <c r="O210" i="6"/>
  <c r="N210" i="6"/>
  <c r="AB210" i="6" s="1"/>
  <c r="M210" i="6"/>
  <c r="L210" i="6"/>
  <c r="K210" i="6"/>
  <c r="S210" i="6" s="1"/>
  <c r="J210" i="6"/>
  <c r="I210" i="6"/>
  <c r="H210" i="6"/>
  <c r="G210" i="6"/>
  <c r="F210" i="6"/>
  <c r="E210" i="6"/>
  <c r="AE210" i="6" s="1"/>
  <c r="D210" i="6"/>
  <c r="AG210" i="6" s="1"/>
  <c r="C210" i="6"/>
  <c r="AK210" i="6" s="1"/>
  <c r="B210" i="6"/>
  <c r="A210" i="6"/>
  <c r="AK209" i="6"/>
  <c r="AF209" i="6"/>
  <c r="AE209" i="6"/>
  <c r="AD209" i="6"/>
  <c r="AB209" i="6"/>
  <c r="Y209" i="6"/>
  <c r="P209" i="6"/>
  <c r="O209" i="6"/>
  <c r="N209" i="6"/>
  <c r="M209" i="6"/>
  <c r="S209" i="6" s="1"/>
  <c r="L209" i="6"/>
  <c r="K209" i="6"/>
  <c r="Q209" i="6" s="1"/>
  <c r="R209" i="6" s="1"/>
  <c r="J209" i="6"/>
  <c r="I209" i="6"/>
  <c r="H209" i="6"/>
  <c r="G209" i="6"/>
  <c r="F209" i="6"/>
  <c r="E209" i="6"/>
  <c r="D209" i="6"/>
  <c r="AG209" i="6" s="1"/>
  <c r="C209" i="6"/>
  <c r="AJ209" i="6" s="1"/>
  <c r="B209" i="6"/>
  <c r="X209" i="6" s="1"/>
  <c r="A209" i="6"/>
  <c r="AK208" i="6"/>
  <c r="AJ208" i="6"/>
  <c r="AI208" i="6"/>
  <c r="AD208" i="6"/>
  <c r="AB208" i="6"/>
  <c r="S208" i="6"/>
  <c r="P208" i="6"/>
  <c r="O208" i="6"/>
  <c r="N208" i="6"/>
  <c r="M208" i="6"/>
  <c r="L208" i="6"/>
  <c r="AF208" i="6" s="1"/>
  <c r="K208" i="6"/>
  <c r="Q208" i="6" s="1"/>
  <c r="R208" i="6" s="1"/>
  <c r="J208" i="6"/>
  <c r="I208" i="6"/>
  <c r="H208" i="6"/>
  <c r="G208" i="6"/>
  <c r="F208" i="6"/>
  <c r="E208" i="6"/>
  <c r="AE208" i="6" s="1"/>
  <c r="D208" i="6"/>
  <c r="AG208" i="6" s="1"/>
  <c r="C208" i="6"/>
  <c r="B208" i="6"/>
  <c r="A208" i="6"/>
  <c r="AJ207" i="6"/>
  <c r="AI207" i="6"/>
  <c r="AD207" i="6"/>
  <c r="P207" i="6"/>
  <c r="O207" i="6"/>
  <c r="N207" i="6"/>
  <c r="AB207" i="6" s="1"/>
  <c r="M207" i="6"/>
  <c r="L207" i="6"/>
  <c r="K207" i="6"/>
  <c r="S207" i="6" s="1"/>
  <c r="J207" i="6"/>
  <c r="I207" i="6"/>
  <c r="H207" i="6"/>
  <c r="G207" i="6"/>
  <c r="F207" i="6"/>
  <c r="E207" i="6"/>
  <c r="AE207" i="6" s="1"/>
  <c r="D207" i="6"/>
  <c r="AG207" i="6" s="1"/>
  <c r="C207" i="6"/>
  <c r="AK207" i="6" s="1"/>
  <c r="B207" i="6"/>
  <c r="A207" i="6"/>
  <c r="AK206" i="6"/>
  <c r="AF206" i="6"/>
  <c r="AE206" i="6"/>
  <c r="AD206" i="6"/>
  <c r="AB206" i="6"/>
  <c r="Y206" i="6"/>
  <c r="P206" i="6"/>
  <c r="O206" i="6"/>
  <c r="N206" i="6"/>
  <c r="M206" i="6"/>
  <c r="S206" i="6" s="1"/>
  <c r="L206" i="6"/>
  <c r="K206" i="6"/>
  <c r="Q206" i="6" s="1"/>
  <c r="R206" i="6" s="1"/>
  <c r="J206" i="6"/>
  <c r="I206" i="6"/>
  <c r="H206" i="6"/>
  <c r="G206" i="6"/>
  <c r="F206" i="6"/>
  <c r="E206" i="6"/>
  <c r="D206" i="6"/>
  <c r="C206" i="6"/>
  <c r="AJ206" i="6" s="1"/>
  <c r="B206" i="6"/>
  <c r="X206" i="6" s="1"/>
  <c r="A206" i="6"/>
  <c r="AK205" i="6"/>
  <c r="AJ205" i="6"/>
  <c r="AI205" i="6"/>
  <c r="AD205" i="6"/>
  <c r="AB205" i="6"/>
  <c r="S205" i="6"/>
  <c r="P205" i="6"/>
  <c r="O205" i="6"/>
  <c r="N205" i="6"/>
  <c r="M205" i="6"/>
  <c r="L205" i="6"/>
  <c r="AF205" i="6" s="1"/>
  <c r="K205" i="6"/>
  <c r="Q205" i="6" s="1"/>
  <c r="R205" i="6" s="1"/>
  <c r="J205" i="6"/>
  <c r="I205" i="6"/>
  <c r="H205" i="6"/>
  <c r="G205" i="6"/>
  <c r="F205" i="6"/>
  <c r="E205" i="6"/>
  <c r="AE205" i="6" s="1"/>
  <c r="D205" i="6"/>
  <c r="AG205" i="6" s="1"/>
  <c r="C205" i="6"/>
  <c r="B205" i="6"/>
  <c r="A205" i="6"/>
  <c r="AJ204" i="6"/>
  <c r="AI204" i="6"/>
  <c r="AD204" i="6"/>
  <c r="P204" i="6"/>
  <c r="O204" i="6"/>
  <c r="N204" i="6"/>
  <c r="AB204" i="6" s="1"/>
  <c r="M204" i="6"/>
  <c r="L204" i="6"/>
  <c r="K204" i="6"/>
  <c r="S204" i="6" s="1"/>
  <c r="J204" i="6"/>
  <c r="I204" i="6"/>
  <c r="H204" i="6"/>
  <c r="G204" i="6"/>
  <c r="F204" i="6"/>
  <c r="E204" i="6"/>
  <c r="AE204" i="6" s="1"/>
  <c r="D204" i="6"/>
  <c r="AG204" i="6" s="1"/>
  <c r="C204" i="6"/>
  <c r="AK204" i="6" s="1"/>
  <c r="B204" i="6"/>
  <c r="A204" i="6"/>
  <c r="AK203" i="6"/>
  <c r="AF203" i="6"/>
  <c r="AE203" i="6"/>
  <c r="AD203" i="6"/>
  <c r="AB203" i="6"/>
  <c r="Y203" i="6"/>
  <c r="P203" i="6"/>
  <c r="O203" i="6"/>
  <c r="N203" i="6"/>
  <c r="M203" i="6"/>
  <c r="S203" i="6" s="1"/>
  <c r="L203" i="6"/>
  <c r="K203" i="6"/>
  <c r="Q203" i="6" s="1"/>
  <c r="R203" i="6" s="1"/>
  <c r="J203" i="6"/>
  <c r="I203" i="6"/>
  <c r="H203" i="6"/>
  <c r="G203" i="6"/>
  <c r="F203" i="6"/>
  <c r="E203" i="6"/>
  <c r="D203" i="6"/>
  <c r="C203" i="6"/>
  <c r="AJ203" i="6" s="1"/>
  <c r="B203" i="6"/>
  <c r="X203" i="6" s="1"/>
  <c r="A203" i="6"/>
  <c r="AK202" i="6"/>
  <c r="AJ202" i="6"/>
  <c r="AI202" i="6"/>
  <c r="AD202" i="6"/>
  <c r="S202" i="6"/>
  <c r="P202" i="6"/>
  <c r="O202" i="6"/>
  <c r="N202" i="6"/>
  <c r="AB202" i="6" s="1"/>
  <c r="M202" i="6"/>
  <c r="L202" i="6"/>
  <c r="AF202" i="6" s="1"/>
  <c r="K202" i="6"/>
  <c r="Q202" i="6" s="1"/>
  <c r="J202" i="6"/>
  <c r="I202" i="6"/>
  <c r="H202" i="6"/>
  <c r="G202" i="6"/>
  <c r="F202" i="6"/>
  <c r="E202" i="6"/>
  <c r="AE202" i="6" s="1"/>
  <c r="D202" i="6"/>
  <c r="AG202" i="6" s="1"/>
  <c r="C202" i="6"/>
  <c r="B202" i="6"/>
  <c r="A202" i="6"/>
  <c r="AM201" i="6"/>
  <c r="AJ201" i="6"/>
  <c r="AI201" i="6"/>
  <c r="AD201" i="6"/>
  <c r="X201" i="6"/>
  <c r="P201" i="6"/>
  <c r="O201" i="6"/>
  <c r="N201" i="6"/>
  <c r="AB201" i="6" s="1"/>
  <c r="M201" i="6"/>
  <c r="L201" i="6"/>
  <c r="K201" i="6"/>
  <c r="S201" i="6" s="1"/>
  <c r="J201" i="6"/>
  <c r="I201" i="6"/>
  <c r="H201" i="6"/>
  <c r="G201" i="6"/>
  <c r="F201" i="6"/>
  <c r="E201" i="6"/>
  <c r="AE201" i="6" s="1"/>
  <c r="D201" i="6"/>
  <c r="AG201" i="6" s="1"/>
  <c r="C201" i="6"/>
  <c r="AK201" i="6" s="1"/>
  <c r="B201" i="6"/>
  <c r="Y201" i="6" s="1"/>
  <c r="A201" i="6"/>
  <c r="AK200" i="6"/>
  <c r="AF200" i="6"/>
  <c r="AE200" i="6"/>
  <c r="AD200" i="6"/>
  <c r="AB200" i="6"/>
  <c r="Y200" i="6"/>
  <c r="P200" i="6"/>
  <c r="O200" i="6"/>
  <c r="N200" i="6"/>
  <c r="M200" i="6"/>
  <c r="S200" i="6" s="1"/>
  <c r="L200" i="6"/>
  <c r="K200" i="6"/>
  <c r="Q200" i="6" s="1"/>
  <c r="R200" i="6" s="1"/>
  <c r="J200" i="6"/>
  <c r="I200" i="6"/>
  <c r="H200" i="6"/>
  <c r="G200" i="6"/>
  <c r="F200" i="6"/>
  <c r="E200" i="6"/>
  <c r="D200" i="6"/>
  <c r="C200" i="6"/>
  <c r="AJ200" i="6" s="1"/>
  <c r="B200" i="6"/>
  <c r="X200" i="6" s="1"/>
  <c r="A200" i="6"/>
  <c r="AK199" i="6"/>
  <c r="AI199" i="6"/>
  <c r="AG199" i="6"/>
  <c r="AD199" i="6"/>
  <c r="P199" i="6"/>
  <c r="O199" i="6"/>
  <c r="N199" i="6"/>
  <c r="AB199" i="6" s="1"/>
  <c r="M199" i="6"/>
  <c r="S199" i="6" s="1"/>
  <c r="L199" i="6"/>
  <c r="AF199" i="6" s="1"/>
  <c r="K199" i="6"/>
  <c r="J199" i="6"/>
  <c r="I199" i="6"/>
  <c r="H199" i="6"/>
  <c r="G199" i="6"/>
  <c r="F199" i="6"/>
  <c r="E199" i="6"/>
  <c r="AE199" i="6" s="1"/>
  <c r="D199" i="6"/>
  <c r="C199" i="6"/>
  <c r="AJ199" i="6" s="1"/>
  <c r="B199" i="6"/>
  <c r="X199" i="6" s="1"/>
  <c r="A199" i="6"/>
  <c r="AM198" i="6"/>
  <c r="AK198" i="6"/>
  <c r="AI198" i="6"/>
  <c r="AD198" i="6"/>
  <c r="AB198" i="6"/>
  <c r="Y198" i="6"/>
  <c r="X198" i="6"/>
  <c r="P198" i="6"/>
  <c r="O198" i="6"/>
  <c r="N198" i="6"/>
  <c r="M198" i="6"/>
  <c r="S198" i="6" s="1"/>
  <c r="L198" i="6"/>
  <c r="AF198" i="6" s="1"/>
  <c r="K198" i="6"/>
  <c r="J198" i="6"/>
  <c r="I198" i="6"/>
  <c r="H198" i="6"/>
  <c r="G198" i="6"/>
  <c r="F198" i="6"/>
  <c r="E198" i="6"/>
  <c r="AE198" i="6" s="1"/>
  <c r="D198" i="6"/>
  <c r="C198" i="6"/>
  <c r="AJ198" i="6" s="1"/>
  <c r="B198" i="6"/>
  <c r="A198" i="6"/>
  <c r="AI197" i="6"/>
  <c r="AE197" i="6"/>
  <c r="S197" i="6"/>
  <c r="P197" i="6"/>
  <c r="O197" i="6"/>
  <c r="N197" i="6"/>
  <c r="AB197" i="6" s="1"/>
  <c r="M197" i="6"/>
  <c r="L197" i="6"/>
  <c r="K197" i="6"/>
  <c r="Q197" i="6" s="1"/>
  <c r="J197" i="6"/>
  <c r="I197" i="6"/>
  <c r="H197" i="6"/>
  <c r="G197" i="6"/>
  <c r="F197" i="6"/>
  <c r="E197" i="6"/>
  <c r="AD197" i="6" s="1"/>
  <c r="D197" i="6"/>
  <c r="AG197" i="6" s="1"/>
  <c r="C197" i="6"/>
  <c r="AJ197" i="6" s="1"/>
  <c r="B197" i="6"/>
  <c r="A197" i="6"/>
  <c r="AM196" i="6"/>
  <c r="AK196" i="6"/>
  <c r="AI196" i="6"/>
  <c r="AG196" i="6"/>
  <c r="AF196" i="6"/>
  <c r="AD196" i="6"/>
  <c r="P196" i="6"/>
  <c r="O196" i="6"/>
  <c r="N196" i="6"/>
  <c r="AB196" i="6" s="1"/>
  <c r="M196" i="6"/>
  <c r="S196" i="6" s="1"/>
  <c r="L196" i="6"/>
  <c r="K196" i="6"/>
  <c r="Q196" i="6" s="1"/>
  <c r="R196" i="6" s="1"/>
  <c r="J196" i="6"/>
  <c r="I196" i="6"/>
  <c r="H196" i="6"/>
  <c r="G196" i="6"/>
  <c r="F196" i="6"/>
  <c r="E196" i="6"/>
  <c r="AE196" i="6" s="1"/>
  <c r="D196" i="6"/>
  <c r="C196" i="6"/>
  <c r="AJ196" i="6" s="1"/>
  <c r="B196" i="6"/>
  <c r="X196" i="6" s="1"/>
  <c r="A196" i="6"/>
  <c r="AM195" i="6"/>
  <c r="AK195" i="6"/>
  <c r="AI195" i="6"/>
  <c r="AD195" i="6"/>
  <c r="AB195" i="6"/>
  <c r="Y195" i="6"/>
  <c r="X195" i="6"/>
  <c r="P195" i="6"/>
  <c r="O195" i="6"/>
  <c r="N195" i="6"/>
  <c r="M195" i="6"/>
  <c r="S195" i="6" s="1"/>
  <c r="L195" i="6"/>
  <c r="AF195" i="6" s="1"/>
  <c r="K195" i="6"/>
  <c r="Q195" i="6" s="1"/>
  <c r="R195" i="6" s="1"/>
  <c r="J195" i="6"/>
  <c r="I195" i="6"/>
  <c r="H195" i="6"/>
  <c r="G195" i="6"/>
  <c r="F195" i="6"/>
  <c r="E195" i="6"/>
  <c r="AE195" i="6" s="1"/>
  <c r="D195" i="6"/>
  <c r="AG195" i="6" s="1"/>
  <c r="C195" i="6"/>
  <c r="AJ195" i="6" s="1"/>
  <c r="B195" i="6"/>
  <c r="A195" i="6"/>
  <c r="AI194" i="6"/>
  <c r="AG194" i="6"/>
  <c r="AE194" i="6"/>
  <c r="AB194" i="6"/>
  <c r="S194" i="6"/>
  <c r="P194" i="6"/>
  <c r="O194" i="6"/>
  <c r="N194" i="6"/>
  <c r="M194" i="6"/>
  <c r="L194" i="6"/>
  <c r="K194" i="6"/>
  <c r="Q194" i="6" s="1"/>
  <c r="R194" i="6" s="1"/>
  <c r="Z194" i="6" s="1"/>
  <c r="J194" i="6"/>
  <c r="I194" i="6"/>
  <c r="H194" i="6"/>
  <c r="G194" i="6"/>
  <c r="F194" i="6"/>
  <c r="E194" i="6"/>
  <c r="AD194" i="6" s="1"/>
  <c r="D194" i="6"/>
  <c r="C194" i="6"/>
  <c r="AJ194" i="6" s="1"/>
  <c r="B194" i="6"/>
  <c r="A194" i="6"/>
  <c r="AK193" i="6"/>
  <c r="AI193" i="6"/>
  <c r="AG193" i="6"/>
  <c r="AD193" i="6"/>
  <c r="P193" i="6"/>
  <c r="O193" i="6"/>
  <c r="N193" i="6"/>
  <c r="AB193" i="6" s="1"/>
  <c r="M193" i="6"/>
  <c r="S193" i="6" s="1"/>
  <c r="L193" i="6"/>
  <c r="AF193" i="6" s="1"/>
  <c r="K193" i="6"/>
  <c r="J193" i="6"/>
  <c r="I193" i="6"/>
  <c r="H193" i="6"/>
  <c r="G193" i="6"/>
  <c r="F193" i="6"/>
  <c r="E193" i="6"/>
  <c r="AE193" i="6" s="1"/>
  <c r="D193" i="6"/>
  <c r="C193" i="6"/>
  <c r="AJ193" i="6" s="1"/>
  <c r="B193" i="6"/>
  <c r="X193" i="6" s="1"/>
  <c r="A193" i="6"/>
  <c r="AM192" i="6"/>
  <c r="AK192" i="6"/>
  <c r="AI192" i="6"/>
  <c r="AG192" i="6"/>
  <c r="AD192" i="6"/>
  <c r="AB192" i="6"/>
  <c r="Y192" i="6"/>
  <c r="X192" i="6"/>
  <c r="P192" i="6"/>
  <c r="O192" i="6"/>
  <c r="N192" i="6"/>
  <c r="M192" i="6"/>
  <c r="S192" i="6" s="1"/>
  <c r="L192" i="6"/>
  <c r="AF192" i="6" s="1"/>
  <c r="K192" i="6"/>
  <c r="J192" i="6"/>
  <c r="I192" i="6"/>
  <c r="H192" i="6"/>
  <c r="G192" i="6"/>
  <c r="F192" i="6"/>
  <c r="E192" i="6"/>
  <c r="AE192" i="6" s="1"/>
  <c r="D192" i="6"/>
  <c r="C192" i="6"/>
  <c r="AJ192" i="6" s="1"/>
  <c r="B192" i="6"/>
  <c r="A192" i="6"/>
  <c r="AI191" i="6"/>
  <c r="AE191" i="6"/>
  <c r="S191" i="6"/>
  <c r="P191" i="6"/>
  <c r="O191" i="6"/>
  <c r="N191" i="6"/>
  <c r="AB191" i="6" s="1"/>
  <c r="M191" i="6"/>
  <c r="L191" i="6"/>
  <c r="K191" i="6"/>
  <c r="Q191" i="6" s="1"/>
  <c r="J191" i="6"/>
  <c r="I191" i="6"/>
  <c r="H191" i="6"/>
  <c r="G191" i="6"/>
  <c r="F191" i="6"/>
  <c r="E191" i="6"/>
  <c r="AD191" i="6" s="1"/>
  <c r="D191" i="6"/>
  <c r="AG191" i="6" s="1"/>
  <c r="C191" i="6"/>
  <c r="AJ191" i="6" s="1"/>
  <c r="B191" i="6"/>
  <c r="A191" i="6"/>
  <c r="AM190" i="6"/>
  <c r="AI190" i="6"/>
  <c r="AG190" i="6"/>
  <c r="AF190" i="6"/>
  <c r="AD190" i="6"/>
  <c r="P190" i="6"/>
  <c r="O190" i="6"/>
  <c r="N190" i="6"/>
  <c r="AB190" i="6" s="1"/>
  <c r="M190" i="6"/>
  <c r="S190" i="6" s="1"/>
  <c r="L190" i="6"/>
  <c r="K190" i="6"/>
  <c r="Q190" i="6" s="1"/>
  <c r="R190" i="6" s="1"/>
  <c r="J190" i="6"/>
  <c r="I190" i="6"/>
  <c r="H190" i="6"/>
  <c r="G190" i="6"/>
  <c r="F190" i="6"/>
  <c r="E190" i="6"/>
  <c r="AE190" i="6" s="1"/>
  <c r="D190" i="6"/>
  <c r="C190" i="6"/>
  <c r="AJ190" i="6" s="1"/>
  <c r="B190" i="6"/>
  <c r="X190" i="6" s="1"/>
  <c r="A190" i="6"/>
  <c r="AM189" i="6"/>
  <c r="AD189" i="6"/>
  <c r="AB189" i="6"/>
  <c r="Y189" i="6"/>
  <c r="X189" i="6"/>
  <c r="P189" i="6"/>
  <c r="O189" i="6"/>
  <c r="N189" i="6"/>
  <c r="M189" i="6"/>
  <c r="S189" i="6" s="1"/>
  <c r="L189" i="6"/>
  <c r="AF189" i="6" s="1"/>
  <c r="K189" i="6"/>
  <c r="Q189" i="6" s="1"/>
  <c r="R189" i="6" s="1"/>
  <c r="J189" i="6"/>
  <c r="I189" i="6"/>
  <c r="H189" i="6"/>
  <c r="G189" i="6"/>
  <c r="F189" i="6"/>
  <c r="E189" i="6"/>
  <c r="AE189" i="6" s="1"/>
  <c r="D189" i="6"/>
  <c r="AG189" i="6" s="1"/>
  <c r="C189" i="6"/>
  <c r="B189" i="6"/>
  <c r="A189" i="6"/>
  <c r="AI188" i="6"/>
  <c r="AG188" i="6"/>
  <c r="AE188" i="6"/>
  <c r="AB188" i="6"/>
  <c r="S188" i="6"/>
  <c r="P188" i="6"/>
  <c r="O188" i="6"/>
  <c r="N188" i="6"/>
  <c r="M188" i="6"/>
  <c r="L188" i="6"/>
  <c r="K188" i="6"/>
  <c r="Q188" i="6" s="1"/>
  <c r="R188" i="6" s="1"/>
  <c r="T188" i="6" s="1"/>
  <c r="J188" i="6"/>
  <c r="I188" i="6"/>
  <c r="H188" i="6"/>
  <c r="G188" i="6"/>
  <c r="F188" i="6"/>
  <c r="E188" i="6"/>
  <c r="AD188" i="6" s="1"/>
  <c r="D188" i="6"/>
  <c r="C188" i="6"/>
  <c r="AJ188" i="6" s="1"/>
  <c r="B188" i="6"/>
  <c r="A188" i="6"/>
  <c r="AK187" i="6"/>
  <c r="AJ187" i="6"/>
  <c r="AG187" i="6"/>
  <c r="AD187" i="6"/>
  <c r="P187" i="6"/>
  <c r="O187" i="6"/>
  <c r="N187" i="6"/>
  <c r="AB187" i="6" s="1"/>
  <c r="M187" i="6"/>
  <c r="S187" i="6" s="1"/>
  <c r="L187" i="6"/>
  <c r="AF187" i="6" s="1"/>
  <c r="K187" i="6"/>
  <c r="Q187" i="6" s="1"/>
  <c r="R187" i="6" s="1"/>
  <c r="J187" i="6"/>
  <c r="I187" i="6"/>
  <c r="H187" i="6"/>
  <c r="G187" i="6"/>
  <c r="F187" i="6"/>
  <c r="E187" i="6"/>
  <c r="AE187" i="6" s="1"/>
  <c r="D187" i="6"/>
  <c r="C187" i="6"/>
  <c r="B187" i="6"/>
  <c r="X187" i="6" s="1"/>
  <c r="A187" i="6"/>
  <c r="AI187" i="6" s="1"/>
  <c r="AM186" i="6"/>
  <c r="AI186" i="6"/>
  <c r="AD186" i="6"/>
  <c r="AB186" i="6"/>
  <c r="Y186" i="6"/>
  <c r="X186" i="6"/>
  <c r="S186" i="6"/>
  <c r="P186" i="6"/>
  <c r="O186" i="6"/>
  <c r="N186" i="6"/>
  <c r="M186" i="6"/>
  <c r="L186" i="6"/>
  <c r="AF186" i="6" s="1"/>
  <c r="K186" i="6"/>
  <c r="Q186" i="6" s="1"/>
  <c r="R186" i="6" s="1"/>
  <c r="J186" i="6"/>
  <c r="I186" i="6"/>
  <c r="H186" i="6"/>
  <c r="G186" i="6"/>
  <c r="F186" i="6"/>
  <c r="E186" i="6"/>
  <c r="AE186" i="6" s="1"/>
  <c r="D186" i="6"/>
  <c r="AG186" i="6" s="1"/>
  <c r="C186" i="6"/>
  <c r="AJ186" i="6" s="1"/>
  <c r="B186" i="6"/>
  <c r="A186" i="6"/>
  <c r="AK185" i="6"/>
  <c r="AG185" i="6"/>
  <c r="AE185" i="6"/>
  <c r="AB185" i="6"/>
  <c r="P185" i="6"/>
  <c r="O185" i="6"/>
  <c r="N185" i="6"/>
  <c r="M185" i="6"/>
  <c r="S185" i="6" s="1"/>
  <c r="L185" i="6"/>
  <c r="K185" i="6"/>
  <c r="Q185" i="6" s="1"/>
  <c r="R185" i="6" s="1"/>
  <c r="T185" i="6" s="1"/>
  <c r="J185" i="6"/>
  <c r="I185" i="6"/>
  <c r="H185" i="6"/>
  <c r="G185" i="6"/>
  <c r="F185" i="6"/>
  <c r="E185" i="6"/>
  <c r="AD185" i="6" s="1"/>
  <c r="D185" i="6"/>
  <c r="C185" i="6"/>
  <c r="AJ185" i="6" s="1"/>
  <c r="B185" i="6"/>
  <c r="A185" i="6"/>
  <c r="AG184" i="6"/>
  <c r="AF184" i="6"/>
  <c r="AD184" i="6"/>
  <c r="P184" i="6"/>
  <c r="O184" i="6"/>
  <c r="N184" i="6"/>
  <c r="AB184" i="6" s="1"/>
  <c r="M184" i="6"/>
  <c r="S184" i="6" s="1"/>
  <c r="L184" i="6"/>
  <c r="K184" i="6"/>
  <c r="Q184" i="6" s="1"/>
  <c r="R184" i="6" s="1"/>
  <c r="J184" i="6"/>
  <c r="I184" i="6"/>
  <c r="H184" i="6"/>
  <c r="G184" i="6"/>
  <c r="F184" i="6"/>
  <c r="E184" i="6"/>
  <c r="AE184" i="6" s="1"/>
  <c r="D184" i="6"/>
  <c r="C184" i="6"/>
  <c r="B184" i="6"/>
  <c r="X184" i="6" s="1"/>
  <c r="A184" i="6"/>
  <c r="AM183" i="6"/>
  <c r="AK183" i="6"/>
  <c r="AJ183" i="6"/>
  <c r="AD183" i="6"/>
  <c r="AB183" i="6"/>
  <c r="Y183" i="6"/>
  <c r="X183" i="6"/>
  <c r="P183" i="6"/>
  <c r="O183" i="6"/>
  <c r="N183" i="6"/>
  <c r="M183" i="6"/>
  <c r="S183" i="6" s="1"/>
  <c r="L183" i="6"/>
  <c r="AF183" i="6" s="1"/>
  <c r="K183" i="6"/>
  <c r="Q183" i="6" s="1"/>
  <c r="R183" i="6" s="1"/>
  <c r="J183" i="6"/>
  <c r="I183" i="6"/>
  <c r="H183" i="6"/>
  <c r="G183" i="6"/>
  <c r="F183" i="6"/>
  <c r="E183" i="6"/>
  <c r="AE183" i="6" s="1"/>
  <c r="D183" i="6"/>
  <c r="AG183" i="6" s="1"/>
  <c r="C183" i="6"/>
  <c r="B183" i="6"/>
  <c r="A183" i="6"/>
  <c r="AG182" i="6"/>
  <c r="AE182" i="6"/>
  <c r="P182" i="6"/>
  <c r="O182" i="6"/>
  <c r="N182" i="6"/>
  <c r="AB182" i="6" s="1"/>
  <c r="M182" i="6"/>
  <c r="S182" i="6" s="1"/>
  <c r="L182" i="6"/>
  <c r="K182" i="6"/>
  <c r="Q182" i="6" s="1"/>
  <c r="J182" i="6"/>
  <c r="I182" i="6"/>
  <c r="H182" i="6"/>
  <c r="G182" i="6"/>
  <c r="F182" i="6"/>
  <c r="E182" i="6"/>
  <c r="AD182" i="6" s="1"/>
  <c r="D182" i="6"/>
  <c r="C182" i="6"/>
  <c r="AJ182" i="6" s="1"/>
  <c r="B182" i="6"/>
  <c r="A182" i="6"/>
  <c r="AI182" i="6" s="1"/>
  <c r="AI181" i="6"/>
  <c r="AG181" i="6"/>
  <c r="AF181" i="6"/>
  <c r="AD181" i="6"/>
  <c r="Y181" i="6"/>
  <c r="S181" i="6"/>
  <c r="P181" i="6"/>
  <c r="O181" i="6"/>
  <c r="N181" i="6"/>
  <c r="AB181" i="6" s="1"/>
  <c r="M181" i="6"/>
  <c r="L181" i="6"/>
  <c r="K181" i="6"/>
  <c r="Q181" i="6" s="1"/>
  <c r="R181" i="6" s="1"/>
  <c r="J181" i="6"/>
  <c r="I181" i="6"/>
  <c r="H181" i="6"/>
  <c r="G181" i="6"/>
  <c r="F181" i="6"/>
  <c r="E181" i="6"/>
  <c r="AE181" i="6" s="1"/>
  <c r="D181" i="6"/>
  <c r="C181" i="6"/>
  <c r="AK181" i="6" s="1"/>
  <c r="B181" i="6"/>
  <c r="X181" i="6" s="1"/>
  <c r="A181" i="6"/>
  <c r="AM180" i="6"/>
  <c r="AD180" i="6"/>
  <c r="AB180" i="6"/>
  <c r="Y180" i="6"/>
  <c r="X180" i="6"/>
  <c r="P180" i="6"/>
  <c r="O180" i="6"/>
  <c r="N180" i="6"/>
  <c r="M180" i="6"/>
  <c r="S180" i="6" s="1"/>
  <c r="L180" i="6"/>
  <c r="AF180" i="6" s="1"/>
  <c r="K180" i="6"/>
  <c r="Q180" i="6" s="1"/>
  <c r="R180" i="6" s="1"/>
  <c r="J180" i="6"/>
  <c r="I180" i="6"/>
  <c r="H180" i="6"/>
  <c r="G180" i="6"/>
  <c r="F180" i="6"/>
  <c r="E180" i="6"/>
  <c r="AE180" i="6" s="1"/>
  <c r="D180" i="6"/>
  <c r="AG180" i="6" s="1"/>
  <c r="C180" i="6"/>
  <c r="B180" i="6"/>
  <c r="A180" i="6"/>
  <c r="AI179" i="6"/>
  <c r="AG179" i="6"/>
  <c r="AE179" i="6"/>
  <c r="AB179" i="6"/>
  <c r="S179" i="6"/>
  <c r="P179" i="6"/>
  <c r="O179" i="6"/>
  <c r="N179" i="6"/>
  <c r="M179" i="6"/>
  <c r="L179" i="6"/>
  <c r="K179" i="6"/>
  <c r="Q179" i="6" s="1"/>
  <c r="R179" i="6" s="1"/>
  <c r="J179" i="6"/>
  <c r="I179" i="6"/>
  <c r="H179" i="6"/>
  <c r="G179" i="6"/>
  <c r="F179" i="6"/>
  <c r="E179" i="6"/>
  <c r="AD179" i="6" s="1"/>
  <c r="D179" i="6"/>
  <c r="C179" i="6"/>
  <c r="AJ179" i="6" s="1"/>
  <c r="B179" i="6"/>
  <c r="A179" i="6"/>
  <c r="AK178" i="6"/>
  <c r="AG178" i="6"/>
  <c r="AD178" i="6"/>
  <c r="P178" i="6"/>
  <c r="O178" i="6"/>
  <c r="N178" i="6"/>
  <c r="AB178" i="6" s="1"/>
  <c r="M178" i="6"/>
  <c r="S178" i="6" s="1"/>
  <c r="L178" i="6"/>
  <c r="AF178" i="6" s="1"/>
  <c r="K178" i="6"/>
  <c r="Q178" i="6" s="1"/>
  <c r="R178" i="6" s="1"/>
  <c r="J178" i="6"/>
  <c r="I178" i="6"/>
  <c r="H178" i="6"/>
  <c r="G178" i="6"/>
  <c r="F178" i="6"/>
  <c r="E178" i="6"/>
  <c r="AE178" i="6" s="1"/>
  <c r="D178" i="6"/>
  <c r="C178" i="6"/>
  <c r="AJ178" i="6" s="1"/>
  <c r="B178" i="6"/>
  <c r="X178" i="6" s="1"/>
  <c r="A178" i="6"/>
  <c r="AM177" i="6"/>
  <c r="AD177" i="6"/>
  <c r="AB177" i="6"/>
  <c r="Y177" i="6"/>
  <c r="X177" i="6"/>
  <c r="P177" i="6"/>
  <c r="O177" i="6"/>
  <c r="N177" i="6"/>
  <c r="M177" i="6"/>
  <c r="S177" i="6" s="1"/>
  <c r="L177" i="6"/>
  <c r="AF177" i="6" s="1"/>
  <c r="K177" i="6"/>
  <c r="Q177" i="6" s="1"/>
  <c r="R177" i="6" s="1"/>
  <c r="J177" i="6"/>
  <c r="I177" i="6"/>
  <c r="H177" i="6"/>
  <c r="G177" i="6"/>
  <c r="F177" i="6"/>
  <c r="E177" i="6"/>
  <c r="AE177" i="6" s="1"/>
  <c r="D177" i="6"/>
  <c r="AG177" i="6" s="1"/>
  <c r="C177" i="6"/>
  <c r="B177" i="6"/>
  <c r="A177" i="6"/>
  <c r="AI177" i="6" s="1"/>
  <c r="AG176" i="6"/>
  <c r="AE176" i="6"/>
  <c r="AB176" i="6"/>
  <c r="AA176" i="6"/>
  <c r="P176" i="6"/>
  <c r="O176" i="6"/>
  <c r="N176" i="6"/>
  <c r="M176" i="6"/>
  <c r="S176" i="6" s="1"/>
  <c r="L176" i="6"/>
  <c r="K176" i="6"/>
  <c r="Q176" i="6" s="1"/>
  <c r="R176" i="6" s="1"/>
  <c r="J176" i="6"/>
  <c r="I176" i="6"/>
  <c r="H176" i="6"/>
  <c r="G176" i="6"/>
  <c r="F176" i="6"/>
  <c r="E176" i="6"/>
  <c r="AD176" i="6" s="1"/>
  <c r="D176" i="6"/>
  <c r="C176" i="6"/>
  <c r="AJ176" i="6" s="1"/>
  <c r="B176" i="6"/>
  <c r="A176" i="6"/>
  <c r="AK175" i="6"/>
  <c r="AG175" i="6"/>
  <c r="AF175" i="6"/>
  <c r="AD175" i="6"/>
  <c r="P175" i="6"/>
  <c r="O175" i="6"/>
  <c r="N175" i="6"/>
  <c r="AB175" i="6" s="1"/>
  <c r="M175" i="6"/>
  <c r="S175" i="6" s="1"/>
  <c r="L175" i="6"/>
  <c r="K175" i="6"/>
  <c r="Q175" i="6" s="1"/>
  <c r="R175" i="6" s="1"/>
  <c r="J175" i="6"/>
  <c r="I175" i="6"/>
  <c r="H175" i="6"/>
  <c r="G175" i="6"/>
  <c r="F175" i="6"/>
  <c r="E175" i="6"/>
  <c r="AE175" i="6" s="1"/>
  <c r="D175" i="6"/>
  <c r="C175" i="6"/>
  <c r="AJ175" i="6" s="1"/>
  <c r="B175" i="6"/>
  <c r="X175" i="6" s="1"/>
  <c r="A175" i="6"/>
  <c r="AM174" i="6"/>
  <c r="AJ174" i="6"/>
  <c r="AD174" i="6"/>
  <c r="AB174" i="6"/>
  <c r="Y174" i="6"/>
  <c r="X174" i="6"/>
  <c r="P174" i="6"/>
  <c r="O174" i="6"/>
  <c r="N174" i="6"/>
  <c r="M174" i="6"/>
  <c r="S174" i="6" s="1"/>
  <c r="L174" i="6"/>
  <c r="AF174" i="6" s="1"/>
  <c r="K174" i="6"/>
  <c r="Q174" i="6" s="1"/>
  <c r="R174" i="6" s="1"/>
  <c r="J174" i="6"/>
  <c r="I174" i="6"/>
  <c r="H174" i="6"/>
  <c r="G174" i="6"/>
  <c r="F174" i="6"/>
  <c r="E174" i="6"/>
  <c r="AE174" i="6" s="1"/>
  <c r="D174" i="6"/>
  <c r="AG174" i="6" s="1"/>
  <c r="C174" i="6"/>
  <c r="AK174" i="6" s="1"/>
  <c r="B174" i="6"/>
  <c r="A174" i="6"/>
  <c r="AG173" i="6"/>
  <c r="AE173" i="6"/>
  <c r="P173" i="6"/>
  <c r="O173" i="6"/>
  <c r="N173" i="6"/>
  <c r="AB173" i="6" s="1"/>
  <c r="M173" i="6"/>
  <c r="S173" i="6" s="1"/>
  <c r="L173" i="6"/>
  <c r="K173" i="6"/>
  <c r="Q173" i="6" s="1"/>
  <c r="R173" i="6" s="1"/>
  <c r="J173" i="6"/>
  <c r="I173" i="6"/>
  <c r="H173" i="6"/>
  <c r="G173" i="6"/>
  <c r="F173" i="6"/>
  <c r="E173" i="6"/>
  <c r="AD173" i="6" s="1"/>
  <c r="D173" i="6"/>
  <c r="C173" i="6"/>
  <c r="B173" i="6"/>
  <c r="A173" i="6"/>
  <c r="AI172" i="6"/>
  <c r="AG172" i="6"/>
  <c r="AF172" i="6"/>
  <c r="AD172" i="6"/>
  <c r="Y172" i="6"/>
  <c r="P172" i="6"/>
  <c r="O172" i="6"/>
  <c r="N172" i="6"/>
  <c r="AB172" i="6" s="1"/>
  <c r="M172" i="6"/>
  <c r="S172" i="6" s="1"/>
  <c r="L172" i="6"/>
  <c r="K172" i="6"/>
  <c r="Q172" i="6" s="1"/>
  <c r="R172" i="6" s="1"/>
  <c r="J172" i="6"/>
  <c r="I172" i="6"/>
  <c r="H172" i="6"/>
  <c r="G172" i="6"/>
  <c r="F172" i="6"/>
  <c r="E172" i="6"/>
  <c r="AE172" i="6" s="1"/>
  <c r="D172" i="6"/>
  <c r="C172" i="6"/>
  <c r="AJ172" i="6" s="1"/>
  <c r="B172" i="6"/>
  <c r="X172" i="6" s="1"/>
  <c r="A172" i="6"/>
  <c r="AM171" i="6"/>
  <c r="AD171" i="6"/>
  <c r="AB171" i="6"/>
  <c r="Y171" i="6"/>
  <c r="X171" i="6"/>
  <c r="P171" i="6"/>
  <c r="O171" i="6"/>
  <c r="N171" i="6"/>
  <c r="M171" i="6"/>
  <c r="S171" i="6" s="1"/>
  <c r="L171" i="6"/>
  <c r="AF171" i="6" s="1"/>
  <c r="K171" i="6"/>
  <c r="Q171" i="6" s="1"/>
  <c r="R171" i="6" s="1"/>
  <c r="J171" i="6"/>
  <c r="I171" i="6"/>
  <c r="H171" i="6"/>
  <c r="G171" i="6"/>
  <c r="F171" i="6"/>
  <c r="E171" i="6"/>
  <c r="AE171" i="6" s="1"/>
  <c r="D171" i="6"/>
  <c r="AG171" i="6" s="1"/>
  <c r="C171" i="6"/>
  <c r="B171" i="6"/>
  <c r="A171" i="6"/>
  <c r="AI170" i="6"/>
  <c r="AG170" i="6"/>
  <c r="AE170" i="6"/>
  <c r="AB170" i="6"/>
  <c r="S170" i="6"/>
  <c r="P170" i="6"/>
  <c r="O170" i="6"/>
  <c r="N170" i="6"/>
  <c r="M170" i="6"/>
  <c r="L170" i="6"/>
  <c r="K170" i="6"/>
  <c r="Q170" i="6" s="1"/>
  <c r="R170" i="6" s="1"/>
  <c r="J170" i="6"/>
  <c r="I170" i="6"/>
  <c r="H170" i="6"/>
  <c r="G170" i="6"/>
  <c r="F170" i="6"/>
  <c r="E170" i="6"/>
  <c r="AD170" i="6" s="1"/>
  <c r="D170" i="6"/>
  <c r="C170" i="6"/>
  <c r="B170" i="6"/>
  <c r="A170" i="6"/>
  <c r="AK169" i="6"/>
  <c r="AI169" i="6"/>
  <c r="AG169" i="6"/>
  <c r="AF169" i="6"/>
  <c r="AD169" i="6"/>
  <c r="P169" i="6"/>
  <c r="O169" i="6"/>
  <c r="N169" i="6"/>
  <c r="AB169" i="6" s="1"/>
  <c r="M169" i="6"/>
  <c r="S169" i="6" s="1"/>
  <c r="L169" i="6"/>
  <c r="K169" i="6"/>
  <c r="Q169" i="6" s="1"/>
  <c r="R169" i="6" s="1"/>
  <c r="Z169" i="6" s="1"/>
  <c r="J169" i="6"/>
  <c r="I169" i="6"/>
  <c r="H169" i="6"/>
  <c r="G169" i="6"/>
  <c r="F169" i="6"/>
  <c r="E169" i="6"/>
  <c r="AE169" i="6" s="1"/>
  <c r="D169" i="6"/>
  <c r="C169" i="6"/>
  <c r="AJ169" i="6" s="1"/>
  <c r="B169" i="6"/>
  <c r="X169" i="6" s="1"/>
  <c r="A169" i="6"/>
  <c r="AM168" i="6"/>
  <c r="AD168" i="6"/>
  <c r="AB168" i="6"/>
  <c r="Y168" i="6"/>
  <c r="X168" i="6"/>
  <c r="P168" i="6"/>
  <c r="O168" i="6"/>
  <c r="N168" i="6"/>
  <c r="M168" i="6"/>
  <c r="S168" i="6" s="1"/>
  <c r="L168" i="6"/>
  <c r="AF168" i="6" s="1"/>
  <c r="K168" i="6"/>
  <c r="Q168" i="6" s="1"/>
  <c r="R168" i="6" s="1"/>
  <c r="J168" i="6"/>
  <c r="I168" i="6"/>
  <c r="H168" i="6"/>
  <c r="G168" i="6"/>
  <c r="F168" i="6"/>
  <c r="E168" i="6"/>
  <c r="AE168" i="6" s="1"/>
  <c r="D168" i="6"/>
  <c r="AG168" i="6" s="1"/>
  <c r="C168" i="6"/>
  <c r="B168" i="6"/>
  <c r="A168" i="6"/>
  <c r="AI167" i="6"/>
  <c r="AG167" i="6"/>
  <c r="AE167" i="6"/>
  <c r="AB167" i="6"/>
  <c r="S167" i="6"/>
  <c r="P167" i="6"/>
  <c r="O167" i="6"/>
  <c r="N167" i="6"/>
  <c r="M167" i="6"/>
  <c r="L167" i="6"/>
  <c r="AF167" i="6" s="1"/>
  <c r="K167" i="6"/>
  <c r="Q167" i="6" s="1"/>
  <c r="R167" i="6" s="1"/>
  <c r="J167" i="6"/>
  <c r="I167" i="6"/>
  <c r="H167" i="6"/>
  <c r="G167" i="6"/>
  <c r="F167" i="6"/>
  <c r="E167" i="6"/>
  <c r="AD167" i="6" s="1"/>
  <c r="D167" i="6"/>
  <c r="C167" i="6"/>
  <c r="B167" i="6"/>
  <c r="A167" i="6"/>
  <c r="AK166" i="6"/>
  <c r="AJ166" i="6"/>
  <c r="Y166" i="6"/>
  <c r="X166" i="6"/>
  <c r="P166" i="6"/>
  <c r="O166" i="6"/>
  <c r="N166" i="6"/>
  <c r="AB166" i="6" s="1"/>
  <c r="M166" i="6"/>
  <c r="L166" i="6"/>
  <c r="K166" i="6"/>
  <c r="S166" i="6" s="1"/>
  <c r="J166" i="6"/>
  <c r="I166" i="6"/>
  <c r="H166" i="6"/>
  <c r="G166" i="6"/>
  <c r="F166" i="6"/>
  <c r="E166" i="6"/>
  <c r="D166" i="6"/>
  <c r="AG166" i="6" s="1"/>
  <c r="C166" i="6"/>
  <c r="B166" i="6"/>
  <c r="AM166" i="6" s="1"/>
  <c r="A166" i="6"/>
  <c r="AM165" i="6"/>
  <c r="AJ165" i="6"/>
  <c r="AI165" i="6"/>
  <c r="AG165" i="6"/>
  <c r="X165" i="6"/>
  <c r="P165" i="6"/>
  <c r="O165" i="6"/>
  <c r="N165" i="6"/>
  <c r="AB165" i="6" s="1"/>
  <c r="M165" i="6"/>
  <c r="L165" i="6"/>
  <c r="K165" i="6"/>
  <c r="S165" i="6" s="1"/>
  <c r="J165" i="6"/>
  <c r="I165" i="6"/>
  <c r="H165" i="6"/>
  <c r="G165" i="6"/>
  <c r="F165" i="6"/>
  <c r="E165" i="6"/>
  <c r="D165" i="6"/>
  <c r="C165" i="6"/>
  <c r="B165" i="6"/>
  <c r="Y165" i="6" s="1"/>
  <c r="A165" i="6"/>
  <c r="AM164" i="6"/>
  <c r="AG164" i="6"/>
  <c r="AF164" i="6"/>
  <c r="AE164" i="6"/>
  <c r="AD164" i="6"/>
  <c r="Y164" i="6"/>
  <c r="P164" i="6"/>
  <c r="O164" i="6"/>
  <c r="N164" i="6"/>
  <c r="AB164" i="6" s="1"/>
  <c r="M164" i="6"/>
  <c r="S164" i="6" s="1"/>
  <c r="L164" i="6"/>
  <c r="K164" i="6"/>
  <c r="Q164" i="6" s="1"/>
  <c r="R164" i="6" s="1"/>
  <c r="J164" i="6"/>
  <c r="I164" i="6"/>
  <c r="H164" i="6"/>
  <c r="G164" i="6"/>
  <c r="F164" i="6"/>
  <c r="E164" i="6"/>
  <c r="D164" i="6"/>
  <c r="C164" i="6"/>
  <c r="AJ164" i="6" s="1"/>
  <c r="B164" i="6"/>
  <c r="X164" i="6" s="1"/>
  <c r="A164" i="6"/>
  <c r="AK163" i="6"/>
  <c r="AJ163" i="6"/>
  <c r="Y163" i="6"/>
  <c r="X163" i="6"/>
  <c r="P163" i="6"/>
  <c r="O163" i="6"/>
  <c r="N163" i="6"/>
  <c r="AB163" i="6" s="1"/>
  <c r="M163" i="6"/>
  <c r="L163" i="6"/>
  <c r="K163" i="6"/>
  <c r="S163" i="6" s="1"/>
  <c r="J163" i="6"/>
  <c r="I163" i="6"/>
  <c r="H163" i="6"/>
  <c r="G163" i="6"/>
  <c r="F163" i="6"/>
  <c r="E163" i="6"/>
  <c r="D163" i="6"/>
  <c r="AG163" i="6" s="1"/>
  <c r="C163" i="6"/>
  <c r="B163" i="6"/>
  <c r="AM163" i="6" s="1"/>
  <c r="A163" i="6"/>
  <c r="AM162" i="6"/>
  <c r="AI162" i="6"/>
  <c r="AG162" i="6"/>
  <c r="X162" i="6"/>
  <c r="P162" i="6"/>
  <c r="O162" i="6"/>
  <c r="N162" i="6"/>
  <c r="AB162" i="6" s="1"/>
  <c r="M162" i="6"/>
  <c r="L162" i="6"/>
  <c r="AF162" i="6" s="1"/>
  <c r="K162" i="6"/>
  <c r="S162" i="6" s="1"/>
  <c r="J162" i="6"/>
  <c r="I162" i="6"/>
  <c r="H162" i="6"/>
  <c r="G162" i="6"/>
  <c r="F162" i="6"/>
  <c r="E162" i="6"/>
  <c r="D162" i="6"/>
  <c r="C162" i="6"/>
  <c r="AJ162" i="6" s="1"/>
  <c r="B162" i="6"/>
  <c r="Y162" i="6" s="1"/>
  <c r="A162" i="6"/>
  <c r="AM161" i="6"/>
  <c r="AK161" i="6"/>
  <c r="AG161" i="6"/>
  <c r="AE161" i="6"/>
  <c r="AD161" i="6"/>
  <c r="Y161" i="6"/>
  <c r="S161" i="6"/>
  <c r="P161" i="6"/>
  <c r="O161" i="6"/>
  <c r="N161" i="6"/>
  <c r="AB161" i="6" s="1"/>
  <c r="M161" i="6"/>
  <c r="L161" i="6"/>
  <c r="AF161" i="6" s="1"/>
  <c r="K161" i="6"/>
  <c r="J161" i="6"/>
  <c r="I161" i="6"/>
  <c r="H161" i="6"/>
  <c r="G161" i="6"/>
  <c r="F161" i="6"/>
  <c r="E161" i="6"/>
  <c r="D161" i="6"/>
  <c r="C161" i="6"/>
  <c r="AJ161" i="6" s="1"/>
  <c r="B161" i="6"/>
  <c r="X161" i="6" s="1"/>
  <c r="A161" i="6"/>
  <c r="AK160" i="6"/>
  <c r="AJ160" i="6"/>
  <c r="Y160" i="6"/>
  <c r="X160" i="6"/>
  <c r="P160" i="6"/>
  <c r="O160" i="6"/>
  <c r="N160" i="6"/>
  <c r="AB160" i="6" s="1"/>
  <c r="M160" i="6"/>
  <c r="L160" i="6"/>
  <c r="K160" i="6"/>
  <c r="Q160" i="6" s="1"/>
  <c r="R160" i="6" s="1"/>
  <c r="J160" i="6"/>
  <c r="I160" i="6"/>
  <c r="H160" i="6"/>
  <c r="G160" i="6"/>
  <c r="F160" i="6"/>
  <c r="E160" i="6"/>
  <c r="AD160" i="6" s="1"/>
  <c r="D160" i="6"/>
  <c r="AG160" i="6" s="1"/>
  <c r="C160" i="6"/>
  <c r="B160" i="6"/>
  <c r="AM160" i="6" s="1"/>
  <c r="A160" i="6"/>
  <c r="AM159" i="6"/>
  <c r="AJ159" i="6"/>
  <c r="AI159" i="6"/>
  <c r="AG159" i="6"/>
  <c r="AF159" i="6"/>
  <c r="X159" i="6"/>
  <c r="P159" i="6"/>
  <c r="O159" i="6"/>
  <c r="N159" i="6"/>
  <c r="AB159" i="6" s="1"/>
  <c r="M159" i="6"/>
  <c r="L159" i="6"/>
  <c r="K159" i="6"/>
  <c r="S159" i="6" s="1"/>
  <c r="J159" i="6"/>
  <c r="I159" i="6"/>
  <c r="H159" i="6"/>
  <c r="G159" i="6"/>
  <c r="F159" i="6"/>
  <c r="E159" i="6"/>
  <c r="D159" i="6"/>
  <c r="C159" i="6"/>
  <c r="B159" i="6"/>
  <c r="Y159" i="6" s="1"/>
  <c r="A159" i="6"/>
  <c r="AG158" i="6"/>
  <c r="AF158" i="6"/>
  <c r="AE158" i="6"/>
  <c r="AD158" i="6"/>
  <c r="Y158" i="6"/>
  <c r="S158" i="6"/>
  <c r="P158" i="6"/>
  <c r="O158" i="6"/>
  <c r="N158" i="6"/>
  <c r="AB158" i="6" s="1"/>
  <c r="M158" i="6"/>
  <c r="L158" i="6"/>
  <c r="K158" i="6"/>
  <c r="Q158" i="6" s="1"/>
  <c r="R158" i="6" s="1"/>
  <c r="J158" i="6"/>
  <c r="I158" i="6"/>
  <c r="H158" i="6"/>
  <c r="G158" i="6"/>
  <c r="F158" i="6"/>
  <c r="E158" i="6"/>
  <c r="D158" i="6"/>
  <c r="C158" i="6"/>
  <c r="B158" i="6"/>
  <c r="X158" i="6" s="1"/>
  <c r="A158" i="6"/>
  <c r="AK157" i="6"/>
  <c r="AJ157" i="6"/>
  <c r="AE157" i="6"/>
  <c r="S157" i="6"/>
  <c r="P157" i="6"/>
  <c r="O157" i="6"/>
  <c r="N157" i="6"/>
  <c r="AB157" i="6" s="1"/>
  <c r="M157" i="6"/>
  <c r="L157" i="6"/>
  <c r="AF157" i="6" s="1"/>
  <c r="K157" i="6"/>
  <c r="Q157" i="6" s="1"/>
  <c r="R157" i="6" s="1"/>
  <c r="T157" i="6" s="1"/>
  <c r="J157" i="6"/>
  <c r="I157" i="6"/>
  <c r="H157" i="6"/>
  <c r="G157" i="6"/>
  <c r="F157" i="6"/>
  <c r="E157" i="6"/>
  <c r="AD157" i="6" s="1"/>
  <c r="D157" i="6"/>
  <c r="AG157" i="6" s="1"/>
  <c r="C157" i="6"/>
  <c r="B157" i="6"/>
  <c r="A157" i="6"/>
  <c r="AI156" i="6"/>
  <c r="AG156" i="6"/>
  <c r="AB156" i="6"/>
  <c r="X156" i="6"/>
  <c r="P156" i="6"/>
  <c r="O156" i="6"/>
  <c r="N156" i="6"/>
  <c r="M156" i="6"/>
  <c r="L156" i="6"/>
  <c r="AF156" i="6" s="1"/>
  <c r="K156" i="6"/>
  <c r="S156" i="6" s="1"/>
  <c r="J156" i="6"/>
  <c r="I156" i="6"/>
  <c r="H156" i="6"/>
  <c r="G156" i="6"/>
  <c r="F156" i="6"/>
  <c r="E156" i="6"/>
  <c r="D156" i="6"/>
  <c r="C156" i="6"/>
  <c r="AJ156" i="6" s="1"/>
  <c r="B156" i="6"/>
  <c r="Y156" i="6" s="1"/>
  <c r="A156" i="6"/>
  <c r="AG155" i="6"/>
  <c r="AF155" i="6"/>
  <c r="AE155" i="6"/>
  <c r="AD155" i="6"/>
  <c r="P155" i="6"/>
  <c r="O155" i="6"/>
  <c r="N155" i="6"/>
  <c r="AB155" i="6" s="1"/>
  <c r="M155" i="6"/>
  <c r="S155" i="6" s="1"/>
  <c r="L155" i="6"/>
  <c r="K155" i="6"/>
  <c r="Q155" i="6" s="1"/>
  <c r="J155" i="6"/>
  <c r="I155" i="6"/>
  <c r="H155" i="6"/>
  <c r="G155" i="6"/>
  <c r="F155" i="6"/>
  <c r="E155" i="6"/>
  <c r="D155" i="6"/>
  <c r="C155" i="6"/>
  <c r="AJ155" i="6" s="1"/>
  <c r="B155" i="6"/>
  <c r="X155" i="6" s="1"/>
  <c r="A155" i="6"/>
  <c r="AK154" i="6"/>
  <c r="AJ154" i="6"/>
  <c r="AI154" i="6"/>
  <c r="AB154" i="6"/>
  <c r="S154" i="6"/>
  <c r="P154" i="6"/>
  <c r="O154" i="6"/>
  <c r="N154" i="6"/>
  <c r="M154" i="6"/>
  <c r="L154" i="6"/>
  <c r="AF154" i="6" s="1"/>
  <c r="K154" i="6"/>
  <c r="J154" i="6"/>
  <c r="I154" i="6"/>
  <c r="H154" i="6"/>
  <c r="G154" i="6"/>
  <c r="F154" i="6"/>
  <c r="E154" i="6"/>
  <c r="AD154" i="6" s="1"/>
  <c r="D154" i="6"/>
  <c r="AG154" i="6" s="1"/>
  <c r="C154" i="6"/>
  <c r="B154" i="6"/>
  <c r="A154" i="6"/>
  <c r="AI153" i="6"/>
  <c r="AG153" i="6"/>
  <c r="AF153" i="6"/>
  <c r="X153" i="6"/>
  <c r="P153" i="6"/>
  <c r="O153" i="6"/>
  <c r="N153" i="6"/>
  <c r="AB153" i="6" s="1"/>
  <c r="M153" i="6"/>
  <c r="L153" i="6"/>
  <c r="K153" i="6"/>
  <c r="S153" i="6" s="1"/>
  <c r="J153" i="6"/>
  <c r="I153" i="6"/>
  <c r="H153" i="6"/>
  <c r="G153" i="6"/>
  <c r="F153" i="6"/>
  <c r="E153" i="6"/>
  <c r="D153" i="6"/>
  <c r="C153" i="6"/>
  <c r="B153" i="6"/>
  <c r="Y153" i="6" s="1"/>
  <c r="A153" i="6"/>
  <c r="AJ152" i="6"/>
  <c r="AG152" i="6"/>
  <c r="AE152" i="6"/>
  <c r="AD152" i="6"/>
  <c r="P152" i="6"/>
  <c r="O152" i="6"/>
  <c r="N152" i="6"/>
  <c r="AB152" i="6" s="1"/>
  <c r="M152" i="6"/>
  <c r="S152" i="6" s="1"/>
  <c r="L152" i="6"/>
  <c r="AF152" i="6" s="1"/>
  <c r="K152" i="6"/>
  <c r="J152" i="6"/>
  <c r="I152" i="6"/>
  <c r="H152" i="6"/>
  <c r="G152" i="6"/>
  <c r="F152" i="6"/>
  <c r="E152" i="6"/>
  <c r="D152" i="6"/>
  <c r="C152" i="6"/>
  <c r="AK152" i="6" s="1"/>
  <c r="B152" i="6"/>
  <c r="A152" i="6"/>
  <c r="AK151" i="6"/>
  <c r="AJ151" i="6"/>
  <c r="AI151" i="6"/>
  <c r="AB151" i="6"/>
  <c r="Y151" i="6"/>
  <c r="X151" i="6"/>
  <c r="P151" i="6"/>
  <c r="O151" i="6"/>
  <c r="N151" i="6"/>
  <c r="M151" i="6"/>
  <c r="L151" i="6"/>
  <c r="AF151" i="6" s="1"/>
  <c r="K151" i="6"/>
  <c r="Q151" i="6" s="1"/>
  <c r="R151" i="6" s="1"/>
  <c r="J151" i="6"/>
  <c r="I151" i="6"/>
  <c r="H151" i="6"/>
  <c r="G151" i="6"/>
  <c r="F151" i="6"/>
  <c r="E151" i="6"/>
  <c r="D151" i="6"/>
  <c r="AG151" i="6" s="1"/>
  <c r="C151" i="6"/>
  <c r="B151" i="6"/>
  <c r="AM151" i="6" s="1"/>
  <c r="A151" i="6"/>
  <c r="AM150" i="6"/>
  <c r="AI150" i="6"/>
  <c r="AG150" i="6"/>
  <c r="AF150" i="6"/>
  <c r="AB150" i="6"/>
  <c r="P150" i="6"/>
  <c r="O150" i="6"/>
  <c r="N150" i="6"/>
  <c r="M150" i="6"/>
  <c r="L150" i="6"/>
  <c r="K150" i="6"/>
  <c r="S150" i="6" s="1"/>
  <c r="J150" i="6"/>
  <c r="I150" i="6"/>
  <c r="H150" i="6"/>
  <c r="G150" i="6"/>
  <c r="F150" i="6"/>
  <c r="E150" i="6"/>
  <c r="D150" i="6"/>
  <c r="C150" i="6"/>
  <c r="AJ150" i="6" s="1"/>
  <c r="B150" i="6"/>
  <c r="Y150" i="6" s="1"/>
  <c r="A150" i="6"/>
  <c r="AK149" i="6"/>
  <c r="AJ149" i="6"/>
  <c r="AG149" i="6"/>
  <c r="AE149" i="6"/>
  <c r="AD149" i="6"/>
  <c r="P149" i="6"/>
  <c r="O149" i="6"/>
  <c r="N149" i="6"/>
  <c r="AB149" i="6" s="1"/>
  <c r="M149" i="6"/>
  <c r="S149" i="6" s="1"/>
  <c r="L149" i="6"/>
  <c r="AF149" i="6" s="1"/>
  <c r="K149" i="6"/>
  <c r="Q149" i="6" s="1"/>
  <c r="R149" i="6" s="1"/>
  <c r="J149" i="6"/>
  <c r="I149" i="6"/>
  <c r="H149" i="6"/>
  <c r="G149" i="6"/>
  <c r="F149" i="6"/>
  <c r="E149" i="6"/>
  <c r="D149" i="6"/>
  <c r="C149" i="6"/>
  <c r="B149" i="6"/>
  <c r="A149" i="6"/>
  <c r="AI148" i="6"/>
  <c r="AF148" i="6"/>
  <c r="Y148" i="6"/>
  <c r="P148" i="6"/>
  <c r="O148" i="6"/>
  <c r="N148" i="6"/>
  <c r="AB148" i="6" s="1"/>
  <c r="M148" i="6"/>
  <c r="L148" i="6"/>
  <c r="K148" i="6"/>
  <c r="S148" i="6" s="1"/>
  <c r="J148" i="6"/>
  <c r="I148" i="6"/>
  <c r="H148" i="6"/>
  <c r="G148" i="6"/>
  <c r="F148" i="6"/>
  <c r="E148" i="6"/>
  <c r="AD148" i="6" s="1"/>
  <c r="D148" i="6"/>
  <c r="AG148" i="6" s="1"/>
  <c r="C148" i="6"/>
  <c r="B148" i="6"/>
  <c r="AM148" i="6" s="1"/>
  <c r="A148" i="6"/>
  <c r="AJ147" i="6"/>
  <c r="AG147" i="6"/>
  <c r="AF147" i="6"/>
  <c r="AE147" i="6"/>
  <c r="AD147" i="6"/>
  <c r="P147" i="6"/>
  <c r="O147" i="6"/>
  <c r="N147" i="6"/>
  <c r="AB147" i="6" s="1"/>
  <c r="M147" i="6"/>
  <c r="S147" i="6" s="1"/>
  <c r="L147" i="6"/>
  <c r="K147" i="6"/>
  <c r="Q147" i="6" s="1"/>
  <c r="R147" i="6" s="1"/>
  <c r="J147" i="6"/>
  <c r="I147" i="6"/>
  <c r="H147" i="6"/>
  <c r="G147" i="6"/>
  <c r="F147" i="6"/>
  <c r="E147" i="6"/>
  <c r="D147" i="6"/>
  <c r="C147" i="6"/>
  <c r="AK147" i="6" s="1"/>
  <c r="B147" i="6"/>
  <c r="AM147" i="6" s="1"/>
  <c r="A147" i="6"/>
  <c r="AK146" i="6"/>
  <c r="AJ146" i="6"/>
  <c r="AD146" i="6"/>
  <c r="Y146" i="6"/>
  <c r="P146" i="6"/>
  <c r="O146" i="6"/>
  <c r="N146" i="6"/>
  <c r="AB146" i="6" s="1"/>
  <c r="M146" i="6"/>
  <c r="S146" i="6" s="1"/>
  <c r="L146" i="6"/>
  <c r="AF146" i="6" s="1"/>
  <c r="K146" i="6"/>
  <c r="Q146" i="6" s="1"/>
  <c r="R146" i="6" s="1"/>
  <c r="J146" i="6"/>
  <c r="I146" i="6"/>
  <c r="H146" i="6"/>
  <c r="G146" i="6"/>
  <c r="F146" i="6"/>
  <c r="E146" i="6"/>
  <c r="AE146" i="6" s="1"/>
  <c r="D146" i="6"/>
  <c r="AG146" i="6" s="1"/>
  <c r="C146" i="6"/>
  <c r="B146" i="6"/>
  <c r="AM146" i="6" s="1"/>
  <c r="A146" i="6"/>
  <c r="AI145" i="6"/>
  <c r="AD145" i="6"/>
  <c r="P145" i="6"/>
  <c r="O145" i="6"/>
  <c r="N145" i="6"/>
  <c r="AB145" i="6" s="1"/>
  <c r="M145" i="6"/>
  <c r="L145" i="6"/>
  <c r="AF145" i="6" s="1"/>
  <c r="K145" i="6"/>
  <c r="S145" i="6" s="1"/>
  <c r="J145" i="6"/>
  <c r="I145" i="6"/>
  <c r="H145" i="6"/>
  <c r="G145" i="6"/>
  <c r="F145" i="6"/>
  <c r="E145" i="6"/>
  <c r="AE145" i="6" s="1"/>
  <c r="D145" i="6"/>
  <c r="AG145" i="6" s="1"/>
  <c r="C145" i="6"/>
  <c r="AK145" i="6" s="1"/>
  <c r="B145" i="6"/>
  <c r="Y145" i="6" s="1"/>
  <c r="A145" i="6"/>
  <c r="AE144" i="6"/>
  <c r="AD144" i="6"/>
  <c r="X144" i="6"/>
  <c r="P144" i="6"/>
  <c r="O144" i="6"/>
  <c r="N144" i="6"/>
  <c r="AB144" i="6" s="1"/>
  <c r="M144" i="6"/>
  <c r="S144" i="6" s="1"/>
  <c r="L144" i="6"/>
  <c r="AF144" i="6" s="1"/>
  <c r="K144" i="6"/>
  <c r="J144" i="6"/>
  <c r="I144" i="6"/>
  <c r="H144" i="6"/>
  <c r="G144" i="6"/>
  <c r="F144" i="6"/>
  <c r="E144" i="6"/>
  <c r="D144" i="6"/>
  <c r="AG144" i="6" s="1"/>
  <c r="C144" i="6"/>
  <c r="AK144" i="6" s="1"/>
  <c r="B144" i="6"/>
  <c r="AM144" i="6" s="1"/>
  <c r="A144" i="6"/>
  <c r="AK143" i="6"/>
  <c r="AJ143" i="6"/>
  <c r="AD143" i="6"/>
  <c r="Y143" i="6"/>
  <c r="S143" i="6"/>
  <c r="P143" i="6"/>
  <c r="O143" i="6"/>
  <c r="N143" i="6"/>
  <c r="AB143" i="6" s="1"/>
  <c r="M143" i="6"/>
  <c r="L143" i="6"/>
  <c r="AF143" i="6" s="1"/>
  <c r="K143" i="6"/>
  <c r="Q143" i="6" s="1"/>
  <c r="R143" i="6" s="1"/>
  <c r="Z143" i="6" s="1"/>
  <c r="J143" i="6"/>
  <c r="I143" i="6"/>
  <c r="H143" i="6"/>
  <c r="G143" i="6"/>
  <c r="F143" i="6"/>
  <c r="E143" i="6"/>
  <c r="AE143" i="6" s="1"/>
  <c r="D143" i="6"/>
  <c r="AG143" i="6" s="1"/>
  <c r="C143" i="6"/>
  <c r="B143" i="6"/>
  <c r="AM143" i="6" s="1"/>
  <c r="A143" i="6"/>
  <c r="AD142" i="6"/>
  <c r="P142" i="6"/>
  <c r="O142" i="6"/>
  <c r="N142" i="6"/>
  <c r="AB142" i="6" s="1"/>
  <c r="M142" i="6"/>
  <c r="L142" i="6"/>
  <c r="AF142" i="6" s="1"/>
  <c r="K142" i="6"/>
  <c r="J142" i="6"/>
  <c r="I142" i="6"/>
  <c r="H142" i="6"/>
  <c r="G142" i="6"/>
  <c r="F142" i="6"/>
  <c r="E142" i="6"/>
  <c r="AE142" i="6" s="1"/>
  <c r="D142" i="6"/>
  <c r="AG142" i="6" s="1"/>
  <c r="C142" i="6"/>
  <c r="AK142" i="6" s="1"/>
  <c r="B142" i="6"/>
  <c r="Y142" i="6" s="1"/>
  <c r="A142" i="6"/>
  <c r="AK141" i="6"/>
  <c r="AJ141" i="6"/>
  <c r="AI141" i="6"/>
  <c r="P141" i="6"/>
  <c r="O141" i="6"/>
  <c r="N141" i="6"/>
  <c r="AB141" i="6" s="1"/>
  <c r="M141" i="6"/>
  <c r="L141" i="6"/>
  <c r="K141" i="6"/>
  <c r="S141" i="6" s="1"/>
  <c r="J141" i="6"/>
  <c r="I141" i="6"/>
  <c r="H141" i="6"/>
  <c r="G141" i="6"/>
  <c r="F141" i="6"/>
  <c r="E141" i="6"/>
  <c r="AF141" i="6" s="1"/>
  <c r="D141" i="6"/>
  <c r="AG141" i="6" s="1"/>
  <c r="C141" i="6"/>
  <c r="B141" i="6"/>
  <c r="A141" i="6"/>
  <c r="AM140" i="6"/>
  <c r="AJ140" i="6"/>
  <c r="AI140" i="6"/>
  <c r="AG140" i="6"/>
  <c r="AD140" i="6"/>
  <c r="X140" i="6"/>
  <c r="P140" i="6"/>
  <c r="O140" i="6"/>
  <c r="N140" i="6"/>
  <c r="AB140" i="6" s="1"/>
  <c r="M140" i="6"/>
  <c r="L140" i="6"/>
  <c r="AF140" i="6" s="1"/>
  <c r="K140" i="6"/>
  <c r="S140" i="6" s="1"/>
  <c r="J140" i="6"/>
  <c r="I140" i="6"/>
  <c r="H140" i="6"/>
  <c r="G140" i="6"/>
  <c r="F140" i="6"/>
  <c r="E140" i="6"/>
  <c r="AE140" i="6" s="1"/>
  <c r="D140" i="6"/>
  <c r="C140" i="6"/>
  <c r="B140" i="6"/>
  <c r="Y140" i="6" s="1"/>
  <c r="A140" i="6"/>
  <c r="AM139" i="6"/>
  <c r="AE139" i="6"/>
  <c r="AD139" i="6"/>
  <c r="AB139" i="6"/>
  <c r="Y139" i="6"/>
  <c r="X139" i="6"/>
  <c r="S139" i="6"/>
  <c r="P139" i="6"/>
  <c r="O139" i="6"/>
  <c r="N139" i="6"/>
  <c r="M139" i="6"/>
  <c r="L139" i="6"/>
  <c r="AF139" i="6" s="1"/>
  <c r="K139" i="6"/>
  <c r="Q139" i="6" s="1"/>
  <c r="R139" i="6" s="1"/>
  <c r="J139" i="6"/>
  <c r="I139" i="6"/>
  <c r="H139" i="6"/>
  <c r="G139" i="6"/>
  <c r="F139" i="6"/>
  <c r="E139" i="6"/>
  <c r="D139" i="6"/>
  <c r="AG139" i="6" s="1"/>
  <c r="C139" i="6"/>
  <c r="AJ139" i="6" s="1"/>
  <c r="B139" i="6"/>
  <c r="A139" i="6"/>
  <c r="AK138" i="6"/>
  <c r="AJ138" i="6"/>
  <c r="AI138" i="6"/>
  <c r="AF138" i="6"/>
  <c r="Y138" i="6"/>
  <c r="P138" i="6"/>
  <c r="O138" i="6"/>
  <c r="N138" i="6"/>
  <c r="AB138" i="6" s="1"/>
  <c r="M138" i="6"/>
  <c r="L138" i="6"/>
  <c r="K138" i="6"/>
  <c r="Q138" i="6" s="1"/>
  <c r="R138" i="6" s="1"/>
  <c r="J138" i="6"/>
  <c r="I138" i="6"/>
  <c r="H138" i="6"/>
  <c r="G138" i="6"/>
  <c r="F138" i="6"/>
  <c r="E138" i="6"/>
  <c r="AD138" i="6" s="1"/>
  <c r="D138" i="6"/>
  <c r="AG138" i="6" s="1"/>
  <c r="C138" i="6"/>
  <c r="B138" i="6"/>
  <c r="A138" i="6"/>
  <c r="AM137" i="6"/>
  <c r="AI137" i="6"/>
  <c r="AG137" i="6"/>
  <c r="AD137" i="6"/>
  <c r="X137" i="6"/>
  <c r="P137" i="6"/>
  <c r="O137" i="6"/>
  <c r="N137" i="6"/>
  <c r="AB137" i="6" s="1"/>
  <c r="M137" i="6"/>
  <c r="L137" i="6"/>
  <c r="AF137" i="6" s="1"/>
  <c r="K137" i="6"/>
  <c r="S137" i="6" s="1"/>
  <c r="J137" i="6"/>
  <c r="I137" i="6"/>
  <c r="H137" i="6"/>
  <c r="G137" i="6"/>
  <c r="F137" i="6"/>
  <c r="E137" i="6"/>
  <c r="AE137" i="6" s="1"/>
  <c r="D137" i="6"/>
  <c r="C137" i="6"/>
  <c r="B137" i="6"/>
  <c r="Y137" i="6" s="1"/>
  <c r="A137" i="6"/>
  <c r="AM136" i="6"/>
  <c r="AG136" i="6"/>
  <c r="AE136" i="6"/>
  <c r="AD136" i="6"/>
  <c r="AB136" i="6"/>
  <c r="Y136" i="6"/>
  <c r="X136" i="6"/>
  <c r="P136" i="6"/>
  <c r="O136" i="6"/>
  <c r="N136" i="6"/>
  <c r="M136" i="6"/>
  <c r="S136" i="6" s="1"/>
  <c r="L136" i="6"/>
  <c r="AF136" i="6" s="1"/>
  <c r="K136" i="6"/>
  <c r="Q136" i="6" s="1"/>
  <c r="R136" i="6" s="1"/>
  <c r="AA136" i="6" s="1"/>
  <c r="J136" i="6"/>
  <c r="I136" i="6"/>
  <c r="H136" i="6"/>
  <c r="G136" i="6"/>
  <c r="F136" i="6"/>
  <c r="E136" i="6"/>
  <c r="D136" i="6"/>
  <c r="C136" i="6"/>
  <c r="AJ136" i="6" s="1"/>
  <c r="B136" i="6"/>
  <c r="A136" i="6"/>
  <c r="AK135" i="6"/>
  <c r="AJ135" i="6"/>
  <c r="AF135" i="6"/>
  <c r="AE135" i="6"/>
  <c r="P135" i="6"/>
  <c r="O135" i="6"/>
  <c r="N135" i="6"/>
  <c r="AB135" i="6" s="1"/>
  <c r="M135" i="6"/>
  <c r="S135" i="6" s="1"/>
  <c r="L135" i="6"/>
  <c r="K135" i="6"/>
  <c r="Q135" i="6" s="1"/>
  <c r="R135" i="6" s="1"/>
  <c r="J135" i="6"/>
  <c r="I135" i="6"/>
  <c r="H135" i="6"/>
  <c r="G135" i="6"/>
  <c r="F135" i="6"/>
  <c r="E135" i="6"/>
  <c r="AD135" i="6" s="1"/>
  <c r="D135" i="6"/>
  <c r="AG135" i="6" s="1"/>
  <c r="C135" i="6"/>
  <c r="B135" i="6"/>
  <c r="Y135" i="6" s="1"/>
  <c r="A135" i="6"/>
  <c r="AI135" i="6" s="1"/>
  <c r="AI134" i="6"/>
  <c r="AG134" i="6"/>
  <c r="AF134" i="6"/>
  <c r="AD134" i="6"/>
  <c r="X134" i="6"/>
  <c r="P134" i="6"/>
  <c r="O134" i="6"/>
  <c r="N134" i="6"/>
  <c r="AB134" i="6" s="1"/>
  <c r="M134" i="6"/>
  <c r="L134" i="6"/>
  <c r="K134" i="6"/>
  <c r="S134" i="6" s="1"/>
  <c r="J134" i="6"/>
  <c r="I134" i="6"/>
  <c r="H134" i="6"/>
  <c r="G134" i="6"/>
  <c r="F134" i="6"/>
  <c r="E134" i="6"/>
  <c r="AE134" i="6" s="1"/>
  <c r="D134" i="6"/>
  <c r="C134" i="6"/>
  <c r="AJ134" i="6" s="1"/>
  <c r="B134" i="6"/>
  <c r="Y134" i="6" s="1"/>
  <c r="A134" i="6"/>
  <c r="AM133" i="6"/>
  <c r="AK133" i="6"/>
  <c r="AJ133" i="6"/>
  <c r="AE133" i="6"/>
  <c r="AD133" i="6"/>
  <c r="AB133" i="6"/>
  <c r="Y133" i="6"/>
  <c r="X133" i="6"/>
  <c r="S133" i="6"/>
  <c r="P133" i="6"/>
  <c r="O133" i="6"/>
  <c r="N133" i="6"/>
  <c r="M133" i="6"/>
  <c r="L133" i="6"/>
  <c r="AF133" i="6" s="1"/>
  <c r="K133" i="6"/>
  <c r="J133" i="6"/>
  <c r="I133" i="6"/>
  <c r="H133" i="6"/>
  <c r="G133" i="6"/>
  <c r="F133" i="6"/>
  <c r="E133" i="6"/>
  <c r="D133" i="6"/>
  <c r="AG133" i="6" s="1"/>
  <c r="C133" i="6"/>
  <c r="B133" i="6"/>
  <c r="A133" i="6"/>
  <c r="AK132" i="6"/>
  <c r="AJ132" i="6"/>
  <c r="AF132" i="6"/>
  <c r="AE132" i="6"/>
  <c r="P132" i="6"/>
  <c r="O132" i="6"/>
  <c r="N132" i="6"/>
  <c r="AB132" i="6" s="1"/>
  <c r="M132" i="6"/>
  <c r="S132" i="6" s="1"/>
  <c r="L132" i="6"/>
  <c r="K132" i="6"/>
  <c r="Q132" i="6" s="1"/>
  <c r="R132" i="6" s="1"/>
  <c r="J132" i="6"/>
  <c r="I132" i="6"/>
  <c r="H132" i="6"/>
  <c r="G132" i="6"/>
  <c r="F132" i="6"/>
  <c r="E132" i="6"/>
  <c r="AD132" i="6" s="1"/>
  <c r="D132" i="6"/>
  <c r="AG132" i="6" s="1"/>
  <c r="C132" i="6"/>
  <c r="B132" i="6"/>
  <c r="A132" i="6"/>
  <c r="AI132" i="6" s="1"/>
  <c r="AI131" i="6"/>
  <c r="AG131" i="6"/>
  <c r="X131" i="6"/>
  <c r="P131" i="6"/>
  <c r="O131" i="6"/>
  <c r="N131" i="6"/>
  <c r="AB131" i="6" s="1"/>
  <c r="M131" i="6"/>
  <c r="L131" i="6"/>
  <c r="K131" i="6"/>
  <c r="S131" i="6" s="1"/>
  <c r="J131" i="6"/>
  <c r="I131" i="6"/>
  <c r="H131" i="6"/>
  <c r="G131" i="6"/>
  <c r="F131" i="6"/>
  <c r="E131" i="6"/>
  <c r="AE131" i="6" s="1"/>
  <c r="D131" i="6"/>
  <c r="C131" i="6"/>
  <c r="B131" i="6"/>
  <c r="Y131" i="6" s="1"/>
  <c r="A131" i="6"/>
  <c r="AM130" i="6"/>
  <c r="AK130" i="6"/>
  <c r="AJ130" i="6"/>
  <c r="AE130" i="6"/>
  <c r="AD130" i="6"/>
  <c r="AB130" i="6"/>
  <c r="Y130" i="6"/>
  <c r="X130" i="6"/>
  <c r="P130" i="6"/>
  <c r="O130" i="6"/>
  <c r="N130" i="6"/>
  <c r="M130" i="6"/>
  <c r="S130" i="6" s="1"/>
  <c r="L130" i="6"/>
  <c r="AF130" i="6" s="1"/>
  <c r="K130" i="6"/>
  <c r="J130" i="6"/>
  <c r="I130" i="6"/>
  <c r="H130" i="6"/>
  <c r="G130" i="6"/>
  <c r="F130" i="6"/>
  <c r="E130" i="6"/>
  <c r="D130" i="6"/>
  <c r="AG130" i="6" s="1"/>
  <c r="C130" i="6"/>
  <c r="B130" i="6"/>
  <c r="A130" i="6"/>
  <c r="AK129" i="6"/>
  <c r="AJ129" i="6"/>
  <c r="AF129" i="6"/>
  <c r="AE129" i="6"/>
  <c r="Y129" i="6"/>
  <c r="P129" i="6"/>
  <c r="O129" i="6"/>
  <c r="N129" i="6"/>
  <c r="AB129" i="6" s="1"/>
  <c r="M129" i="6"/>
  <c r="L129" i="6"/>
  <c r="K129" i="6"/>
  <c r="Q129" i="6" s="1"/>
  <c r="R129" i="6" s="1"/>
  <c r="J129" i="6"/>
  <c r="I129" i="6"/>
  <c r="H129" i="6"/>
  <c r="G129" i="6"/>
  <c r="F129" i="6"/>
  <c r="E129" i="6"/>
  <c r="AD129" i="6" s="1"/>
  <c r="D129" i="6"/>
  <c r="AG129" i="6" s="1"/>
  <c r="C129" i="6"/>
  <c r="B129" i="6"/>
  <c r="A129" i="6"/>
  <c r="AI129" i="6" s="1"/>
  <c r="AJ128" i="6"/>
  <c r="AI128" i="6"/>
  <c r="AG128" i="6"/>
  <c r="X128" i="6"/>
  <c r="P128" i="6"/>
  <c r="O128" i="6"/>
  <c r="N128" i="6"/>
  <c r="AB128" i="6" s="1"/>
  <c r="M128" i="6"/>
  <c r="L128" i="6"/>
  <c r="AF128" i="6" s="1"/>
  <c r="K128" i="6"/>
  <c r="S128" i="6" s="1"/>
  <c r="J128" i="6"/>
  <c r="I128" i="6"/>
  <c r="H128" i="6"/>
  <c r="G128" i="6"/>
  <c r="F128" i="6"/>
  <c r="E128" i="6"/>
  <c r="AE128" i="6" s="1"/>
  <c r="D128" i="6"/>
  <c r="C128" i="6"/>
  <c r="B128" i="6"/>
  <c r="Y128" i="6" s="1"/>
  <c r="A128" i="6"/>
  <c r="AM127" i="6"/>
  <c r="AK127" i="6"/>
  <c r="AJ127" i="6"/>
  <c r="AG127" i="6"/>
  <c r="AE127" i="6"/>
  <c r="AD127" i="6"/>
  <c r="AB127" i="6"/>
  <c r="Y127" i="6"/>
  <c r="X127" i="6"/>
  <c r="P127" i="6"/>
  <c r="O127" i="6"/>
  <c r="N127" i="6"/>
  <c r="M127" i="6"/>
  <c r="S127" i="6" s="1"/>
  <c r="L127" i="6"/>
  <c r="AF127" i="6" s="1"/>
  <c r="K127" i="6"/>
  <c r="J127" i="6"/>
  <c r="I127" i="6"/>
  <c r="H127" i="6"/>
  <c r="G127" i="6"/>
  <c r="F127" i="6"/>
  <c r="E127" i="6"/>
  <c r="D127" i="6"/>
  <c r="C127" i="6"/>
  <c r="B127" i="6"/>
  <c r="A127" i="6"/>
  <c r="AK126" i="6"/>
  <c r="AJ126" i="6"/>
  <c r="AI126" i="6"/>
  <c r="Y126" i="6"/>
  <c r="P126" i="6"/>
  <c r="O126" i="6"/>
  <c r="N126" i="6"/>
  <c r="AB126" i="6" s="1"/>
  <c r="M126" i="6"/>
  <c r="L126" i="6"/>
  <c r="K126" i="6"/>
  <c r="S126" i="6" s="1"/>
  <c r="J126" i="6"/>
  <c r="I126" i="6"/>
  <c r="H126" i="6"/>
  <c r="G126" i="6"/>
  <c r="F126" i="6"/>
  <c r="E126" i="6"/>
  <c r="AD126" i="6" s="1"/>
  <c r="D126" i="6"/>
  <c r="AG126" i="6" s="1"/>
  <c r="C126" i="6"/>
  <c r="B126" i="6"/>
  <c r="A126" i="6"/>
  <c r="AJ125" i="6"/>
  <c r="AI125" i="6"/>
  <c r="AG125" i="6"/>
  <c r="X125" i="6"/>
  <c r="P125" i="6"/>
  <c r="O125" i="6"/>
  <c r="N125" i="6"/>
  <c r="AB125" i="6" s="1"/>
  <c r="M125" i="6"/>
  <c r="L125" i="6"/>
  <c r="AF125" i="6" s="1"/>
  <c r="K125" i="6"/>
  <c r="S125" i="6" s="1"/>
  <c r="J125" i="6"/>
  <c r="I125" i="6"/>
  <c r="H125" i="6"/>
  <c r="G125" i="6"/>
  <c r="F125" i="6"/>
  <c r="E125" i="6"/>
  <c r="AE125" i="6" s="1"/>
  <c r="D125" i="6"/>
  <c r="C125" i="6"/>
  <c r="B125" i="6"/>
  <c r="Y125" i="6" s="1"/>
  <c r="A125" i="6"/>
  <c r="AM124" i="6"/>
  <c r="AG124" i="6"/>
  <c r="AE124" i="6"/>
  <c r="AD124" i="6"/>
  <c r="AB124" i="6"/>
  <c r="Y124" i="6"/>
  <c r="X124" i="6"/>
  <c r="P124" i="6"/>
  <c r="O124" i="6"/>
  <c r="N124" i="6"/>
  <c r="M124" i="6"/>
  <c r="S124" i="6" s="1"/>
  <c r="L124" i="6"/>
  <c r="AF124" i="6" s="1"/>
  <c r="K124" i="6"/>
  <c r="J124" i="6"/>
  <c r="I124" i="6"/>
  <c r="H124" i="6"/>
  <c r="G124" i="6"/>
  <c r="F124" i="6"/>
  <c r="E124" i="6"/>
  <c r="D124" i="6"/>
  <c r="C124" i="6"/>
  <c r="B124" i="6"/>
  <c r="A124" i="6"/>
  <c r="AK123" i="6"/>
  <c r="AJ123" i="6"/>
  <c r="AI123" i="6"/>
  <c r="AB123" i="6"/>
  <c r="Y123" i="6"/>
  <c r="S123" i="6"/>
  <c r="P123" i="6"/>
  <c r="O123" i="6"/>
  <c r="N123" i="6"/>
  <c r="M123" i="6"/>
  <c r="L123" i="6"/>
  <c r="K123" i="6"/>
  <c r="Q123" i="6" s="1"/>
  <c r="R123" i="6" s="1"/>
  <c r="J123" i="6"/>
  <c r="I123" i="6"/>
  <c r="H123" i="6"/>
  <c r="G123" i="6"/>
  <c r="F123" i="6"/>
  <c r="E123" i="6"/>
  <c r="AD123" i="6" s="1"/>
  <c r="D123" i="6"/>
  <c r="AG123" i="6" s="1"/>
  <c r="C123" i="6"/>
  <c r="B123" i="6"/>
  <c r="A123" i="6"/>
  <c r="AJ122" i="6"/>
  <c r="AI122" i="6"/>
  <c r="AG122" i="6"/>
  <c r="AD122" i="6"/>
  <c r="P122" i="6"/>
  <c r="O122" i="6"/>
  <c r="N122" i="6"/>
  <c r="AB122" i="6" s="1"/>
  <c r="M122" i="6"/>
  <c r="L122" i="6"/>
  <c r="AF122" i="6" s="1"/>
  <c r="K122" i="6"/>
  <c r="S122" i="6" s="1"/>
  <c r="J122" i="6"/>
  <c r="I122" i="6"/>
  <c r="H122" i="6"/>
  <c r="G122" i="6"/>
  <c r="F122" i="6"/>
  <c r="E122" i="6"/>
  <c r="AE122" i="6" s="1"/>
  <c r="D122" i="6"/>
  <c r="C122" i="6"/>
  <c r="B122" i="6"/>
  <c r="Y122" i="6" s="1"/>
  <c r="A122" i="6"/>
  <c r="AM121" i="6"/>
  <c r="AE121" i="6"/>
  <c r="AD121" i="6"/>
  <c r="AB121" i="6"/>
  <c r="Y121" i="6"/>
  <c r="X121" i="6"/>
  <c r="P121" i="6"/>
  <c r="O121" i="6"/>
  <c r="N121" i="6"/>
  <c r="M121" i="6"/>
  <c r="S121" i="6" s="1"/>
  <c r="L121" i="6"/>
  <c r="AF121" i="6" s="1"/>
  <c r="K121" i="6"/>
  <c r="Q121" i="6" s="1"/>
  <c r="R121" i="6" s="1"/>
  <c r="J121" i="6"/>
  <c r="I121" i="6"/>
  <c r="H121" i="6"/>
  <c r="G121" i="6"/>
  <c r="F121" i="6"/>
  <c r="E121" i="6"/>
  <c r="D121" i="6"/>
  <c r="AG121" i="6" s="1"/>
  <c r="C121" i="6"/>
  <c r="AJ121" i="6" s="1"/>
  <c r="B121" i="6"/>
  <c r="A121" i="6"/>
  <c r="AK120" i="6"/>
  <c r="AJ120" i="6"/>
  <c r="AB120" i="6"/>
  <c r="Y120" i="6"/>
  <c r="P120" i="6"/>
  <c r="O120" i="6"/>
  <c r="N120" i="6"/>
  <c r="M120" i="6"/>
  <c r="S120" i="6" s="1"/>
  <c r="L120" i="6"/>
  <c r="K120" i="6"/>
  <c r="Q120" i="6" s="1"/>
  <c r="R120" i="6" s="1"/>
  <c r="J120" i="6"/>
  <c r="I120" i="6"/>
  <c r="H120" i="6"/>
  <c r="G120" i="6"/>
  <c r="F120" i="6"/>
  <c r="E120" i="6"/>
  <c r="AD120" i="6" s="1"/>
  <c r="D120" i="6"/>
  <c r="AG120" i="6" s="1"/>
  <c r="C120" i="6"/>
  <c r="B120" i="6"/>
  <c r="A120" i="6"/>
  <c r="AI119" i="6"/>
  <c r="AG119" i="6"/>
  <c r="AF119" i="6"/>
  <c r="AD119" i="6"/>
  <c r="P119" i="6"/>
  <c r="O119" i="6"/>
  <c r="N119" i="6"/>
  <c r="AB119" i="6" s="1"/>
  <c r="M119" i="6"/>
  <c r="L119" i="6"/>
  <c r="K119" i="6"/>
  <c r="S119" i="6" s="1"/>
  <c r="J119" i="6"/>
  <c r="I119" i="6"/>
  <c r="H119" i="6"/>
  <c r="G119" i="6"/>
  <c r="F119" i="6"/>
  <c r="E119" i="6"/>
  <c r="AE119" i="6" s="1"/>
  <c r="D119" i="6"/>
  <c r="C119" i="6"/>
  <c r="AJ119" i="6" s="1"/>
  <c r="B119" i="6"/>
  <c r="Y119" i="6" s="1"/>
  <c r="A119" i="6"/>
  <c r="AM118" i="6"/>
  <c r="AJ118" i="6"/>
  <c r="AE118" i="6"/>
  <c r="AD118" i="6"/>
  <c r="AB118" i="6"/>
  <c r="Y118" i="6"/>
  <c r="X118" i="6"/>
  <c r="S118" i="6"/>
  <c r="P118" i="6"/>
  <c r="O118" i="6"/>
  <c r="N118" i="6"/>
  <c r="M118" i="6"/>
  <c r="L118" i="6"/>
  <c r="AF118" i="6" s="1"/>
  <c r="K118" i="6"/>
  <c r="Q118" i="6" s="1"/>
  <c r="R118" i="6" s="1"/>
  <c r="J118" i="6"/>
  <c r="I118" i="6"/>
  <c r="H118" i="6"/>
  <c r="G118" i="6"/>
  <c r="F118" i="6"/>
  <c r="E118" i="6"/>
  <c r="D118" i="6"/>
  <c r="AG118" i="6" s="1"/>
  <c r="C118" i="6"/>
  <c r="AK118" i="6" s="1"/>
  <c r="B118" i="6"/>
  <c r="A118" i="6"/>
  <c r="AK117" i="6"/>
  <c r="AJ117" i="6"/>
  <c r="AE117" i="6"/>
  <c r="P117" i="6"/>
  <c r="O117" i="6"/>
  <c r="N117" i="6"/>
  <c r="AB117" i="6" s="1"/>
  <c r="M117" i="6"/>
  <c r="S117" i="6" s="1"/>
  <c r="L117" i="6"/>
  <c r="K117" i="6"/>
  <c r="Q117" i="6" s="1"/>
  <c r="R117" i="6" s="1"/>
  <c r="J117" i="6"/>
  <c r="I117" i="6"/>
  <c r="H117" i="6"/>
  <c r="G117" i="6"/>
  <c r="F117" i="6"/>
  <c r="E117" i="6"/>
  <c r="AD117" i="6" s="1"/>
  <c r="D117" i="6"/>
  <c r="AG117" i="6" s="1"/>
  <c r="C117" i="6"/>
  <c r="B117" i="6"/>
  <c r="Y117" i="6" s="1"/>
  <c r="A117" i="6"/>
  <c r="AI116" i="6"/>
  <c r="AG116" i="6"/>
  <c r="AF116" i="6"/>
  <c r="AD116" i="6"/>
  <c r="X116" i="6"/>
  <c r="P116" i="6"/>
  <c r="O116" i="6"/>
  <c r="N116" i="6"/>
  <c r="AB116" i="6" s="1"/>
  <c r="M116" i="6"/>
  <c r="L116" i="6"/>
  <c r="K116" i="6"/>
  <c r="S116" i="6" s="1"/>
  <c r="J116" i="6"/>
  <c r="I116" i="6"/>
  <c r="H116" i="6"/>
  <c r="G116" i="6"/>
  <c r="F116" i="6"/>
  <c r="E116" i="6"/>
  <c r="AE116" i="6" s="1"/>
  <c r="D116" i="6"/>
  <c r="C116" i="6"/>
  <c r="AJ116" i="6" s="1"/>
  <c r="B116" i="6"/>
  <c r="Y116" i="6" s="1"/>
  <c r="A116" i="6"/>
  <c r="AM115" i="6"/>
  <c r="AK115" i="6"/>
  <c r="AJ115" i="6"/>
  <c r="AE115" i="6"/>
  <c r="AD115" i="6"/>
  <c r="AB115" i="6"/>
  <c r="Y115" i="6"/>
  <c r="X115" i="6"/>
  <c r="S115" i="6"/>
  <c r="P115" i="6"/>
  <c r="O115" i="6"/>
  <c r="N115" i="6"/>
  <c r="M115" i="6"/>
  <c r="L115" i="6"/>
  <c r="AF115" i="6" s="1"/>
  <c r="K115" i="6"/>
  <c r="J115" i="6"/>
  <c r="I115" i="6"/>
  <c r="H115" i="6"/>
  <c r="G115" i="6"/>
  <c r="F115" i="6"/>
  <c r="E115" i="6"/>
  <c r="D115" i="6"/>
  <c r="AG115" i="6" s="1"/>
  <c r="C115" i="6"/>
  <c r="B115" i="6"/>
  <c r="A115" i="6"/>
  <c r="AK114" i="6"/>
  <c r="AJ114" i="6"/>
  <c r="Y114" i="6"/>
  <c r="X114" i="6"/>
  <c r="P114" i="6"/>
  <c r="O114" i="6"/>
  <c r="N114" i="6"/>
  <c r="AB114" i="6" s="1"/>
  <c r="M114" i="6"/>
  <c r="L114" i="6"/>
  <c r="AF114" i="6" s="1"/>
  <c r="K114" i="6"/>
  <c r="S114" i="6" s="1"/>
  <c r="J114" i="6"/>
  <c r="I114" i="6"/>
  <c r="H114" i="6"/>
  <c r="G114" i="6"/>
  <c r="F114" i="6"/>
  <c r="E114" i="6"/>
  <c r="AE114" i="6" s="1"/>
  <c r="D114" i="6"/>
  <c r="AG114" i="6" s="1"/>
  <c r="C114" i="6"/>
  <c r="B114" i="6"/>
  <c r="AM114" i="6" s="1"/>
  <c r="A114" i="6"/>
  <c r="AI114" i="6" s="1"/>
  <c r="AM113" i="6"/>
  <c r="AI113" i="6"/>
  <c r="AG113" i="6"/>
  <c r="X113" i="6"/>
  <c r="P113" i="6"/>
  <c r="O113" i="6"/>
  <c r="N113" i="6"/>
  <c r="AB113" i="6" s="1"/>
  <c r="M113" i="6"/>
  <c r="L113" i="6"/>
  <c r="AF113" i="6" s="1"/>
  <c r="K113" i="6"/>
  <c r="S113" i="6" s="1"/>
  <c r="J113" i="6"/>
  <c r="I113" i="6"/>
  <c r="H113" i="6"/>
  <c r="G113" i="6"/>
  <c r="F113" i="6"/>
  <c r="E113" i="6"/>
  <c r="AE113" i="6" s="1"/>
  <c r="D113" i="6"/>
  <c r="C113" i="6"/>
  <c r="AK113" i="6" s="1"/>
  <c r="B113" i="6"/>
  <c r="Y113" i="6" s="1"/>
  <c r="A113" i="6"/>
  <c r="AM112" i="6"/>
  <c r="AG112" i="6"/>
  <c r="AE112" i="6"/>
  <c r="AD112" i="6"/>
  <c r="Y112" i="6"/>
  <c r="X112" i="6"/>
  <c r="S112" i="6"/>
  <c r="P112" i="6"/>
  <c r="O112" i="6"/>
  <c r="N112" i="6"/>
  <c r="AB112" i="6" s="1"/>
  <c r="M112" i="6"/>
  <c r="L112" i="6"/>
  <c r="AF112" i="6" s="1"/>
  <c r="K112" i="6"/>
  <c r="J112" i="6"/>
  <c r="I112" i="6"/>
  <c r="H112" i="6"/>
  <c r="G112" i="6"/>
  <c r="F112" i="6"/>
  <c r="E112" i="6"/>
  <c r="D112" i="6"/>
  <c r="C112" i="6"/>
  <c r="AK112" i="6" s="1"/>
  <c r="B112" i="6"/>
  <c r="A112" i="6"/>
  <c r="AK111" i="6"/>
  <c r="Y111" i="6"/>
  <c r="X111" i="6"/>
  <c r="P111" i="6"/>
  <c r="O111" i="6"/>
  <c r="N111" i="6"/>
  <c r="AB111" i="6" s="1"/>
  <c r="M111" i="6"/>
  <c r="L111" i="6"/>
  <c r="AF111" i="6" s="1"/>
  <c r="K111" i="6"/>
  <c r="S111" i="6" s="1"/>
  <c r="J111" i="6"/>
  <c r="I111" i="6"/>
  <c r="H111" i="6"/>
  <c r="G111" i="6"/>
  <c r="F111" i="6"/>
  <c r="E111" i="6"/>
  <c r="AE111" i="6" s="1"/>
  <c r="D111" i="6"/>
  <c r="AG111" i="6" s="1"/>
  <c r="C111" i="6"/>
  <c r="AJ111" i="6" s="1"/>
  <c r="B111" i="6"/>
  <c r="AM111" i="6" s="1"/>
  <c r="A111" i="6"/>
  <c r="AI111" i="6" s="1"/>
  <c r="AM110" i="6"/>
  <c r="AF110" i="6"/>
  <c r="AE110" i="6"/>
  <c r="AB110" i="6"/>
  <c r="P110" i="6"/>
  <c r="O110" i="6"/>
  <c r="N110" i="6"/>
  <c r="M110" i="6"/>
  <c r="S110" i="6" s="1"/>
  <c r="L110" i="6"/>
  <c r="K110" i="6"/>
  <c r="Q110" i="6" s="1"/>
  <c r="R110" i="6" s="1"/>
  <c r="J110" i="6"/>
  <c r="I110" i="6"/>
  <c r="H110" i="6"/>
  <c r="G110" i="6"/>
  <c r="F110" i="6"/>
  <c r="E110" i="6"/>
  <c r="AD110" i="6" s="1"/>
  <c r="D110" i="6"/>
  <c r="C110" i="6"/>
  <c r="AK110" i="6" s="1"/>
  <c r="B110" i="6"/>
  <c r="Y110" i="6" s="1"/>
  <c r="A110" i="6"/>
  <c r="AI110" i="6" s="1"/>
  <c r="AK109" i="6"/>
  <c r="AJ109" i="6"/>
  <c r="AG109" i="6"/>
  <c r="AF109" i="6"/>
  <c r="AE109" i="6"/>
  <c r="AD109" i="6"/>
  <c r="P109" i="6"/>
  <c r="O109" i="6"/>
  <c r="N109" i="6"/>
  <c r="AB109" i="6" s="1"/>
  <c r="M109" i="6"/>
  <c r="S109" i="6" s="1"/>
  <c r="L109" i="6"/>
  <c r="K109" i="6"/>
  <c r="Q109" i="6" s="1"/>
  <c r="R109" i="6" s="1"/>
  <c r="J109" i="6"/>
  <c r="I109" i="6"/>
  <c r="H109" i="6"/>
  <c r="G109" i="6"/>
  <c r="F109" i="6"/>
  <c r="E109" i="6"/>
  <c r="D109" i="6"/>
  <c r="C109" i="6"/>
  <c r="B109" i="6"/>
  <c r="AM109" i="6" s="1"/>
  <c r="A109" i="6"/>
  <c r="AI109" i="6" s="1"/>
  <c r="AM108" i="6"/>
  <c r="AJ108" i="6"/>
  <c r="AI108" i="6"/>
  <c r="AD108" i="6"/>
  <c r="AB108" i="6"/>
  <c r="Y108" i="6"/>
  <c r="X108" i="6"/>
  <c r="P108" i="6"/>
  <c r="O108" i="6"/>
  <c r="N108" i="6"/>
  <c r="M108" i="6"/>
  <c r="L108" i="6"/>
  <c r="AF108" i="6" s="1"/>
  <c r="K108" i="6"/>
  <c r="S108" i="6" s="1"/>
  <c r="J108" i="6"/>
  <c r="I108" i="6"/>
  <c r="H108" i="6"/>
  <c r="G108" i="6"/>
  <c r="F108" i="6"/>
  <c r="E108" i="6"/>
  <c r="AE108" i="6" s="1"/>
  <c r="D108" i="6"/>
  <c r="C108" i="6"/>
  <c r="AK108" i="6" s="1"/>
  <c r="B108" i="6"/>
  <c r="A108" i="6"/>
  <c r="AM107" i="6"/>
  <c r="AF107" i="6"/>
  <c r="AE107" i="6"/>
  <c r="AB107" i="6"/>
  <c r="P107" i="6"/>
  <c r="O107" i="6"/>
  <c r="N107" i="6"/>
  <c r="M107" i="6"/>
  <c r="S107" i="6" s="1"/>
  <c r="L107" i="6"/>
  <c r="K107" i="6"/>
  <c r="Q107" i="6" s="1"/>
  <c r="R107" i="6" s="1"/>
  <c r="J107" i="6"/>
  <c r="I107" i="6"/>
  <c r="H107" i="6"/>
  <c r="G107" i="6"/>
  <c r="F107" i="6"/>
  <c r="E107" i="6"/>
  <c r="AD107" i="6" s="1"/>
  <c r="D107" i="6"/>
  <c r="AG107" i="6" s="1"/>
  <c r="C107" i="6"/>
  <c r="AK107" i="6" s="1"/>
  <c r="B107" i="6"/>
  <c r="Y107" i="6" s="1"/>
  <c r="A107" i="6"/>
  <c r="AI107" i="6" s="1"/>
  <c r="AK106" i="6"/>
  <c r="AJ106" i="6"/>
  <c r="AG106" i="6"/>
  <c r="AF106" i="6"/>
  <c r="AE106" i="6"/>
  <c r="AD106" i="6"/>
  <c r="P106" i="6"/>
  <c r="O106" i="6"/>
  <c r="N106" i="6"/>
  <c r="AB106" i="6" s="1"/>
  <c r="M106" i="6"/>
  <c r="S106" i="6" s="1"/>
  <c r="L106" i="6"/>
  <c r="K106" i="6"/>
  <c r="Q106" i="6" s="1"/>
  <c r="J106" i="6"/>
  <c r="I106" i="6"/>
  <c r="H106" i="6"/>
  <c r="G106" i="6"/>
  <c r="F106" i="6"/>
  <c r="E106" i="6"/>
  <c r="D106" i="6"/>
  <c r="C106" i="6"/>
  <c r="B106" i="6"/>
  <c r="A106" i="6"/>
  <c r="AI106" i="6" s="1"/>
  <c r="AM105" i="6"/>
  <c r="AJ105" i="6"/>
  <c r="AI105" i="6"/>
  <c r="AD105" i="6"/>
  <c r="AB105" i="6"/>
  <c r="Y105" i="6"/>
  <c r="X105" i="6"/>
  <c r="P105" i="6"/>
  <c r="O105" i="6"/>
  <c r="N105" i="6"/>
  <c r="M105" i="6"/>
  <c r="L105" i="6"/>
  <c r="AF105" i="6" s="1"/>
  <c r="K105" i="6"/>
  <c r="S105" i="6" s="1"/>
  <c r="J105" i="6"/>
  <c r="I105" i="6"/>
  <c r="H105" i="6"/>
  <c r="G105" i="6"/>
  <c r="F105" i="6"/>
  <c r="E105" i="6"/>
  <c r="AE105" i="6" s="1"/>
  <c r="D105" i="6"/>
  <c r="C105" i="6"/>
  <c r="AK105" i="6" s="1"/>
  <c r="B105" i="6"/>
  <c r="A105" i="6"/>
  <c r="AM104" i="6"/>
  <c r="AF104" i="6"/>
  <c r="AE104" i="6"/>
  <c r="AB104" i="6"/>
  <c r="P104" i="6"/>
  <c r="O104" i="6"/>
  <c r="N104" i="6"/>
  <c r="M104" i="6"/>
  <c r="S104" i="6" s="1"/>
  <c r="L104" i="6"/>
  <c r="K104" i="6"/>
  <c r="Q104" i="6" s="1"/>
  <c r="R104" i="6" s="1"/>
  <c r="J104" i="6"/>
  <c r="I104" i="6"/>
  <c r="H104" i="6"/>
  <c r="G104" i="6"/>
  <c r="F104" i="6"/>
  <c r="E104" i="6"/>
  <c r="AD104" i="6" s="1"/>
  <c r="D104" i="6"/>
  <c r="AG104" i="6" s="1"/>
  <c r="C104" i="6"/>
  <c r="AK104" i="6" s="1"/>
  <c r="B104" i="6"/>
  <c r="Y104" i="6" s="1"/>
  <c r="A104" i="6"/>
  <c r="AI104" i="6" s="1"/>
  <c r="AK103" i="6"/>
  <c r="AJ103" i="6"/>
  <c r="AG103" i="6"/>
  <c r="AF103" i="6"/>
  <c r="AE103" i="6"/>
  <c r="AD103" i="6"/>
  <c r="P103" i="6"/>
  <c r="O103" i="6"/>
  <c r="N103" i="6"/>
  <c r="AB103" i="6" s="1"/>
  <c r="M103" i="6"/>
  <c r="S103" i="6" s="1"/>
  <c r="L103" i="6"/>
  <c r="K103" i="6"/>
  <c r="Q103" i="6" s="1"/>
  <c r="J103" i="6"/>
  <c r="I103" i="6"/>
  <c r="H103" i="6"/>
  <c r="G103" i="6"/>
  <c r="F103" i="6"/>
  <c r="E103" i="6"/>
  <c r="D103" i="6"/>
  <c r="C103" i="6"/>
  <c r="B103" i="6"/>
  <c r="A103" i="6"/>
  <c r="AI103" i="6" s="1"/>
  <c r="AM102" i="6"/>
  <c r="AJ102" i="6"/>
  <c r="AI102" i="6"/>
  <c r="AD102" i="6"/>
  <c r="AB102" i="6"/>
  <c r="Y102" i="6"/>
  <c r="X102" i="6"/>
  <c r="P102" i="6"/>
  <c r="O102" i="6"/>
  <c r="N102" i="6"/>
  <c r="M102" i="6"/>
  <c r="L102" i="6"/>
  <c r="AF102" i="6" s="1"/>
  <c r="K102" i="6"/>
  <c r="S102" i="6" s="1"/>
  <c r="J102" i="6"/>
  <c r="I102" i="6"/>
  <c r="H102" i="6"/>
  <c r="G102" i="6"/>
  <c r="F102" i="6"/>
  <c r="E102" i="6"/>
  <c r="AE102" i="6" s="1"/>
  <c r="D102" i="6"/>
  <c r="C102" i="6"/>
  <c r="AK102" i="6" s="1"/>
  <c r="B102" i="6"/>
  <c r="A102" i="6"/>
  <c r="AM101" i="6"/>
  <c r="AF101" i="6"/>
  <c r="AE101" i="6"/>
  <c r="AB101" i="6"/>
  <c r="AA101" i="6"/>
  <c r="P101" i="6"/>
  <c r="O101" i="6"/>
  <c r="N101" i="6"/>
  <c r="M101" i="6"/>
  <c r="S101" i="6" s="1"/>
  <c r="L101" i="6"/>
  <c r="K101" i="6"/>
  <c r="Q101" i="6" s="1"/>
  <c r="R101" i="6" s="1"/>
  <c r="J101" i="6"/>
  <c r="I101" i="6"/>
  <c r="H101" i="6"/>
  <c r="G101" i="6"/>
  <c r="F101" i="6"/>
  <c r="E101" i="6"/>
  <c r="AD101" i="6" s="1"/>
  <c r="D101" i="6"/>
  <c r="AG101" i="6" s="1"/>
  <c r="C101" i="6"/>
  <c r="B101" i="6"/>
  <c r="Y101" i="6" s="1"/>
  <c r="A101" i="6"/>
  <c r="AI101" i="6" s="1"/>
  <c r="AK100" i="6"/>
  <c r="AJ100" i="6"/>
  <c r="AG100" i="6"/>
  <c r="AF100" i="6"/>
  <c r="AE100" i="6"/>
  <c r="AD100" i="6"/>
  <c r="Y100" i="6"/>
  <c r="S100" i="6"/>
  <c r="P100" i="6"/>
  <c r="O100" i="6"/>
  <c r="N100" i="6"/>
  <c r="AB100" i="6" s="1"/>
  <c r="M100" i="6"/>
  <c r="L100" i="6"/>
  <c r="K100" i="6"/>
  <c r="Q100" i="6" s="1"/>
  <c r="R100" i="6" s="1"/>
  <c r="AA100" i="6" s="1"/>
  <c r="J100" i="6"/>
  <c r="I100" i="6"/>
  <c r="H100" i="6"/>
  <c r="G100" i="6"/>
  <c r="F100" i="6"/>
  <c r="E100" i="6"/>
  <c r="D100" i="6"/>
  <c r="C100" i="6"/>
  <c r="B100" i="6"/>
  <c r="A100" i="6"/>
  <c r="AM99" i="6"/>
  <c r="AJ99" i="6"/>
  <c r="AI99" i="6"/>
  <c r="AD99" i="6"/>
  <c r="AB99" i="6"/>
  <c r="Y99" i="6"/>
  <c r="X99" i="6"/>
  <c r="P99" i="6"/>
  <c r="O99" i="6"/>
  <c r="N99" i="6"/>
  <c r="M99" i="6"/>
  <c r="L99" i="6"/>
  <c r="AF99" i="6" s="1"/>
  <c r="K99" i="6"/>
  <c r="S99" i="6" s="1"/>
  <c r="J99" i="6"/>
  <c r="I99" i="6"/>
  <c r="H99" i="6"/>
  <c r="G99" i="6"/>
  <c r="F99" i="6"/>
  <c r="E99" i="6"/>
  <c r="AE99" i="6" s="1"/>
  <c r="D99" i="6"/>
  <c r="C99" i="6"/>
  <c r="AK99" i="6" s="1"/>
  <c r="B99" i="6"/>
  <c r="A99" i="6"/>
  <c r="AM98" i="6"/>
  <c r="AF98" i="6"/>
  <c r="AE98" i="6"/>
  <c r="AB98" i="6"/>
  <c r="P98" i="6"/>
  <c r="O98" i="6"/>
  <c r="N98" i="6"/>
  <c r="M98" i="6"/>
  <c r="S98" i="6" s="1"/>
  <c r="L98" i="6"/>
  <c r="K98" i="6"/>
  <c r="Q98" i="6" s="1"/>
  <c r="R98" i="6" s="1"/>
  <c r="AA98" i="6" s="1"/>
  <c r="J98" i="6"/>
  <c r="I98" i="6"/>
  <c r="H98" i="6"/>
  <c r="G98" i="6"/>
  <c r="F98" i="6"/>
  <c r="E98" i="6"/>
  <c r="AD98" i="6" s="1"/>
  <c r="D98" i="6"/>
  <c r="C98" i="6"/>
  <c r="B98" i="6"/>
  <c r="Y98" i="6" s="1"/>
  <c r="A98" i="6"/>
  <c r="AI98" i="6" s="1"/>
  <c r="AK97" i="6"/>
  <c r="AJ97" i="6"/>
  <c r="AG97" i="6"/>
  <c r="AF97" i="6"/>
  <c r="AE97" i="6"/>
  <c r="AD97" i="6"/>
  <c r="Y97" i="6"/>
  <c r="P97" i="6"/>
  <c r="O97" i="6"/>
  <c r="N97" i="6"/>
  <c r="AB97" i="6" s="1"/>
  <c r="M97" i="6"/>
  <c r="S97" i="6" s="1"/>
  <c r="L97" i="6"/>
  <c r="K97" i="6"/>
  <c r="Q97" i="6" s="1"/>
  <c r="R97" i="6" s="1"/>
  <c r="J97" i="6"/>
  <c r="I97" i="6"/>
  <c r="H97" i="6"/>
  <c r="G97" i="6"/>
  <c r="F97" i="6"/>
  <c r="E97" i="6"/>
  <c r="D97" i="6"/>
  <c r="C97" i="6"/>
  <c r="B97" i="6"/>
  <c r="AM97" i="6" s="1"/>
  <c r="A97" i="6"/>
  <c r="AM96" i="6"/>
  <c r="AJ96" i="6"/>
  <c r="AI96" i="6"/>
  <c r="AB96" i="6"/>
  <c r="Y96" i="6"/>
  <c r="X96" i="6"/>
  <c r="P96" i="6"/>
  <c r="O96" i="6"/>
  <c r="N96" i="6"/>
  <c r="M96" i="6"/>
  <c r="L96" i="6"/>
  <c r="K96" i="6"/>
  <c r="S96" i="6" s="1"/>
  <c r="J96" i="6"/>
  <c r="I96" i="6"/>
  <c r="H96" i="6"/>
  <c r="G96" i="6"/>
  <c r="F96" i="6"/>
  <c r="E96" i="6"/>
  <c r="AE96" i="6" s="1"/>
  <c r="D96" i="6"/>
  <c r="AG96" i="6" s="1"/>
  <c r="C96" i="6"/>
  <c r="AK96" i="6" s="1"/>
  <c r="B96" i="6"/>
  <c r="A96" i="6"/>
  <c r="AF95" i="6"/>
  <c r="AE95" i="6"/>
  <c r="P95" i="6"/>
  <c r="O95" i="6"/>
  <c r="N95" i="6"/>
  <c r="AB95" i="6" s="1"/>
  <c r="M95" i="6"/>
  <c r="S95" i="6" s="1"/>
  <c r="L95" i="6"/>
  <c r="K95" i="6"/>
  <c r="Q95" i="6" s="1"/>
  <c r="J95" i="6"/>
  <c r="I95" i="6"/>
  <c r="H95" i="6"/>
  <c r="G95" i="6"/>
  <c r="F95" i="6"/>
  <c r="E95" i="6"/>
  <c r="AD95" i="6" s="1"/>
  <c r="D95" i="6"/>
  <c r="AG95" i="6" s="1"/>
  <c r="C95" i="6"/>
  <c r="B95" i="6"/>
  <c r="A95" i="6"/>
  <c r="AI95" i="6" s="1"/>
  <c r="AK94" i="6"/>
  <c r="AJ94" i="6"/>
  <c r="AG94" i="6"/>
  <c r="AF94" i="6"/>
  <c r="AE94" i="6"/>
  <c r="AD94" i="6"/>
  <c r="P94" i="6"/>
  <c r="O94" i="6"/>
  <c r="N94" i="6"/>
  <c r="AB94" i="6" s="1"/>
  <c r="M94" i="6"/>
  <c r="S94" i="6" s="1"/>
  <c r="L94" i="6"/>
  <c r="K94" i="6"/>
  <c r="J94" i="6"/>
  <c r="I94" i="6"/>
  <c r="H94" i="6"/>
  <c r="G94" i="6"/>
  <c r="F94" i="6"/>
  <c r="E94" i="6"/>
  <c r="D94" i="6"/>
  <c r="C94" i="6"/>
  <c r="B94" i="6"/>
  <c r="AM94" i="6" s="1"/>
  <c r="A94" i="6"/>
  <c r="AM93" i="6"/>
  <c r="AJ93" i="6"/>
  <c r="AI93" i="6"/>
  <c r="AD93" i="6"/>
  <c r="AB93" i="6"/>
  <c r="Y93" i="6"/>
  <c r="X93" i="6"/>
  <c r="P93" i="6"/>
  <c r="O93" i="6"/>
  <c r="N93" i="6"/>
  <c r="M93" i="6"/>
  <c r="L93" i="6"/>
  <c r="AF93" i="6" s="1"/>
  <c r="K93" i="6"/>
  <c r="S93" i="6" s="1"/>
  <c r="J93" i="6"/>
  <c r="I93" i="6"/>
  <c r="H93" i="6"/>
  <c r="G93" i="6"/>
  <c r="F93" i="6"/>
  <c r="E93" i="6"/>
  <c r="AE93" i="6" s="1"/>
  <c r="D93" i="6"/>
  <c r="AG93" i="6" s="1"/>
  <c r="C93" i="6"/>
  <c r="AK93" i="6" s="1"/>
  <c r="B93" i="6"/>
  <c r="A93" i="6"/>
  <c r="AG92" i="6"/>
  <c r="AF92" i="6"/>
  <c r="AE92" i="6"/>
  <c r="P92" i="6"/>
  <c r="O92" i="6"/>
  <c r="N92" i="6"/>
  <c r="AB92" i="6" s="1"/>
  <c r="M92" i="6"/>
  <c r="S92" i="6" s="1"/>
  <c r="L92" i="6"/>
  <c r="K92" i="6"/>
  <c r="Q92" i="6" s="1"/>
  <c r="J92" i="6"/>
  <c r="I92" i="6"/>
  <c r="H92" i="6"/>
  <c r="G92" i="6"/>
  <c r="F92" i="6"/>
  <c r="E92" i="6"/>
  <c r="AD92" i="6" s="1"/>
  <c r="D92" i="6"/>
  <c r="C92" i="6"/>
  <c r="B92" i="6"/>
  <c r="AM92" i="6" s="1"/>
  <c r="A92" i="6"/>
  <c r="AI92" i="6" s="1"/>
  <c r="AK91" i="6"/>
  <c r="AJ91" i="6"/>
  <c r="AG91" i="6"/>
  <c r="AE91" i="6"/>
  <c r="AD91" i="6"/>
  <c r="Y91" i="6"/>
  <c r="S91" i="6"/>
  <c r="P91" i="6"/>
  <c r="O91" i="6"/>
  <c r="N91" i="6"/>
  <c r="AB91" i="6" s="1"/>
  <c r="M91" i="6"/>
  <c r="L91" i="6"/>
  <c r="AF91" i="6" s="1"/>
  <c r="K91" i="6"/>
  <c r="Q91" i="6" s="1"/>
  <c r="R91" i="6" s="1"/>
  <c r="J91" i="6"/>
  <c r="I91" i="6"/>
  <c r="H91" i="6"/>
  <c r="G91" i="6"/>
  <c r="F91" i="6"/>
  <c r="E91" i="6"/>
  <c r="D91" i="6"/>
  <c r="C91" i="6"/>
  <c r="B91" i="6"/>
  <c r="AM91" i="6" s="1"/>
  <c r="A91" i="6"/>
  <c r="AM90" i="6"/>
  <c r="AJ90" i="6"/>
  <c r="AI90" i="6"/>
  <c r="AB90" i="6"/>
  <c r="Y90" i="6"/>
  <c r="X90" i="6"/>
  <c r="P90" i="6"/>
  <c r="O90" i="6"/>
  <c r="N90" i="6"/>
  <c r="M90" i="6"/>
  <c r="L90" i="6"/>
  <c r="K90" i="6"/>
  <c r="S90" i="6" s="1"/>
  <c r="J90" i="6"/>
  <c r="I90" i="6"/>
  <c r="H90" i="6"/>
  <c r="G90" i="6"/>
  <c r="F90" i="6"/>
  <c r="E90" i="6"/>
  <c r="AE90" i="6" s="1"/>
  <c r="D90" i="6"/>
  <c r="AG90" i="6" s="1"/>
  <c r="C90" i="6"/>
  <c r="AK90" i="6" s="1"/>
  <c r="B90" i="6"/>
  <c r="A90" i="6"/>
  <c r="AM89" i="6"/>
  <c r="AF89" i="6"/>
  <c r="AE89" i="6"/>
  <c r="AB89" i="6"/>
  <c r="P89" i="6"/>
  <c r="O89" i="6"/>
  <c r="N89" i="6"/>
  <c r="M89" i="6"/>
  <c r="S89" i="6" s="1"/>
  <c r="L89" i="6"/>
  <c r="K89" i="6"/>
  <c r="Q89" i="6" s="1"/>
  <c r="R89" i="6" s="1"/>
  <c r="T89" i="6" s="1"/>
  <c r="J89" i="6"/>
  <c r="I89" i="6"/>
  <c r="H89" i="6"/>
  <c r="G89" i="6"/>
  <c r="F89" i="6"/>
  <c r="E89" i="6"/>
  <c r="AD89" i="6" s="1"/>
  <c r="D89" i="6"/>
  <c r="AG89" i="6" s="1"/>
  <c r="C89" i="6"/>
  <c r="B89" i="6"/>
  <c r="A89" i="6"/>
  <c r="AI89" i="6" s="1"/>
  <c r="AK88" i="6"/>
  <c r="AJ88" i="6"/>
  <c r="AG88" i="6"/>
  <c r="AF88" i="6"/>
  <c r="AE88" i="6"/>
  <c r="AD88" i="6"/>
  <c r="Y88" i="6"/>
  <c r="P88" i="6"/>
  <c r="O88" i="6"/>
  <c r="N88" i="6"/>
  <c r="AB88" i="6" s="1"/>
  <c r="M88" i="6"/>
  <c r="S88" i="6" s="1"/>
  <c r="L88" i="6"/>
  <c r="K88" i="6"/>
  <c r="Q88" i="6" s="1"/>
  <c r="R88" i="6" s="1"/>
  <c r="J88" i="6"/>
  <c r="I88" i="6"/>
  <c r="H88" i="6"/>
  <c r="G88" i="6"/>
  <c r="F88" i="6"/>
  <c r="E88" i="6"/>
  <c r="D88" i="6"/>
  <c r="C88" i="6"/>
  <c r="B88" i="6"/>
  <c r="AM88" i="6" s="1"/>
  <c r="A88" i="6"/>
  <c r="AM87" i="6"/>
  <c r="AJ87" i="6"/>
  <c r="AI87" i="6"/>
  <c r="AB87" i="6"/>
  <c r="Y87" i="6"/>
  <c r="X87" i="6"/>
  <c r="P87" i="6"/>
  <c r="O87" i="6"/>
  <c r="N87" i="6"/>
  <c r="M87" i="6"/>
  <c r="L87" i="6"/>
  <c r="K87" i="6"/>
  <c r="S87" i="6" s="1"/>
  <c r="J87" i="6"/>
  <c r="I87" i="6"/>
  <c r="H87" i="6"/>
  <c r="G87" i="6"/>
  <c r="F87" i="6"/>
  <c r="E87" i="6"/>
  <c r="AE87" i="6" s="1"/>
  <c r="D87" i="6"/>
  <c r="AG87" i="6" s="1"/>
  <c r="C87" i="6"/>
  <c r="AK87" i="6" s="1"/>
  <c r="B87" i="6"/>
  <c r="A87" i="6"/>
  <c r="AM86" i="6"/>
  <c r="AF86" i="6"/>
  <c r="AE86" i="6"/>
  <c r="AB86" i="6"/>
  <c r="Z86" i="6"/>
  <c r="S86" i="6"/>
  <c r="P86" i="6"/>
  <c r="O86" i="6"/>
  <c r="N86" i="6"/>
  <c r="M86" i="6"/>
  <c r="L86" i="6"/>
  <c r="K86" i="6"/>
  <c r="Q86" i="6" s="1"/>
  <c r="R86" i="6" s="1"/>
  <c r="T86" i="6" s="1"/>
  <c r="J86" i="6"/>
  <c r="I86" i="6"/>
  <c r="H86" i="6"/>
  <c r="G86" i="6"/>
  <c r="F86" i="6"/>
  <c r="E86" i="6"/>
  <c r="AD86" i="6" s="1"/>
  <c r="D86" i="6"/>
  <c r="AG86" i="6" s="1"/>
  <c r="C86" i="6"/>
  <c r="B86" i="6"/>
  <c r="X86" i="6" s="1"/>
  <c r="A86" i="6"/>
  <c r="AK85" i="6"/>
  <c r="AJ85" i="6"/>
  <c r="AG85" i="6"/>
  <c r="AE85" i="6"/>
  <c r="AD85" i="6"/>
  <c r="P85" i="6"/>
  <c r="O85" i="6"/>
  <c r="N85" i="6"/>
  <c r="AB85" i="6" s="1"/>
  <c r="M85" i="6"/>
  <c r="S85" i="6" s="1"/>
  <c r="L85" i="6"/>
  <c r="AF85" i="6" s="1"/>
  <c r="K85" i="6"/>
  <c r="Q85" i="6" s="1"/>
  <c r="R85" i="6" s="1"/>
  <c r="J85" i="6"/>
  <c r="I85" i="6"/>
  <c r="H85" i="6"/>
  <c r="G85" i="6"/>
  <c r="F85" i="6"/>
  <c r="E85" i="6"/>
  <c r="D85" i="6"/>
  <c r="C85" i="6"/>
  <c r="B85" i="6"/>
  <c r="AM85" i="6" s="1"/>
  <c r="A85" i="6"/>
  <c r="AI85" i="6" s="1"/>
  <c r="AM84" i="6"/>
  <c r="AI84" i="6"/>
  <c r="AB84" i="6"/>
  <c r="Y84" i="6"/>
  <c r="X84" i="6"/>
  <c r="P84" i="6"/>
  <c r="O84" i="6"/>
  <c r="N84" i="6"/>
  <c r="M84" i="6"/>
  <c r="L84" i="6"/>
  <c r="K84" i="6"/>
  <c r="S84" i="6" s="1"/>
  <c r="J84" i="6"/>
  <c r="I84" i="6"/>
  <c r="H84" i="6"/>
  <c r="G84" i="6"/>
  <c r="F84" i="6"/>
  <c r="E84" i="6"/>
  <c r="AE84" i="6" s="1"/>
  <c r="D84" i="6"/>
  <c r="AG84" i="6" s="1"/>
  <c r="C84" i="6"/>
  <c r="AK84" i="6" s="1"/>
  <c r="B84" i="6"/>
  <c r="A84" i="6"/>
  <c r="AM83" i="6"/>
  <c r="AK83" i="6"/>
  <c r="AF83" i="6"/>
  <c r="AE83" i="6"/>
  <c r="AB83" i="6"/>
  <c r="P83" i="6"/>
  <c r="O83" i="6"/>
  <c r="N83" i="6"/>
  <c r="M83" i="6"/>
  <c r="S83" i="6" s="1"/>
  <c r="L83" i="6"/>
  <c r="K83" i="6"/>
  <c r="Q83" i="6" s="1"/>
  <c r="J83" i="6"/>
  <c r="I83" i="6"/>
  <c r="H83" i="6"/>
  <c r="G83" i="6"/>
  <c r="F83" i="6"/>
  <c r="E83" i="6"/>
  <c r="AD83" i="6" s="1"/>
  <c r="D83" i="6"/>
  <c r="AG83" i="6" s="1"/>
  <c r="C83" i="6"/>
  <c r="AJ83" i="6" s="1"/>
  <c r="B83" i="6"/>
  <c r="X83" i="6" s="1"/>
  <c r="A83" i="6"/>
  <c r="AK82" i="6"/>
  <c r="AJ82" i="6"/>
  <c r="AG82" i="6"/>
  <c r="AF82" i="6"/>
  <c r="AE82" i="6"/>
  <c r="X82" i="6"/>
  <c r="P82" i="6"/>
  <c r="O82" i="6"/>
  <c r="N82" i="6"/>
  <c r="AB82" i="6" s="1"/>
  <c r="M82" i="6"/>
  <c r="L82" i="6"/>
  <c r="K82" i="6"/>
  <c r="Q82" i="6" s="1"/>
  <c r="R82" i="6" s="1"/>
  <c r="J82" i="6"/>
  <c r="I82" i="6"/>
  <c r="H82" i="6"/>
  <c r="G82" i="6"/>
  <c r="F82" i="6"/>
  <c r="E82" i="6"/>
  <c r="AD82" i="6" s="1"/>
  <c r="D82" i="6"/>
  <c r="C82" i="6"/>
  <c r="B82" i="6"/>
  <c r="AM82" i="6" s="1"/>
  <c r="A82" i="6"/>
  <c r="AI82" i="6" s="1"/>
  <c r="AM81" i="6"/>
  <c r="AJ81" i="6"/>
  <c r="AI81" i="6"/>
  <c r="AB81" i="6"/>
  <c r="Y81" i="6"/>
  <c r="X81" i="6"/>
  <c r="P81" i="6"/>
  <c r="O81" i="6"/>
  <c r="N81" i="6"/>
  <c r="M81" i="6"/>
  <c r="L81" i="6"/>
  <c r="AF81" i="6" s="1"/>
  <c r="K81" i="6"/>
  <c r="J81" i="6"/>
  <c r="I81" i="6"/>
  <c r="H81" i="6"/>
  <c r="G81" i="6"/>
  <c r="F81" i="6"/>
  <c r="E81" i="6"/>
  <c r="AE81" i="6" s="1"/>
  <c r="D81" i="6"/>
  <c r="AG81" i="6" s="1"/>
  <c r="C81" i="6"/>
  <c r="AK81" i="6" s="1"/>
  <c r="B81" i="6"/>
  <c r="A81" i="6"/>
  <c r="AM80" i="6"/>
  <c r="AG80" i="6"/>
  <c r="Y80" i="6"/>
  <c r="S80" i="6"/>
  <c r="P80" i="6"/>
  <c r="O80" i="6"/>
  <c r="N80" i="6"/>
  <c r="AB80" i="6" s="1"/>
  <c r="M80" i="6"/>
  <c r="L80" i="6"/>
  <c r="K80" i="6"/>
  <c r="Q80" i="6" s="1"/>
  <c r="R80" i="6" s="1"/>
  <c r="J80" i="6"/>
  <c r="I80" i="6"/>
  <c r="H80" i="6"/>
  <c r="G80" i="6"/>
  <c r="F80" i="6"/>
  <c r="E80" i="6"/>
  <c r="AD80" i="6" s="1"/>
  <c r="D80" i="6"/>
  <c r="C80" i="6"/>
  <c r="AJ80" i="6" s="1"/>
  <c r="B80" i="6"/>
  <c r="X80" i="6" s="1"/>
  <c r="A80" i="6"/>
  <c r="AI80" i="6" s="1"/>
  <c r="AM79" i="6"/>
  <c r="AK79" i="6"/>
  <c r="AG79" i="6"/>
  <c r="Y79" i="6"/>
  <c r="X79" i="6"/>
  <c r="P79" i="6"/>
  <c r="O79" i="6"/>
  <c r="N79" i="6"/>
  <c r="AB79" i="6" s="1"/>
  <c r="M79" i="6"/>
  <c r="S79" i="6" s="1"/>
  <c r="L79" i="6"/>
  <c r="AF79" i="6" s="1"/>
  <c r="K79" i="6"/>
  <c r="Q79" i="6" s="1"/>
  <c r="R79" i="6" s="1"/>
  <c r="J79" i="6"/>
  <c r="I79" i="6"/>
  <c r="H79" i="6"/>
  <c r="G79" i="6"/>
  <c r="F79" i="6"/>
  <c r="E79" i="6"/>
  <c r="AE79" i="6" s="1"/>
  <c r="D79" i="6"/>
  <c r="C79" i="6"/>
  <c r="AJ79" i="6" s="1"/>
  <c r="B79" i="6"/>
  <c r="A79" i="6"/>
  <c r="AM78" i="6"/>
  <c r="AK78" i="6"/>
  <c r="AG78" i="6"/>
  <c r="AB78" i="6"/>
  <c r="Y78" i="6"/>
  <c r="X78" i="6"/>
  <c r="P78" i="6"/>
  <c r="O78" i="6"/>
  <c r="N78" i="6"/>
  <c r="M78" i="6"/>
  <c r="S78" i="6" s="1"/>
  <c r="L78" i="6"/>
  <c r="AF78" i="6" s="1"/>
  <c r="K78" i="6"/>
  <c r="Q78" i="6" s="1"/>
  <c r="R78" i="6" s="1"/>
  <c r="J78" i="6"/>
  <c r="I78" i="6"/>
  <c r="H78" i="6"/>
  <c r="G78" i="6"/>
  <c r="F78" i="6"/>
  <c r="E78" i="6"/>
  <c r="AE78" i="6" s="1"/>
  <c r="D78" i="6"/>
  <c r="C78" i="6"/>
  <c r="AJ78" i="6" s="1"/>
  <c r="B78" i="6"/>
  <c r="A78" i="6"/>
  <c r="AI78" i="6" s="1"/>
  <c r="AM77" i="6"/>
  <c r="AG77" i="6"/>
  <c r="Y77" i="6"/>
  <c r="S77" i="6"/>
  <c r="P77" i="6"/>
  <c r="O77" i="6"/>
  <c r="N77" i="6"/>
  <c r="AB77" i="6" s="1"/>
  <c r="M77" i="6"/>
  <c r="L77" i="6"/>
  <c r="K77" i="6"/>
  <c r="Q77" i="6" s="1"/>
  <c r="R77" i="6" s="1"/>
  <c r="J77" i="6"/>
  <c r="I77" i="6"/>
  <c r="H77" i="6"/>
  <c r="G77" i="6"/>
  <c r="F77" i="6"/>
  <c r="E77" i="6"/>
  <c r="AD77" i="6" s="1"/>
  <c r="D77" i="6"/>
  <c r="C77" i="6"/>
  <c r="AJ77" i="6" s="1"/>
  <c r="B77" i="6"/>
  <c r="X77" i="6" s="1"/>
  <c r="A77" i="6"/>
  <c r="AI77" i="6" s="1"/>
  <c r="AM76" i="6"/>
  <c r="AK76" i="6"/>
  <c r="AG76" i="6"/>
  <c r="Y76" i="6"/>
  <c r="X76" i="6"/>
  <c r="P76" i="6"/>
  <c r="O76" i="6"/>
  <c r="N76" i="6"/>
  <c r="AB76" i="6" s="1"/>
  <c r="M76" i="6"/>
  <c r="S76" i="6" s="1"/>
  <c r="L76" i="6"/>
  <c r="AF76" i="6" s="1"/>
  <c r="K76" i="6"/>
  <c r="Q76" i="6" s="1"/>
  <c r="R76" i="6" s="1"/>
  <c r="J76" i="6"/>
  <c r="I76" i="6"/>
  <c r="H76" i="6"/>
  <c r="G76" i="6"/>
  <c r="F76" i="6"/>
  <c r="E76" i="6"/>
  <c r="AE76" i="6" s="1"/>
  <c r="D76" i="6"/>
  <c r="C76" i="6"/>
  <c r="AJ76" i="6" s="1"/>
  <c r="B76" i="6"/>
  <c r="A76" i="6"/>
  <c r="AM75" i="6"/>
  <c r="AK75" i="6"/>
  <c r="AG75" i="6"/>
  <c r="AB75" i="6"/>
  <c r="Y75" i="6"/>
  <c r="X75" i="6"/>
  <c r="P75" i="6"/>
  <c r="O75" i="6"/>
  <c r="N75" i="6"/>
  <c r="M75" i="6"/>
  <c r="S75" i="6" s="1"/>
  <c r="L75" i="6"/>
  <c r="AF75" i="6" s="1"/>
  <c r="K75" i="6"/>
  <c r="Q75" i="6" s="1"/>
  <c r="R75" i="6" s="1"/>
  <c r="J75" i="6"/>
  <c r="I75" i="6"/>
  <c r="H75" i="6"/>
  <c r="G75" i="6"/>
  <c r="F75" i="6"/>
  <c r="E75" i="6"/>
  <c r="AE75" i="6" s="1"/>
  <c r="D75" i="6"/>
  <c r="C75" i="6"/>
  <c r="AJ75" i="6" s="1"/>
  <c r="B75" i="6"/>
  <c r="A75" i="6"/>
  <c r="AI75" i="6" s="1"/>
  <c r="AM74" i="6"/>
  <c r="AG74" i="6"/>
  <c r="Y74" i="6"/>
  <c r="S74" i="6"/>
  <c r="P74" i="6"/>
  <c r="O74" i="6"/>
  <c r="N74" i="6"/>
  <c r="AB74" i="6" s="1"/>
  <c r="M74" i="6"/>
  <c r="L74" i="6"/>
  <c r="K74" i="6"/>
  <c r="Q74" i="6" s="1"/>
  <c r="R74" i="6" s="1"/>
  <c r="J74" i="6"/>
  <c r="I74" i="6"/>
  <c r="H74" i="6"/>
  <c r="G74" i="6"/>
  <c r="F74" i="6"/>
  <c r="E74" i="6"/>
  <c r="AD74" i="6" s="1"/>
  <c r="D74" i="6"/>
  <c r="C74" i="6"/>
  <c r="AJ74" i="6" s="1"/>
  <c r="B74" i="6"/>
  <c r="X74" i="6" s="1"/>
  <c r="A74" i="6"/>
  <c r="AI74" i="6" s="1"/>
  <c r="AM73" i="6"/>
  <c r="AK73" i="6"/>
  <c r="AG73" i="6"/>
  <c r="Y73" i="6"/>
  <c r="X73" i="6"/>
  <c r="P73" i="6"/>
  <c r="O73" i="6"/>
  <c r="N73" i="6"/>
  <c r="AB73" i="6" s="1"/>
  <c r="M73" i="6"/>
  <c r="S73" i="6" s="1"/>
  <c r="L73" i="6"/>
  <c r="AF73" i="6" s="1"/>
  <c r="K73" i="6"/>
  <c r="Q73" i="6" s="1"/>
  <c r="R73" i="6" s="1"/>
  <c r="J73" i="6"/>
  <c r="I73" i="6"/>
  <c r="H73" i="6"/>
  <c r="G73" i="6"/>
  <c r="F73" i="6"/>
  <c r="E73" i="6"/>
  <c r="AE73" i="6" s="1"/>
  <c r="D73" i="6"/>
  <c r="C73" i="6"/>
  <c r="AJ73" i="6" s="1"/>
  <c r="B73" i="6"/>
  <c r="A73" i="6"/>
  <c r="AM72" i="6"/>
  <c r="AK72" i="6"/>
  <c r="AG72" i="6"/>
  <c r="AB72" i="6"/>
  <c r="Y72" i="6"/>
  <c r="X72" i="6"/>
  <c r="P72" i="6"/>
  <c r="O72" i="6"/>
  <c r="N72" i="6"/>
  <c r="M72" i="6"/>
  <c r="S72" i="6" s="1"/>
  <c r="L72" i="6"/>
  <c r="AF72" i="6" s="1"/>
  <c r="K72" i="6"/>
  <c r="Q72" i="6" s="1"/>
  <c r="R72" i="6" s="1"/>
  <c r="J72" i="6"/>
  <c r="I72" i="6"/>
  <c r="H72" i="6"/>
  <c r="G72" i="6"/>
  <c r="F72" i="6"/>
  <c r="E72" i="6"/>
  <c r="AE72" i="6" s="1"/>
  <c r="D72" i="6"/>
  <c r="C72" i="6"/>
  <c r="AJ72" i="6" s="1"/>
  <c r="B72" i="6"/>
  <c r="A72" i="6"/>
  <c r="AI72" i="6" s="1"/>
  <c r="AM71" i="6"/>
  <c r="AG71" i="6"/>
  <c r="Y71" i="6"/>
  <c r="S71" i="6"/>
  <c r="P71" i="6"/>
  <c r="O71" i="6"/>
  <c r="N71" i="6"/>
  <c r="AB71" i="6" s="1"/>
  <c r="M71" i="6"/>
  <c r="L71" i="6"/>
  <c r="K71" i="6"/>
  <c r="Q71" i="6" s="1"/>
  <c r="R71" i="6" s="1"/>
  <c r="J71" i="6"/>
  <c r="I71" i="6"/>
  <c r="H71" i="6"/>
  <c r="G71" i="6"/>
  <c r="F71" i="6"/>
  <c r="E71" i="6"/>
  <c r="AD71" i="6" s="1"/>
  <c r="D71" i="6"/>
  <c r="C71" i="6"/>
  <c r="AJ71" i="6" s="1"/>
  <c r="B71" i="6"/>
  <c r="X71" i="6" s="1"/>
  <c r="A71" i="6"/>
  <c r="AI71" i="6" s="1"/>
  <c r="AM70" i="6"/>
  <c r="AK70" i="6"/>
  <c r="AG70" i="6"/>
  <c r="Y70" i="6"/>
  <c r="X70" i="6"/>
  <c r="P70" i="6"/>
  <c r="O70" i="6"/>
  <c r="N70" i="6"/>
  <c r="AB70" i="6" s="1"/>
  <c r="M70" i="6"/>
  <c r="S70" i="6" s="1"/>
  <c r="L70" i="6"/>
  <c r="AF70" i="6" s="1"/>
  <c r="K70" i="6"/>
  <c r="Q70" i="6" s="1"/>
  <c r="R70" i="6" s="1"/>
  <c r="J70" i="6"/>
  <c r="I70" i="6"/>
  <c r="H70" i="6"/>
  <c r="G70" i="6"/>
  <c r="F70" i="6"/>
  <c r="E70" i="6"/>
  <c r="AE70" i="6" s="1"/>
  <c r="D70" i="6"/>
  <c r="C70" i="6"/>
  <c r="AJ70" i="6" s="1"/>
  <c r="B70" i="6"/>
  <c r="A70" i="6"/>
  <c r="AM69" i="6"/>
  <c r="AK69" i="6"/>
  <c r="AG69" i="6"/>
  <c r="AB69" i="6"/>
  <c r="Y69" i="6"/>
  <c r="X69" i="6"/>
  <c r="P69" i="6"/>
  <c r="O69" i="6"/>
  <c r="N69" i="6"/>
  <c r="M69" i="6"/>
  <c r="S69" i="6" s="1"/>
  <c r="L69" i="6"/>
  <c r="AF69" i="6" s="1"/>
  <c r="K69" i="6"/>
  <c r="Q69" i="6" s="1"/>
  <c r="R69" i="6" s="1"/>
  <c r="J69" i="6"/>
  <c r="I69" i="6"/>
  <c r="H69" i="6"/>
  <c r="G69" i="6"/>
  <c r="F69" i="6"/>
  <c r="E69" i="6"/>
  <c r="AE69" i="6" s="1"/>
  <c r="D69" i="6"/>
  <c r="C69" i="6"/>
  <c r="AJ69" i="6" s="1"/>
  <c r="B69" i="6"/>
  <c r="A69" i="6"/>
  <c r="AI69" i="6" s="1"/>
  <c r="AM68" i="6"/>
  <c r="AG68" i="6"/>
  <c r="Y68" i="6"/>
  <c r="S68" i="6"/>
  <c r="P68" i="6"/>
  <c r="O68" i="6"/>
  <c r="N68" i="6"/>
  <c r="AB68" i="6" s="1"/>
  <c r="M68" i="6"/>
  <c r="L68" i="6"/>
  <c r="K68" i="6"/>
  <c r="Q68" i="6" s="1"/>
  <c r="R68" i="6" s="1"/>
  <c r="J68" i="6"/>
  <c r="I68" i="6"/>
  <c r="H68" i="6"/>
  <c r="G68" i="6"/>
  <c r="F68" i="6"/>
  <c r="E68" i="6"/>
  <c r="AD68" i="6" s="1"/>
  <c r="D68" i="6"/>
  <c r="C68" i="6"/>
  <c r="AJ68" i="6" s="1"/>
  <c r="B68" i="6"/>
  <c r="X68" i="6" s="1"/>
  <c r="A68" i="6"/>
  <c r="AI68" i="6" s="1"/>
  <c r="AM67" i="6"/>
  <c r="AK67" i="6"/>
  <c r="AG67" i="6"/>
  <c r="Y67" i="6"/>
  <c r="X67" i="6"/>
  <c r="P67" i="6"/>
  <c r="O67" i="6"/>
  <c r="N67" i="6"/>
  <c r="AB67" i="6" s="1"/>
  <c r="M67" i="6"/>
  <c r="S67" i="6" s="1"/>
  <c r="L67" i="6"/>
  <c r="AF67" i="6" s="1"/>
  <c r="K67" i="6"/>
  <c r="Q67" i="6" s="1"/>
  <c r="R67" i="6" s="1"/>
  <c r="J67" i="6"/>
  <c r="I67" i="6"/>
  <c r="H67" i="6"/>
  <c r="G67" i="6"/>
  <c r="F67" i="6"/>
  <c r="E67" i="6"/>
  <c r="AE67" i="6" s="1"/>
  <c r="D67" i="6"/>
  <c r="C67" i="6"/>
  <c r="AJ67" i="6" s="1"/>
  <c r="B67" i="6"/>
  <c r="A67" i="6"/>
  <c r="AM66" i="6"/>
  <c r="AK66" i="6"/>
  <c r="AG66" i="6"/>
  <c r="AB66" i="6"/>
  <c r="Y66" i="6"/>
  <c r="X66" i="6"/>
  <c r="P66" i="6"/>
  <c r="O66" i="6"/>
  <c r="N66" i="6"/>
  <c r="M66" i="6"/>
  <c r="S66" i="6" s="1"/>
  <c r="L66" i="6"/>
  <c r="AF66" i="6" s="1"/>
  <c r="K66" i="6"/>
  <c r="Q66" i="6" s="1"/>
  <c r="R66" i="6" s="1"/>
  <c r="J66" i="6"/>
  <c r="I66" i="6"/>
  <c r="H66" i="6"/>
  <c r="G66" i="6"/>
  <c r="F66" i="6"/>
  <c r="E66" i="6"/>
  <c r="AE66" i="6" s="1"/>
  <c r="D66" i="6"/>
  <c r="C66" i="6"/>
  <c r="AJ66" i="6" s="1"/>
  <c r="B66" i="6"/>
  <c r="A66" i="6"/>
  <c r="AI66" i="6" s="1"/>
  <c r="AM65" i="6"/>
  <c r="AG65" i="6"/>
  <c r="Y65" i="6"/>
  <c r="S65" i="6"/>
  <c r="P65" i="6"/>
  <c r="O65" i="6"/>
  <c r="N65" i="6"/>
  <c r="AB65" i="6" s="1"/>
  <c r="M65" i="6"/>
  <c r="L65" i="6"/>
  <c r="K65" i="6"/>
  <c r="Q65" i="6" s="1"/>
  <c r="R65" i="6" s="1"/>
  <c r="J65" i="6"/>
  <c r="I65" i="6"/>
  <c r="H65" i="6"/>
  <c r="G65" i="6"/>
  <c r="F65" i="6"/>
  <c r="E65" i="6"/>
  <c r="AD65" i="6" s="1"/>
  <c r="D65" i="6"/>
  <c r="C65" i="6"/>
  <c r="AJ65" i="6" s="1"/>
  <c r="B65" i="6"/>
  <c r="X65" i="6" s="1"/>
  <c r="A65" i="6"/>
  <c r="AI65" i="6" s="1"/>
  <c r="AM64" i="6"/>
  <c r="AK64" i="6"/>
  <c r="AG64" i="6"/>
  <c r="Y64" i="6"/>
  <c r="X64" i="6"/>
  <c r="P64" i="6"/>
  <c r="O64" i="6"/>
  <c r="N64" i="6"/>
  <c r="AB64" i="6" s="1"/>
  <c r="M64" i="6"/>
  <c r="L64" i="6"/>
  <c r="AF64" i="6" s="1"/>
  <c r="K64" i="6"/>
  <c r="S64" i="6" s="1"/>
  <c r="J64" i="6"/>
  <c r="I64" i="6"/>
  <c r="H64" i="6"/>
  <c r="G64" i="6"/>
  <c r="F64" i="6"/>
  <c r="E64" i="6"/>
  <c r="AE64" i="6" s="1"/>
  <c r="D64" i="6"/>
  <c r="C64" i="6"/>
  <c r="AJ64" i="6" s="1"/>
  <c r="B64" i="6"/>
  <c r="A64" i="6"/>
  <c r="AM63" i="6"/>
  <c r="AK63" i="6"/>
  <c r="AG63" i="6"/>
  <c r="AB63" i="6"/>
  <c r="Y63" i="6"/>
  <c r="X63" i="6"/>
  <c r="P63" i="6"/>
  <c r="O63" i="6"/>
  <c r="N63" i="6"/>
  <c r="M63" i="6"/>
  <c r="L63" i="6"/>
  <c r="AF63" i="6" s="1"/>
  <c r="K63" i="6"/>
  <c r="S63" i="6" s="1"/>
  <c r="J63" i="6"/>
  <c r="I63" i="6"/>
  <c r="H63" i="6"/>
  <c r="G63" i="6"/>
  <c r="F63" i="6"/>
  <c r="E63" i="6"/>
  <c r="AE63" i="6" s="1"/>
  <c r="D63" i="6"/>
  <c r="C63" i="6"/>
  <c r="AJ63" i="6" s="1"/>
  <c r="B63" i="6"/>
  <c r="A63" i="6"/>
  <c r="AI63" i="6" s="1"/>
  <c r="AM62" i="6"/>
  <c r="AG62" i="6"/>
  <c r="Y62" i="6"/>
  <c r="S62" i="6"/>
  <c r="P62" i="6"/>
  <c r="O62" i="6"/>
  <c r="N62" i="6"/>
  <c r="AB62" i="6" s="1"/>
  <c r="M62" i="6"/>
  <c r="L62" i="6"/>
  <c r="K62" i="6"/>
  <c r="Q62" i="6" s="1"/>
  <c r="R62" i="6" s="1"/>
  <c r="J62" i="6"/>
  <c r="I62" i="6"/>
  <c r="H62" i="6"/>
  <c r="G62" i="6"/>
  <c r="F62" i="6"/>
  <c r="E62" i="6"/>
  <c r="AD62" i="6" s="1"/>
  <c r="D62" i="6"/>
  <c r="C62" i="6"/>
  <c r="AJ62" i="6" s="1"/>
  <c r="B62" i="6"/>
  <c r="X62" i="6" s="1"/>
  <c r="A62" i="6"/>
  <c r="AI62" i="6" s="1"/>
  <c r="AM61" i="6"/>
  <c r="AK61" i="6"/>
  <c r="AG61" i="6"/>
  <c r="Y61" i="6"/>
  <c r="X61" i="6"/>
  <c r="P61" i="6"/>
  <c r="O61" i="6"/>
  <c r="N61" i="6"/>
  <c r="AB61" i="6" s="1"/>
  <c r="M61" i="6"/>
  <c r="L61" i="6"/>
  <c r="AF61" i="6" s="1"/>
  <c r="K61" i="6"/>
  <c r="S61" i="6" s="1"/>
  <c r="J61" i="6"/>
  <c r="I61" i="6"/>
  <c r="H61" i="6"/>
  <c r="G61" i="6"/>
  <c r="F61" i="6"/>
  <c r="E61" i="6"/>
  <c r="AE61" i="6" s="1"/>
  <c r="D61" i="6"/>
  <c r="C61" i="6"/>
  <c r="AJ61" i="6" s="1"/>
  <c r="B61" i="6"/>
  <c r="A61" i="6"/>
  <c r="AM60" i="6"/>
  <c r="AK60" i="6"/>
  <c r="AG60" i="6"/>
  <c r="AB60" i="6"/>
  <c r="Y60" i="6"/>
  <c r="X60" i="6"/>
  <c r="P60" i="6"/>
  <c r="O60" i="6"/>
  <c r="N60" i="6"/>
  <c r="M60" i="6"/>
  <c r="L60" i="6"/>
  <c r="AF60" i="6" s="1"/>
  <c r="K60" i="6"/>
  <c r="S60" i="6" s="1"/>
  <c r="J60" i="6"/>
  <c r="I60" i="6"/>
  <c r="H60" i="6"/>
  <c r="G60" i="6"/>
  <c r="F60" i="6"/>
  <c r="E60" i="6"/>
  <c r="AE60" i="6" s="1"/>
  <c r="D60" i="6"/>
  <c r="C60" i="6"/>
  <c r="AJ60" i="6" s="1"/>
  <c r="B60" i="6"/>
  <c r="A60" i="6"/>
  <c r="AI60" i="6" s="1"/>
  <c r="AM59" i="6"/>
  <c r="AG59" i="6"/>
  <c r="Y59" i="6"/>
  <c r="S59" i="6"/>
  <c r="P59" i="6"/>
  <c r="O59" i="6"/>
  <c r="N59" i="6"/>
  <c r="AB59" i="6" s="1"/>
  <c r="M59" i="6"/>
  <c r="L59" i="6"/>
  <c r="K59" i="6"/>
  <c r="Q59" i="6" s="1"/>
  <c r="R59" i="6" s="1"/>
  <c r="J59" i="6"/>
  <c r="I59" i="6"/>
  <c r="H59" i="6"/>
  <c r="G59" i="6"/>
  <c r="F59" i="6"/>
  <c r="E59" i="6"/>
  <c r="AD59" i="6" s="1"/>
  <c r="D59" i="6"/>
  <c r="C59" i="6"/>
  <c r="AJ59" i="6" s="1"/>
  <c r="B59" i="6"/>
  <c r="X59" i="6" s="1"/>
  <c r="A59" i="6"/>
  <c r="AI59" i="6" s="1"/>
  <c r="AM58" i="6"/>
  <c r="AK58" i="6"/>
  <c r="AG58" i="6"/>
  <c r="Y58" i="6"/>
  <c r="X58" i="6"/>
  <c r="P58" i="6"/>
  <c r="O58" i="6"/>
  <c r="N58" i="6"/>
  <c r="AB58" i="6" s="1"/>
  <c r="M58" i="6"/>
  <c r="L58" i="6"/>
  <c r="AF58" i="6" s="1"/>
  <c r="K58" i="6"/>
  <c r="S58" i="6" s="1"/>
  <c r="J58" i="6"/>
  <c r="I58" i="6"/>
  <c r="H58" i="6"/>
  <c r="G58" i="6"/>
  <c r="F58" i="6"/>
  <c r="E58" i="6"/>
  <c r="AE58" i="6" s="1"/>
  <c r="D58" i="6"/>
  <c r="C58" i="6"/>
  <c r="AJ58" i="6" s="1"/>
  <c r="B58" i="6"/>
  <c r="A58" i="6"/>
  <c r="AM57" i="6"/>
  <c r="AK57" i="6"/>
  <c r="AG57" i="6"/>
  <c r="AB57" i="6"/>
  <c r="Y57" i="6"/>
  <c r="X57" i="6"/>
  <c r="P57" i="6"/>
  <c r="O57" i="6"/>
  <c r="N57" i="6"/>
  <c r="M57" i="6"/>
  <c r="L57" i="6"/>
  <c r="AF57" i="6" s="1"/>
  <c r="K57" i="6"/>
  <c r="S57" i="6" s="1"/>
  <c r="J57" i="6"/>
  <c r="I57" i="6"/>
  <c r="H57" i="6"/>
  <c r="G57" i="6"/>
  <c r="F57" i="6"/>
  <c r="E57" i="6"/>
  <c r="AE57" i="6" s="1"/>
  <c r="D57" i="6"/>
  <c r="C57" i="6"/>
  <c r="AJ57" i="6" s="1"/>
  <c r="B57" i="6"/>
  <c r="A57" i="6"/>
  <c r="AI57" i="6" s="1"/>
  <c r="AM56" i="6"/>
  <c r="AG56" i="6"/>
  <c r="Y56" i="6"/>
  <c r="S56" i="6"/>
  <c r="P56" i="6"/>
  <c r="O56" i="6"/>
  <c r="N56" i="6"/>
  <c r="AB56" i="6" s="1"/>
  <c r="M56" i="6"/>
  <c r="L56" i="6"/>
  <c r="K56" i="6"/>
  <c r="Q56" i="6" s="1"/>
  <c r="R56" i="6" s="1"/>
  <c r="J56" i="6"/>
  <c r="I56" i="6"/>
  <c r="H56" i="6"/>
  <c r="G56" i="6"/>
  <c r="F56" i="6"/>
  <c r="E56" i="6"/>
  <c r="AD56" i="6" s="1"/>
  <c r="D56" i="6"/>
  <c r="C56" i="6"/>
  <c r="AJ56" i="6" s="1"/>
  <c r="B56" i="6"/>
  <c r="X56" i="6" s="1"/>
  <c r="A56" i="6"/>
  <c r="AI56" i="6" s="1"/>
  <c r="AM55" i="6"/>
  <c r="AK55" i="6"/>
  <c r="AG55" i="6"/>
  <c r="AF55" i="6"/>
  <c r="Y55" i="6"/>
  <c r="X55" i="6"/>
  <c r="P55" i="6"/>
  <c r="O55" i="6"/>
  <c r="N55" i="6"/>
  <c r="AB55" i="6" s="1"/>
  <c r="M55" i="6"/>
  <c r="L55" i="6"/>
  <c r="K55" i="6"/>
  <c r="S55" i="6" s="1"/>
  <c r="J55" i="6"/>
  <c r="I55" i="6"/>
  <c r="H55" i="6"/>
  <c r="G55" i="6"/>
  <c r="F55" i="6"/>
  <c r="E55" i="6"/>
  <c r="AE55" i="6" s="1"/>
  <c r="D55" i="6"/>
  <c r="C55" i="6"/>
  <c r="AJ55" i="6" s="1"/>
  <c r="B55" i="6"/>
  <c r="A55" i="6"/>
  <c r="AM54" i="6"/>
  <c r="AK54" i="6"/>
  <c r="AG54" i="6"/>
  <c r="AB54" i="6"/>
  <c r="Y54" i="6"/>
  <c r="X54" i="6"/>
  <c r="P54" i="6"/>
  <c r="O54" i="6"/>
  <c r="N54" i="6"/>
  <c r="M54" i="6"/>
  <c r="L54" i="6"/>
  <c r="AF54" i="6" s="1"/>
  <c r="K54" i="6"/>
  <c r="S54" i="6" s="1"/>
  <c r="J54" i="6"/>
  <c r="I54" i="6"/>
  <c r="H54" i="6"/>
  <c r="G54" i="6"/>
  <c r="F54" i="6"/>
  <c r="E54" i="6"/>
  <c r="AE54" i="6" s="1"/>
  <c r="D54" i="6"/>
  <c r="C54" i="6"/>
  <c r="AJ54" i="6" s="1"/>
  <c r="B54" i="6"/>
  <c r="A54" i="6"/>
  <c r="AI54" i="6" s="1"/>
  <c r="AM53" i="6"/>
  <c r="AG53" i="6"/>
  <c r="Z53" i="6"/>
  <c r="Y53" i="6"/>
  <c r="S53" i="6"/>
  <c r="P53" i="6"/>
  <c r="O53" i="6"/>
  <c r="N53" i="6"/>
  <c r="AB53" i="6" s="1"/>
  <c r="M53" i="6"/>
  <c r="L53" i="6"/>
  <c r="K53" i="6"/>
  <c r="Q53" i="6" s="1"/>
  <c r="R53" i="6" s="1"/>
  <c r="J53" i="6"/>
  <c r="I53" i="6"/>
  <c r="H53" i="6"/>
  <c r="G53" i="6"/>
  <c r="F53" i="6"/>
  <c r="E53" i="6"/>
  <c r="AD53" i="6" s="1"/>
  <c r="D53" i="6"/>
  <c r="C53" i="6"/>
  <c r="AJ53" i="6" s="1"/>
  <c r="B53" i="6"/>
  <c r="X53" i="6" s="1"/>
  <c r="A53" i="6"/>
  <c r="AI53" i="6" s="1"/>
  <c r="AM52" i="6"/>
  <c r="AK52" i="6"/>
  <c r="AG52" i="6"/>
  <c r="AF52" i="6"/>
  <c r="Y52" i="6"/>
  <c r="X52" i="6"/>
  <c r="P52" i="6"/>
  <c r="O52" i="6"/>
  <c r="N52" i="6"/>
  <c r="AB52" i="6" s="1"/>
  <c r="M52" i="6"/>
  <c r="L52" i="6"/>
  <c r="K52" i="6"/>
  <c r="S52" i="6" s="1"/>
  <c r="J52" i="6"/>
  <c r="I52" i="6"/>
  <c r="H52" i="6"/>
  <c r="G52" i="6"/>
  <c r="F52" i="6"/>
  <c r="E52" i="6"/>
  <c r="AE52" i="6" s="1"/>
  <c r="D52" i="6"/>
  <c r="C52" i="6"/>
  <c r="AJ52" i="6" s="1"/>
  <c r="B52" i="6"/>
  <c r="A52" i="6"/>
  <c r="AM51" i="6"/>
  <c r="AK51" i="6"/>
  <c r="AG51" i="6"/>
  <c r="AB51" i="6"/>
  <c r="Y51" i="6"/>
  <c r="X51" i="6"/>
  <c r="P51" i="6"/>
  <c r="O51" i="6"/>
  <c r="N51" i="6"/>
  <c r="M51" i="6"/>
  <c r="L51" i="6"/>
  <c r="AF51" i="6" s="1"/>
  <c r="K51" i="6"/>
  <c r="S51" i="6" s="1"/>
  <c r="J51" i="6"/>
  <c r="I51" i="6"/>
  <c r="H51" i="6"/>
  <c r="G51" i="6"/>
  <c r="F51" i="6"/>
  <c r="E51" i="6"/>
  <c r="AE51" i="6" s="1"/>
  <c r="D51" i="6"/>
  <c r="C51" i="6"/>
  <c r="AJ51" i="6" s="1"/>
  <c r="B51" i="6"/>
  <c r="A51" i="6"/>
  <c r="AI51" i="6" s="1"/>
  <c r="AM50" i="6"/>
  <c r="AG50" i="6"/>
  <c r="Y50" i="6"/>
  <c r="S50" i="6"/>
  <c r="P50" i="6"/>
  <c r="O50" i="6"/>
  <c r="N50" i="6"/>
  <c r="AB50" i="6" s="1"/>
  <c r="M50" i="6"/>
  <c r="L50" i="6"/>
  <c r="K50" i="6"/>
  <c r="Q50" i="6" s="1"/>
  <c r="R50" i="6" s="1"/>
  <c r="J50" i="6"/>
  <c r="I50" i="6"/>
  <c r="H50" i="6"/>
  <c r="G50" i="6"/>
  <c r="F50" i="6"/>
  <c r="E50" i="6"/>
  <c r="AD50" i="6" s="1"/>
  <c r="D50" i="6"/>
  <c r="C50" i="6"/>
  <c r="AJ50" i="6" s="1"/>
  <c r="B50" i="6"/>
  <c r="X50" i="6" s="1"/>
  <c r="A50" i="6"/>
  <c r="AI50" i="6" s="1"/>
  <c r="AM49" i="6"/>
  <c r="AK49" i="6"/>
  <c r="AG49" i="6"/>
  <c r="AF49" i="6"/>
  <c r="Y49" i="6"/>
  <c r="X49" i="6"/>
  <c r="P49" i="6"/>
  <c r="O49" i="6"/>
  <c r="N49" i="6"/>
  <c r="AB49" i="6" s="1"/>
  <c r="M49" i="6"/>
  <c r="L49" i="6"/>
  <c r="K49" i="6"/>
  <c r="S49" i="6" s="1"/>
  <c r="J49" i="6"/>
  <c r="I49" i="6"/>
  <c r="H49" i="6"/>
  <c r="G49" i="6"/>
  <c r="F49" i="6"/>
  <c r="E49" i="6"/>
  <c r="AE49" i="6" s="1"/>
  <c r="D49" i="6"/>
  <c r="C49" i="6"/>
  <c r="AJ49" i="6" s="1"/>
  <c r="B49" i="6"/>
  <c r="A49" i="6"/>
  <c r="AM48" i="6"/>
  <c r="AK48" i="6"/>
  <c r="AG48" i="6"/>
  <c r="AB48" i="6"/>
  <c r="Y48" i="6"/>
  <c r="X48" i="6"/>
  <c r="P48" i="6"/>
  <c r="O48" i="6"/>
  <c r="N48" i="6"/>
  <c r="M48" i="6"/>
  <c r="L48" i="6"/>
  <c r="AF48" i="6" s="1"/>
  <c r="K48" i="6"/>
  <c r="S48" i="6" s="1"/>
  <c r="J48" i="6"/>
  <c r="I48" i="6"/>
  <c r="H48" i="6"/>
  <c r="G48" i="6"/>
  <c r="F48" i="6"/>
  <c r="E48" i="6"/>
  <c r="AE48" i="6" s="1"/>
  <c r="D48" i="6"/>
  <c r="C48" i="6"/>
  <c r="AJ48" i="6" s="1"/>
  <c r="B48" i="6"/>
  <c r="A48" i="6"/>
  <c r="AI48" i="6" s="1"/>
  <c r="AM47" i="6"/>
  <c r="AG47" i="6"/>
  <c r="Z47" i="6"/>
  <c r="Y47" i="6"/>
  <c r="S47" i="6"/>
  <c r="P47" i="6"/>
  <c r="O47" i="6"/>
  <c r="N47" i="6"/>
  <c r="AB47" i="6" s="1"/>
  <c r="M47" i="6"/>
  <c r="L47" i="6"/>
  <c r="K47" i="6"/>
  <c r="Q47" i="6" s="1"/>
  <c r="R47" i="6" s="1"/>
  <c r="J47" i="6"/>
  <c r="I47" i="6"/>
  <c r="H47" i="6"/>
  <c r="G47" i="6"/>
  <c r="F47" i="6"/>
  <c r="E47" i="6"/>
  <c r="AD47" i="6" s="1"/>
  <c r="D47" i="6"/>
  <c r="C47" i="6"/>
  <c r="AJ47" i="6" s="1"/>
  <c r="B47" i="6"/>
  <c r="X47" i="6" s="1"/>
  <c r="A47" i="6"/>
  <c r="AI47" i="6" s="1"/>
  <c r="AM46" i="6"/>
  <c r="AK46" i="6"/>
  <c r="AG46" i="6"/>
  <c r="AF46" i="6"/>
  <c r="Y46" i="6"/>
  <c r="X46" i="6"/>
  <c r="P46" i="6"/>
  <c r="O46" i="6"/>
  <c r="N46" i="6"/>
  <c r="AB46" i="6" s="1"/>
  <c r="M46" i="6"/>
  <c r="L46" i="6"/>
  <c r="K46" i="6"/>
  <c r="S46" i="6" s="1"/>
  <c r="J46" i="6"/>
  <c r="I46" i="6"/>
  <c r="H46" i="6"/>
  <c r="G46" i="6"/>
  <c r="F46" i="6"/>
  <c r="E46" i="6"/>
  <c r="D46" i="6"/>
  <c r="C46" i="6"/>
  <c r="AJ46" i="6" s="1"/>
  <c r="B46" i="6"/>
  <c r="A46" i="6"/>
  <c r="AM45" i="6"/>
  <c r="AK45" i="6"/>
  <c r="AG45" i="6"/>
  <c r="AB45" i="6"/>
  <c r="Y45" i="6"/>
  <c r="X45" i="6"/>
  <c r="P45" i="6"/>
  <c r="O45" i="6"/>
  <c r="N45" i="6"/>
  <c r="M45" i="6"/>
  <c r="L45" i="6"/>
  <c r="K45" i="6"/>
  <c r="S45" i="6" s="1"/>
  <c r="J45" i="6"/>
  <c r="I45" i="6"/>
  <c r="H45" i="6"/>
  <c r="G45" i="6"/>
  <c r="F45" i="6"/>
  <c r="E45" i="6"/>
  <c r="AD45" i="6" s="1"/>
  <c r="D45" i="6"/>
  <c r="C45" i="6"/>
  <c r="AJ45" i="6" s="1"/>
  <c r="B45" i="6"/>
  <c r="A45" i="6"/>
  <c r="AI45" i="6" s="1"/>
  <c r="AM44" i="6"/>
  <c r="AG44" i="6"/>
  <c r="Y44" i="6"/>
  <c r="P44" i="6"/>
  <c r="O44" i="6"/>
  <c r="N44" i="6"/>
  <c r="AB44" i="6" s="1"/>
  <c r="M44" i="6"/>
  <c r="L44" i="6"/>
  <c r="K44" i="6"/>
  <c r="S44" i="6" s="1"/>
  <c r="J44" i="6"/>
  <c r="I44" i="6"/>
  <c r="H44" i="6"/>
  <c r="G44" i="6"/>
  <c r="F44" i="6"/>
  <c r="E44" i="6"/>
  <c r="AF44" i="6" s="1"/>
  <c r="D44" i="6"/>
  <c r="C44" i="6"/>
  <c r="AJ44" i="6" s="1"/>
  <c r="B44" i="6"/>
  <c r="X44" i="6" s="1"/>
  <c r="A44" i="6"/>
  <c r="AI44" i="6" s="1"/>
  <c r="AM43" i="6"/>
  <c r="AK43" i="6"/>
  <c r="AG43" i="6"/>
  <c r="Y43" i="6"/>
  <c r="X43" i="6"/>
  <c r="P43" i="6"/>
  <c r="O43" i="6"/>
  <c r="N43" i="6"/>
  <c r="AB43" i="6" s="1"/>
  <c r="M43" i="6"/>
  <c r="L43" i="6"/>
  <c r="AF43" i="6" s="1"/>
  <c r="K43" i="6"/>
  <c r="S43" i="6" s="1"/>
  <c r="J43" i="6"/>
  <c r="I43" i="6"/>
  <c r="H43" i="6"/>
  <c r="G43" i="6"/>
  <c r="F43" i="6"/>
  <c r="E43" i="6"/>
  <c r="AD43" i="6" s="1"/>
  <c r="D43" i="6"/>
  <c r="C43" i="6"/>
  <c r="AJ43" i="6" s="1"/>
  <c r="B43" i="6"/>
  <c r="A43" i="6"/>
  <c r="AM42" i="6"/>
  <c r="AK42" i="6"/>
  <c r="AG42" i="6"/>
  <c r="AB42" i="6"/>
  <c r="Y42" i="6"/>
  <c r="X42" i="6"/>
  <c r="P42" i="6"/>
  <c r="O42" i="6"/>
  <c r="N42" i="6"/>
  <c r="M42" i="6"/>
  <c r="L42" i="6"/>
  <c r="K42" i="6"/>
  <c r="S42" i="6" s="1"/>
  <c r="J42" i="6"/>
  <c r="I42" i="6"/>
  <c r="H42" i="6"/>
  <c r="G42" i="6"/>
  <c r="F42" i="6"/>
  <c r="E42" i="6"/>
  <c r="AD42" i="6" s="1"/>
  <c r="D42" i="6"/>
  <c r="C42" i="6"/>
  <c r="AJ42" i="6" s="1"/>
  <c r="B42" i="6"/>
  <c r="A42" i="6"/>
  <c r="AI42" i="6" s="1"/>
  <c r="AM41" i="6"/>
  <c r="AG41" i="6"/>
  <c r="AF41" i="6"/>
  <c r="Y41" i="6"/>
  <c r="P41" i="6"/>
  <c r="O41" i="6"/>
  <c r="N41" i="6"/>
  <c r="AB41" i="6" s="1"/>
  <c r="M41" i="6"/>
  <c r="L41" i="6"/>
  <c r="K41" i="6"/>
  <c r="Q41" i="6" s="1"/>
  <c r="R41" i="6" s="1"/>
  <c r="J41" i="6"/>
  <c r="I41" i="6"/>
  <c r="H41" i="6"/>
  <c r="G41" i="6"/>
  <c r="F41" i="6"/>
  <c r="E41" i="6"/>
  <c r="D41" i="6"/>
  <c r="C41" i="6"/>
  <c r="AJ41" i="6" s="1"/>
  <c r="B41" i="6"/>
  <c r="X41" i="6" s="1"/>
  <c r="A41" i="6"/>
  <c r="AI41" i="6" s="1"/>
  <c r="AM40" i="6"/>
  <c r="AK40" i="6"/>
  <c r="AG40" i="6"/>
  <c r="Y40" i="6"/>
  <c r="X40" i="6"/>
  <c r="P40" i="6"/>
  <c r="O40" i="6"/>
  <c r="N40" i="6"/>
  <c r="AB40" i="6" s="1"/>
  <c r="M40" i="6"/>
  <c r="L40" i="6"/>
  <c r="K40" i="6"/>
  <c r="S40" i="6" s="1"/>
  <c r="J40" i="6"/>
  <c r="I40" i="6"/>
  <c r="H40" i="6"/>
  <c r="G40" i="6"/>
  <c r="F40" i="6"/>
  <c r="E40" i="6"/>
  <c r="AD40" i="6" s="1"/>
  <c r="D40" i="6"/>
  <c r="C40" i="6"/>
  <c r="AJ40" i="6" s="1"/>
  <c r="B40" i="6"/>
  <c r="A40" i="6"/>
  <c r="AM39" i="6"/>
  <c r="AK39" i="6"/>
  <c r="AG39" i="6"/>
  <c r="AB39" i="6"/>
  <c r="Y39" i="6"/>
  <c r="X39" i="6"/>
  <c r="P39" i="6"/>
  <c r="O39" i="6"/>
  <c r="N39" i="6"/>
  <c r="M39" i="6"/>
  <c r="L39" i="6"/>
  <c r="K39" i="6"/>
  <c r="S39" i="6" s="1"/>
  <c r="J39" i="6"/>
  <c r="I39" i="6"/>
  <c r="H39" i="6"/>
  <c r="G39" i="6"/>
  <c r="F39" i="6"/>
  <c r="E39" i="6"/>
  <c r="AD39" i="6" s="1"/>
  <c r="D39" i="6"/>
  <c r="C39" i="6"/>
  <c r="AJ39" i="6" s="1"/>
  <c r="B39" i="6"/>
  <c r="A39" i="6"/>
  <c r="AI39" i="6" s="1"/>
  <c r="AM38" i="6"/>
  <c r="AG38" i="6"/>
  <c r="Y38" i="6"/>
  <c r="P38" i="6"/>
  <c r="O38" i="6"/>
  <c r="N38" i="6"/>
  <c r="AB38" i="6" s="1"/>
  <c r="M38" i="6"/>
  <c r="L38" i="6"/>
  <c r="K38" i="6"/>
  <c r="S38" i="6" s="1"/>
  <c r="J38" i="6"/>
  <c r="I38" i="6"/>
  <c r="H38" i="6"/>
  <c r="G38" i="6"/>
  <c r="F38" i="6"/>
  <c r="E38" i="6"/>
  <c r="D38" i="6"/>
  <c r="C38" i="6"/>
  <c r="AJ38" i="6" s="1"/>
  <c r="B38" i="6"/>
  <c r="X38" i="6" s="1"/>
  <c r="A38" i="6"/>
  <c r="AI38" i="6" s="1"/>
  <c r="AM37" i="6"/>
  <c r="AK37" i="6"/>
  <c r="AG37" i="6"/>
  <c r="AE37" i="6"/>
  <c r="Y37" i="6"/>
  <c r="X37" i="6"/>
  <c r="P37" i="6"/>
  <c r="O37" i="6"/>
  <c r="N37" i="6"/>
  <c r="AB37" i="6" s="1"/>
  <c r="M37" i="6"/>
  <c r="L37" i="6"/>
  <c r="AF37" i="6" s="1"/>
  <c r="K37" i="6"/>
  <c r="S37" i="6" s="1"/>
  <c r="J37" i="6"/>
  <c r="I37" i="6"/>
  <c r="H37" i="6"/>
  <c r="G37" i="6"/>
  <c r="F37" i="6"/>
  <c r="E37" i="6"/>
  <c r="AD37" i="6" s="1"/>
  <c r="D37" i="6"/>
  <c r="C37" i="6"/>
  <c r="AJ37" i="6" s="1"/>
  <c r="B37" i="6"/>
  <c r="A37" i="6"/>
  <c r="AM36" i="6"/>
  <c r="AK36" i="6"/>
  <c r="AG36" i="6"/>
  <c r="AB36" i="6"/>
  <c r="Y36" i="6"/>
  <c r="X36" i="6"/>
  <c r="P36" i="6"/>
  <c r="O36" i="6"/>
  <c r="N36" i="6"/>
  <c r="M36" i="6"/>
  <c r="L36" i="6"/>
  <c r="K36" i="6"/>
  <c r="S36" i="6" s="1"/>
  <c r="J36" i="6"/>
  <c r="I36" i="6"/>
  <c r="H36" i="6"/>
  <c r="G36" i="6"/>
  <c r="F36" i="6"/>
  <c r="E36" i="6"/>
  <c r="AD36" i="6" s="1"/>
  <c r="D36" i="6"/>
  <c r="C36" i="6"/>
  <c r="AJ36" i="6" s="1"/>
  <c r="B36" i="6"/>
  <c r="A36" i="6"/>
  <c r="AI36" i="6" s="1"/>
  <c r="AM35" i="6"/>
  <c r="AG35" i="6"/>
  <c r="Y35" i="6"/>
  <c r="P35" i="6"/>
  <c r="O35" i="6"/>
  <c r="N35" i="6"/>
  <c r="AB35" i="6" s="1"/>
  <c r="M35" i="6"/>
  <c r="L35" i="6"/>
  <c r="K35" i="6"/>
  <c r="S35" i="6" s="1"/>
  <c r="J35" i="6"/>
  <c r="I35" i="6"/>
  <c r="H35" i="6"/>
  <c r="G35" i="6"/>
  <c r="F35" i="6"/>
  <c r="E35" i="6"/>
  <c r="AF35" i="6" s="1"/>
  <c r="D35" i="6"/>
  <c r="C35" i="6"/>
  <c r="AJ35" i="6" s="1"/>
  <c r="B35" i="6"/>
  <c r="X35" i="6" s="1"/>
  <c r="A35" i="6"/>
  <c r="AM34" i="6"/>
  <c r="AK34" i="6"/>
  <c r="AG34" i="6"/>
  <c r="Y34" i="6"/>
  <c r="X34" i="6"/>
  <c r="P34" i="6"/>
  <c r="O34" i="6"/>
  <c r="N34" i="6"/>
  <c r="AB34" i="6" s="1"/>
  <c r="M34" i="6"/>
  <c r="S34" i="6" s="1"/>
  <c r="L34" i="6"/>
  <c r="AF34" i="6" s="1"/>
  <c r="K34" i="6"/>
  <c r="Q34" i="6" s="1"/>
  <c r="R34" i="6" s="1"/>
  <c r="J34" i="6"/>
  <c r="I34" i="6"/>
  <c r="H34" i="6"/>
  <c r="G34" i="6"/>
  <c r="F34" i="6"/>
  <c r="E34" i="6"/>
  <c r="AD34" i="6" s="1"/>
  <c r="D34" i="6"/>
  <c r="C34" i="6"/>
  <c r="AJ34" i="6" s="1"/>
  <c r="B34" i="6"/>
  <c r="A34" i="6"/>
  <c r="AM33" i="6"/>
  <c r="AK33" i="6"/>
  <c r="AG33" i="6"/>
  <c r="AE33" i="6"/>
  <c r="AB33" i="6"/>
  <c r="Y33" i="6"/>
  <c r="X33" i="6"/>
  <c r="P33" i="6"/>
  <c r="O33" i="6"/>
  <c r="N33" i="6"/>
  <c r="M33" i="6"/>
  <c r="S33" i="6" s="1"/>
  <c r="L33" i="6"/>
  <c r="AF33" i="6" s="1"/>
  <c r="K33" i="6"/>
  <c r="Q33" i="6" s="1"/>
  <c r="R33" i="6" s="1"/>
  <c r="J33" i="6"/>
  <c r="I33" i="6"/>
  <c r="H33" i="6"/>
  <c r="G33" i="6"/>
  <c r="F33" i="6"/>
  <c r="E33" i="6"/>
  <c r="AD33" i="6" s="1"/>
  <c r="D33" i="6"/>
  <c r="C33" i="6"/>
  <c r="AJ33" i="6" s="1"/>
  <c r="B33" i="6"/>
  <c r="A33" i="6"/>
  <c r="AM32" i="6"/>
  <c r="AG32" i="6"/>
  <c r="Y32" i="6"/>
  <c r="P32" i="6"/>
  <c r="O32" i="6"/>
  <c r="N32" i="6"/>
  <c r="AB32" i="6" s="1"/>
  <c r="M32" i="6"/>
  <c r="L32" i="6"/>
  <c r="K32" i="6"/>
  <c r="S32" i="6" s="1"/>
  <c r="J32" i="6"/>
  <c r="I32" i="6"/>
  <c r="H32" i="6"/>
  <c r="G32" i="6"/>
  <c r="F32" i="6"/>
  <c r="E32" i="6"/>
  <c r="D32" i="6"/>
  <c r="C32" i="6"/>
  <c r="AJ32" i="6" s="1"/>
  <c r="B32" i="6"/>
  <c r="X32" i="6" s="1"/>
  <c r="A32" i="6"/>
  <c r="AM31" i="6"/>
  <c r="AK31" i="6"/>
  <c r="AG31" i="6"/>
  <c r="Y31" i="6"/>
  <c r="X31" i="6"/>
  <c r="P31" i="6"/>
  <c r="O31" i="6"/>
  <c r="N31" i="6"/>
  <c r="AB31" i="6" s="1"/>
  <c r="M31" i="6"/>
  <c r="S31" i="6" s="1"/>
  <c r="L31" i="6"/>
  <c r="AF31" i="6" s="1"/>
  <c r="K31" i="6"/>
  <c r="Q31" i="6" s="1"/>
  <c r="R31" i="6" s="1"/>
  <c r="J31" i="6"/>
  <c r="I31" i="6"/>
  <c r="H31" i="6"/>
  <c r="G31" i="6"/>
  <c r="F31" i="6"/>
  <c r="E31" i="6"/>
  <c r="AD31" i="6" s="1"/>
  <c r="D31" i="6"/>
  <c r="C31" i="6"/>
  <c r="AJ31" i="6" s="1"/>
  <c r="B31" i="6"/>
  <c r="A31" i="6"/>
  <c r="AM30" i="6"/>
  <c r="AI30" i="6"/>
  <c r="AG30" i="6"/>
  <c r="AB30" i="6"/>
  <c r="P30" i="6"/>
  <c r="O30" i="6"/>
  <c r="N30" i="6"/>
  <c r="M30" i="6"/>
  <c r="L30" i="6"/>
  <c r="K30" i="6"/>
  <c r="S30" i="6" s="1"/>
  <c r="J30" i="6"/>
  <c r="I30" i="6"/>
  <c r="H30" i="6"/>
  <c r="G30" i="6"/>
  <c r="F30" i="6"/>
  <c r="E30" i="6"/>
  <c r="D30" i="6"/>
  <c r="C30" i="6"/>
  <c r="W30" i="6" s="1"/>
  <c r="B30" i="6"/>
  <c r="X30" i="6" s="1"/>
  <c r="A30" i="6"/>
  <c r="AK29" i="6"/>
  <c r="AG29" i="6"/>
  <c r="AE29" i="6"/>
  <c r="AD29" i="6"/>
  <c r="S29" i="6"/>
  <c r="P29" i="6"/>
  <c r="O29" i="6"/>
  <c r="N29" i="6"/>
  <c r="AB29" i="6" s="1"/>
  <c r="M29" i="6"/>
  <c r="L29" i="6"/>
  <c r="AF29" i="6" s="1"/>
  <c r="K29" i="6"/>
  <c r="J29" i="6"/>
  <c r="I29" i="6"/>
  <c r="H29" i="6"/>
  <c r="G29" i="6"/>
  <c r="F29" i="6"/>
  <c r="E29" i="6"/>
  <c r="D29" i="6"/>
  <c r="C29" i="6"/>
  <c r="AJ29" i="6" s="1"/>
  <c r="B29" i="6"/>
  <c r="Y29" i="6" s="1"/>
  <c r="A29" i="6"/>
  <c r="AK28" i="6"/>
  <c r="AJ28" i="6"/>
  <c r="AE28" i="6"/>
  <c r="AD28" i="6"/>
  <c r="AB28" i="6"/>
  <c r="Y28" i="6"/>
  <c r="X28" i="6"/>
  <c r="P28" i="6"/>
  <c r="O28" i="6"/>
  <c r="N28" i="6"/>
  <c r="M28" i="6"/>
  <c r="S28" i="6" s="1"/>
  <c r="L28" i="6"/>
  <c r="AF28" i="6" s="1"/>
  <c r="K28" i="6"/>
  <c r="Q28" i="6" s="1"/>
  <c r="R28" i="6" s="1"/>
  <c r="J28" i="6"/>
  <c r="I28" i="6"/>
  <c r="H28" i="6"/>
  <c r="G28" i="6"/>
  <c r="F28" i="6"/>
  <c r="E28" i="6"/>
  <c r="D28" i="6"/>
  <c r="AG28" i="6" s="1"/>
  <c r="C28" i="6"/>
  <c r="B28" i="6"/>
  <c r="AM28" i="6" s="1"/>
  <c r="A28" i="6"/>
  <c r="AI28" i="6" s="1"/>
  <c r="AI27" i="6"/>
  <c r="AF27" i="6"/>
  <c r="AB27" i="6"/>
  <c r="P27" i="6"/>
  <c r="O27" i="6"/>
  <c r="N27" i="6"/>
  <c r="M27" i="6"/>
  <c r="L27" i="6"/>
  <c r="K27" i="6"/>
  <c r="S27" i="6" s="1"/>
  <c r="J27" i="6"/>
  <c r="I27" i="6"/>
  <c r="H27" i="6"/>
  <c r="G27" i="6"/>
  <c r="F27" i="6"/>
  <c r="E27" i="6"/>
  <c r="D27" i="6"/>
  <c r="V27" i="6" s="1"/>
  <c r="C27" i="6"/>
  <c r="B27" i="6"/>
  <c r="AM27" i="6" s="1"/>
  <c r="A27" i="6"/>
  <c r="AK26" i="6"/>
  <c r="AJ26" i="6"/>
  <c r="AG26" i="6"/>
  <c r="AE26" i="6"/>
  <c r="AD26" i="6"/>
  <c r="S26" i="6"/>
  <c r="P26" i="6"/>
  <c r="O26" i="6"/>
  <c r="N26" i="6"/>
  <c r="AB26" i="6" s="1"/>
  <c r="M26" i="6"/>
  <c r="L26" i="6"/>
  <c r="AF26" i="6" s="1"/>
  <c r="K26" i="6"/>
  <c r="J26" i="6"/>
  <c r="I26" i="6"/>
  <c r="H26" i="6"/>
  <c r="G26" i="6"/>
  <c r="F26" i="6"/>
  <c r="E26" i="6"/>
  <c r="D26" i="6"/>
  <c r="C26" i="6"/>
  <c r="B26" i="6"/>
  <c r="Y26" i="6" s="1"/>
  <c r="A26" i="6"/>
  <c r="AK25" i="6"/>
  <c r="AJ25" i="6"/>
  <c r="AE25" i="6"/>
  <c r="AD25" i="6"/>
  <c r="AB25" i="6"/>
  <c r="Y25" i="6"/>
  <c r="X25" i="6"/>
  <c r="P25" i="6"/>
  <c r="O25" i="6"/>
  <c r="N25" i="6"/>
  <c r="M25" i="6"/>
  <c r="S25" i="6" s="1"/>
  <c r="L25" i="6"/>
  <c r="AF25" i="6" s="1"/>
  <c r="K25" i="6"/>
  <c r="Q25" i="6" s="1"/>
  <c r="R25" i="6" s="1"/>
  <c r="J25" i="6"/>
  <c r="I25" i="6"/>
  <c r="H25" i="6"/>
  <c r="G25" i="6"/>
  <c r="F25" i="6"/>
  <c r="E25" i="6"/>
  <c r="D25" i="6"/>
  <c r="AG25" i="6" s="1"/>
  <c r="C25" i="6"/>
  <c r="B25" i="6"/>
  <c r="AM25" i="6" s="1"/>
  <c r="A25" i="6"/>
  <c r="AI25" i="6" s="1"/>
  <c r="AI24" i="6"/>
  <c r="AF24" i="6"/>
  <c r="AB24" i="6"/>
  <c r="P24" i="6"/>
  <c r="O24" i="6"/>
  <c r="N24" i="6"/>
  <c r="M24" i="6"/>
  <c r="L24" i="6"/>
  <c r="K24" i="6"/>
  <c r="S24" i="6" s="1"/>
  <c r="J24" i="6"/>
  <c r="I24" i="6"/>
  <c r="H24" i="6"/>
  <c r="G24" i="6"/>
  <c r="F24" i="6"/>
  <c r="E24" i="6"/>
  <c r="D24" i="6"/>
  <c r="V24" i="6" s="1"/>
  <c r="C24" i="6"/>
  <c r="B24" i="6"/>
  <c r="AM24" i="6" s="1"/>
  <c r="A24" i="6"/>
  <c r="AK23" i="6"/>
  <c r="AJ23" i="6"/>
  <c r="AG23" i="6"/>
  <c r="AE23" i="6"/>
  <c r="AD23" i="6"/>
  <c r="S23" i="6"/>
  <c r="P23" i="6"/>
  <c r="O23" i="6"/>
  <c r="N23" i="6"/>
  <c r="AB23" i="6" s="1"/>
  <c r="M23" i="6"/>
  <c r="L23" i="6"/>
  <c r="AF23" i="6" s="1"/>
  <c r="K23" i="6"/>
  <c r="J23" i="6"/>
  <c r="I23" i="6"/>
  <c r="H23" i="6"/>
  <c r="G23" i="6"/>
  <c r="F23" i="6"/>
  <c r="E23" i="6"/>
  <c r="D23" i="6"/>
  <c r="C23" i="6"/>
  <c r="B23" i="6"/>
  <c r="Y23" i="6" s="1"/>
  <c r="A23" i="6"/>
  <c r="AK22" i="6"/>
  <c r="AJ22" i="6"/>
  <c r="AE22" i="6"/>
  <c r="AD22" i="6"/>
  <c r="AB22" i="6"/>
  <c r="Y22" i="6"/>
  <c r="X22" i="6"/>
  <c r="P22" i="6"/>
  <c r="O22" i="6"/>
  <c r="N22" i="6"/>
  <c r="M22" i="6"/>
  <c r="S22" i="6" s="1"/>
  <c r="L22" i="6"/>
  <c r="AF22" i="6" s="1"/>
  <c r="K22" i="6"/>
  <c r="Q22" i="6" s="1"/>
  <c r="R22" i="6" s="1"/>
  <c r="J22" i="6"/>
  <c r="I22" i="6"/>
  <c r="H22" i="6"/>
  <c r="G22" i="6"/>
  <c r="F22" i="6"/>
  <c r="E22" i="6"/>
  <c r="D22" i="6"/>
  <c r="AG22" i="6" s="1"/>
  <c r="C22" i="6"/>
  <c r="B22" i="6"/>
  <c r="AM22" i="6" s="1"/>
  <c r="A22" i="6"/>
  <c r="AI22" i="6" s="1"/>
  <c r="AI21" i="6"/>
  <c r="AF21" i="6"/>
  <c r="AB21" i="6"/>
  <c r="P21" i="6"/>
  <c r="O21" i="6"/>
  <c r="N21" i="6"/>
  <c r="M21" i="6"/>
  <c r="L21" i="6"/>
  <c r="K21" i="6"/>
  <c r="S21" i="6" s="1"/>
  <c r="J21" i="6"/>
  <c r="I21" i="6"/>
  <c r="H21" i="6"/>
  <c r="G21" i="6"/>
  <c r="F21" i="6"/>
  <c r="E21" i="6"/>
  <c r="D21" i="6"/>
  <c r="V21" i="6" s="1"/>
  <c r="C21" i="6"/>
  <c r="B21" i="6"/>
  <c r="AM21" i="6" s="1"/>
  <c r="A21" i="6"/>
  <c r="AK20" i="6"/>
  <c r="AJ20" i="6"/>
  <c r="AG20" i="6"/>
  <c r="AE20" i="6"/>
  <c r="AD20" i="6"/>
  <c r="S20" i="6"/>
  <c r="P20" i="6"/>
  <c r="O20" i="6"/>
  <c r="N20" i="6"/>
  <c r="AB20" i="6" s="1"/>
  <c r="M20" i="6"/>
  <c r="L20" i="6"/>
  <c r="AF20" i="6" s="1"/>
  <c r="K20" i="6"/>
  <c r="J20" i="6"/>
  <c r="I20" i="6"/>
  <c r="H20" i="6"/>
  <c r="G20" i="6"/>
  <c r="F20" i="6"/>
  <c r="E20" i="6"/>
  <c r="D20" i="6"/>
  <c r="C20" i="6"/>
  <c r="B20" i="6"/>
  <c r="Y20" i="6" s="1"/>
  <c r="A20" i="6"/>
  <c r="AK19" i="6"/>
  <c r="AJ19" i="6"/>
  <c r="Y19" i="6"/>
  <c r="X19" i="6"/>
  <c r="P19" i="6"/>
  <c r="O19" i="6"/>
  <c r="N19" i="6"/>
  <c r="AB19" i="6" s="1"/>
  <c r="M19" i="6"/>
  <c r="S19" i="6" s="1"/>
  <c r="L19" i="6"/>
  <c r="AF19" i="6" s="1"/>
  <c r="K19" i="6"/>
  <c r="Q19" i="6" s="1"/>
  <c r="R19" i="6" s="1"/>
  <c r="J19" i="6"/>
  <c r="I19" i="6"/>
  <c r="H19" i="6"/>
  <c r="G19" i="6"/>
  <c r="F19" i="6"/>
  <c r="E19" i="6"/>
  <c r="AE19" i="6" s="1"/>
  <c r="D19" i="6"/>
  <c r="AG19" i="6" s="1"/>
  <c r="C19" i="6"/>
  <c r="B19" i="6"/>
  <c r="AM19" i="6" s="1"/>
  <c r="A19" i="6"/>
  <c r="V19" i="6" s="1"/>
  <c r="AM18" i="6"/>
  <c r="AI18" i="6"/>
  <c r="AG18" i="6"/>
  <c r="X18" i="6"/>
  <c r="P18" i="6"/>
  <c r="O18" i="6"/>
  <c r="N18" i="6"/>
  <c r="AB18" i="6" s="1"/>
  <c r="M18" i="6"/>
  <c r="L18" i="6"/>
  <c r="K18" i="6"/>
  <c r="S18" i="6" s="1"/>
  <c r="J18" i="6"/>
  <c r="I18" i="6"/>
  <c r="H18" i="6"/>
  <c r="G18" i="6"/>
  <c r="F18" i="6"/>
  <c r="E18" i="6"/>
  <c r="AE18" i="6" s="1"/>
  <c r="D18" i="6"/>
  <c r="C18" i="6"/>
  <c r="AK18" i="6" s="1"/>
  <c r="B18" i="6"/>
  <c r="Y18" i="6" s="1"/>
  <c r="A18" i="6"/>
  <c r="AM17" i="6"/>
  <c r="AG17" i="6"/>
  <c r="AF17" i="6"/>
  <c r="AE17" i="6"/>
  <c r="AD17" i="6"/>
  <c r="Y17" i="6"/>
  <c r="X17" i="6"/>
  <c r="P17" i="6"/>
  <c r="O17" i="6"/>
  <c r="N17" i="6"/>
  <c r="AB17" i="6" s="1"/>
  <c r="M17" i="6"/>
  <c r="S17" i="6" s="1"/>
  <c r="L17" i="6"/>
  <c r="K17" i="6"/>
  <c r="Q17" i="6" s="1"/>
  <c r="R17" i="6" s="1"/>
  <c r="J17" i="6"/>
  <c r="I17" i="6"/>
  <c r="H17" i="6"/>
  <c r="G17" i="6"/>
  <c r="F17" i="6"/>
  <c r="E17" i="6"/>
  <c r="D17" i="6"/>
  <c r="C17" i="6"/>
  <c r="AK17" i="6" s="1"/>
  <c r="B17" i="6"/>
  <c r="A17" i="6"/>
  <c r="AK16" i="6"/>
  <c r="AJ16" i="6"/>
  <c r="Y16" i="6"/>
  <c r="X16" i="6"/>
  <c r="P16" i="6"/>
  <c r="O16" i="6"/>
  <c r="N16" i="6"/>
  <c r="AB16" i="6" s="1"/>
  <c r="M16" i="6"/>
  <c r="S16" i="6" s="1"/>
  <c r="L16" i="6"/>
  <c r="AF16" i="6" s="1"/>
  <c r="K16" i="6"/>
  <c r="Q16" i="6" s="1"/>
  <c r="R16" i="6" s="1"/>
  <c r="J16" i="6"/>
  <c r="I16" i="6"/>
  <c r="H16" i="6"/>
  <c r="G16" i="6"/>
  <c r="F16" i="6"/>
  <c r="E16" i="6"/>
  <c r="AE16" i="6" s="1"/>
  <c r="D16" i="6"/>
  <c r="AG16" i="6" s="1"/>
  <c r="C16" i="6"/>
  <c r="B16" i="6"/>
  <c r="AM16" i="6" s="1"/>
  <c r="A16" i="6"/>
  <c r="V16" i="6" s="1"/>
  <c r="AM15" i="6"/>
  <c r="AI15" i="6"/>
  <c r="AG15" i="6"/>
  <c r="X15" i="6"/>
  <c r="P15" i="6"/>
  <c r="O15" i="6"/>
  <c r="N15" i="6"/>
  <c r="AB15" i="6" s="1"/>
  <c r="M15" i="6"/>
  <c r="L15" i="6"/>
  <c r="K15" i="6"/>
  <c r="S15" i="6" s="1"/>
  <c r="J15" i="6"/>
  <c r="I15" i="6"/>
  <c r="H15" i="6"/>
  <c r="G15" i="6"/>
  <c r="F15" i="6"/>
  <c r="E15" i="6"/>
  <c r="AE15" i="6" s="1"/>
  <c r="D15" i="6"/>
  <c r="C15" i="6"/>
  <c r="AK15" i="6" s="1"/>
  <c r="B15" i="6"/>
  <c r="Y15" i="6" s="1"/>
  <c r="A15" i="6"/>
  <c r="AM14" i="6"/>
  <c r="AG14" i="6"/>
  <c r="AF14" i="6"/>
  <c r="AE14" i="6"/>
  <c r="AD14" i="6"/>
  <c r="Y14" i="6"/>
  <c r="X14" i="6"/>
  <c r="P14" i="6"/>
  <c r="O14" i="6"/>
  <c r="N14" i="6"/>
  <c r="AB14" i="6" s="1"/>
  <c r="M14" i="6"/>
  <c r="S14" i="6" s="1"/>
  <c r="L14" i="6"/>
  <c r="K14" i="6"/>
  <c r="Q14" i="6" s="1"/>
  <c r="R14" i="6" s="1"/>
  <c r="J14" i="6"/>
  <c r="I14" i="6"/>
  <c r="H14" i="6"/>
  <c r="G14" i="6"/>
  <c r="F14" i="6"/>
  <c r="E14" i="6"/>
  <c r="D14" i="6"/>
  <c r="C14" i="6"/>
  <c r="AK14" i="6" s="1"/>
  <c r="B14" i="6"/>
  <c r="A14" i="6"/>
  <c r="AK13" i="6"/>
  <c r="AJ13" i="6"/>
  <c r="Y13" i="6"/>
  <c r="X13" i="6"/>
  <c r="P13" i="6"/>
  <c r="O13" i="6"/>
  <c r="N13" i="6"/>
  <c r="AB13" i="6" s="1"/>
  <c r="M13" i="6"/>
  <c r="L13" i="6"/>
  <c r="AF13" i="6" s="1"/>
  <c r="K13" i="6"/>
  <c r="S13" i="6" s="1"/>
  <c r="J13" i="6"/>
  <c r="I13" i="6"/>
  <c r="H13" i="6"/>
  <c r="G13" i="6"/>
  <c r="F13" i="6"/>
  <c r="E13" i="6"/>
  <c r="AE13" i="6" s="1"/>
  <c r="D13" i="6"/>
  <c r="AG13" i="6" s="1"/>
  <c r="C13" i="6"/>
  <c r="B13" i="6"/>
  <c r="AM13" i="6" s="1"/>
  <c r="A13" i="6"/>
  <c r="V13" i="6" s="1"/>
  <c r="AH13" i="6" s="1"/>
  <c r="AM12" i="6"/>
  <c r="AI12" i="6"/>
  <c r="AG12" i="6"/>
  <c r="X12" i="6"/>
  <c r="P12" i="6"/>
  <c r="O12" i="6"/>
  <c r="N12" i="6"/>
  <c r="AB12" i="6" s="1"/>
  <c r="M12" i="6"/>
  <c r="L12" i="6"/>
  <c r="K12" i="6"/>
  <c r="S12" i="6" s="1"/>
  <c r="J12" i="6"/>
  <c r="I12" i="6"/>
  <c r="H12" i="6"/>
  <c r="G12" i="6"/>
  <c r="F12" i="6"/>
  <c r="E12" i="6"/>
  <c r="AE12" i="6" s="1"/>
  <c r="D12" i="6"/>
  <c r="C12" i="6"/>
  <c r="AK12" i="6" s="1"/>
  <c r="B12" i="6"/>
  <c r="Y12" i="6" s="1"/>
  <c r="A12" i="6"/>
  <c r="AM11" i="6"/>
  <c r="AG11" i="6"/>
  <c r="AF11" i="6"/>
  <c r="AE11" i="6"/>
  <c r="AD11" i="6"/>
  <c r="Y11" i="6"/>
  <c r="X11" i="6"/>
  <c r="P11" i="6"/>
  <c r="O11" i="6"/>
  <c r="N11" i="6"/>
  <c r="AB11" i="6" s="1"/>
  <c r="M11" i="6"/>
  <c r="S11" i="6" s="1"/>
  <c r="L11" i="6"/>
  <c r="K11" i="6"/>
  <c r="Q11" i="6" s="1"/>
  <c r="R11" i="6" s="1"/>
  <c r="J11" i="6"/>
  <c r="I11" i="6"/>
  <c r="H11" i="6"/>
  <c r="G11" i="6"/>
  <c r="F11" i="6"/>
  <c r="E11" i="6"/>
  <c r="D11" i="6"/>
  <c r="C11" i="6"/>
  <c r="AK11" i="6" s="1"/>
  <c r="B11" i="6"/>
  <c r="A11" i="6"/>
  <c r="AK10" i="6"/>
  <c r="AJ10" i="6"/>
  <c r="Y10" i="6"/>
  <c r="X10" i="6"/>
  <c r="P10" i="6"/>
  <c r="O10" i="6"/>
  <c r="N10" i="6"/>
  <c r="AB10" i="6" s="1"/>
  <c r="M10" i="6"/>
  <c r="L10" i="6"/>
  <c r="AF10" i="6" s="1"/>
  <c r="K10" i="6"/>
  <c r="S10" i="6" s="1"/>
  <c r="J10" i="6"/>
  <c r="I10" i="6"/>
  <c r="H10" i="6"/>
  <c r="G10" i="6"/>
  <c r="F10" i="6"/>
  <c r="E10" i="6"/>
  <c r="AE10" i="6" s="1"/>
  <c r="D10" i="6"/>
  <c r="AG10" i="6" s="1"/>
  <c r="C10" i="6"/>
  <c r="B10" i="6"/>
  <c r="AM10" i="6" s="1"/>
  <c r="A10" i="6"/>
  <c r="V10" i="6" s="1"/>
  <c r="AH10" i="6" s="1"/>
  <c r="AM9" i="6"/>
  <c r="AI9" i="6"/>
  <c r="AG9" i="6"/>
  <c r="X9" i="6"/>
  <c r="P9" i="6"/>
  <c r="O9" i="6"/>
  <c r="N9" i="6"/>
  <c r="AB9" i="6" s="1"/>
  <c r="M9" i="6"/>
  <c r="L9" i="6"/>
  <c r="K9" i="6"/>
  <c r="S9" i="6" s="1"/>
  <c r="J9" i="6"/>
  <c r="I9" i="6"/>
  <c r="H9" i="6"/>
  <c r="G9" i="6"/>
  <c r="F9" i="6"/>
  <c r="E9" i="6"/>
  <c r="AE9" i="6" s="1"/>
  <c r="D9" i="6"/>
  <c r="C9" i="6"/>
  <c r="AK9" i="6" s="1"/>
  <c r="B9" i="6"/>
  <c r="Y9" i="6" s="1"/>
  <c r="A9" i="6"/>
  <c r="AM8" i="6"/>
  <c r="AG8" i="6"/>
  <c r="AF8" i="6"/>
  <c r="AE8" i="6"/>
  <c r="AD8" i="6"/>
  <c r="Y8" i="6"/>
  <c r="X8" i="6"/>
  <c r="P8" i="6"/>
  <c r="O8" i="6"/>
  <c r="N8" i="6"/>
  <c r="AB8" i="6" s="1"/>
  <c r="M8" i="6"/>
  <c r="S8" i="6" s="1"/>
  <c r="L8" i="6"/>
  <c r="K8" i="6"/>
  <c r="Q8" i="6" s="1"/>
  <c r="R8" i="6" s="1"/>
  <c r="J8" i="6"/>
  <c r="I8" i="6"/>
  <c r="H8" i="6"/>
  <c r="G8" i="6"/>
  <c r="F8" i="6"/>
  <c r="E8" i="6"/>
  <c r="D8" i="6"/>
  <c r="C8" i="6"/>
  <c r="AK8" i="6" s="1"/>
  <c r="B8" i="6"/>
  <c r="A8" i="6"/>
  <c r="AK7" i="6"/>
  <c r="AJ7" i="6"/>
  <c r="Y7" i="6"/>
  <c r="X7" i="6"/>
  <c r="P7" i="6"/>
  <c r="O7" i="6"/>
  <c r="N7" i="6"/>
  <c r="AB7" i="6" s="1"/>
  <c r="M7" i="6"/>
  <c r="L7" i="6"/>
  <c r="AF7" i="6" s="1"/>
  <c r="K7" i="6"/>
  <c r="S7" i="6" s="1"/>
  <c r="J7" i="6"/>
  <c r="I7" i="6"/>
  <c r="H7" i="6"/>
  <c r="G7" i="6"/>
  <c r="F7" i="6"/>
  <c r="E7" i="6"/>
  <c r="AE7" i="6" s="1"/>
  <c r="D7" i="6"/>
  <c r="AG7" i="6" s="1"/>
  <c r="C7" i="6"/>
  <c r="B7" i="6"/>
  <c r="AM7" i="6" s="1"/>
  <c r="A7" i="6"/>
  <c r="V7" i="6" s="1"/>
  <c r="AH7" i="6" s="1"/>
  <c r="AM6" i="6"/>
  <c r="AI6" i="6"/>
  <c r="AG6" i="6"/>
  <c r="X6" i="6"/>
  <c r="P6" i="6"/>
  <c r="O6" i="6"/>
  <c r="N6" i="6"/>
  <c r="AB6" i="6" s="1"/>
  <c r="M6" i="6"/>
  <c r="L6" i="6"/>
  <c r="K6" i="6"/>
  <c r="S6" i="6" s="1"/>
  <c r="J6" i="6"/>
  <c r="I6" i="6"/>
  <c r="H6" i="6"/>
  <c r="G6" i="6"/>
  <c r="F6" i="6"/>
  <c r="E6" i="6"/>
  <c r="AE6" i="6" s="1"/>
  <c r="D6" i="6"/>
  <c r="C6" i="6"/>
  <c r="AK6" i="6" s="1"/>
  <c r="B6" i="6"/>
  <c r="Y6" i="6" s="1"/>
  <c r="A6" i="6"/>
  <c r="AM5" i="6"/>
  <c r="AG5" i="6"/>
  <c r="AF5" i="6"/>
  <c r="AE5" i="6"/>
  <c r="AD5" i="6"/>
  <c r="Y5" i="6"/>
  <c r="X5" i="6"/>
  <c r="P5" i="6"/>
  <c r="O5" i="6"/>
  <c r="N5" i="6"/>
  <c r="AB5" i="6" s="1"/>
  <c r="M5" i="6"/>
  <c r="S5" i="6" s="1"/>
  <c r="L5" i="6"/>
  <c r="K5" i="6"/>
  <c r="Q5" i="6" s="1"/>
  <c r="R5" i="6" s="1"/>
  <c r="J5" i="6"/>
  <c r="I5" i="6"/>
  <c r="H5" i="6"/>
  <c r="G5" i="6"/>
  <c r="F5" i="6"/>
  <c r="E5" i="6"/>
  <c r="D5" i="6"/>
  <c r="C5" i="6"/>
  <c r="AK5" i="6" s="1"/>
  <c r="B5" i="6"/>
  <c r="A5" i="6"/>
  <c r="AK4" i="6"/>
  <c r="AJ4" i="6"/>
  <c r="Y4" i="6"/>
  <c r="X4" i="6"/>
  <c r="P4" i="6"/>
  <c r="O4" i="6"/>
  <c r="N4" i="6"/>
  <c r="AB4" i="6" s="1"/>
  <c r="M4" i="6"/>
  <c r="L4" i="6"/>
  <c r="AF4" i="6" s="1"/>
  <c r="K4" i="6"/>
  <c r="S4" i="6" s="1"/>
  <c r="J4" i="6"/>
  <c r="I4" i="6"/>
  <c r="H4" i="6"/>
  <c r="G4" i="6"/>
  <c r="F4" i="6"/>
  <c r="E4" i="6"/>
  <c r="V4" i="6" s="1"/>
  <c r="D4" i="6"/>
  <c r="AG4" i="6" s="1"/>
  <c r="C4" i="6"/>
  <c r="B4" i="6"/>
  <c r="AM4" i="6" s="1"/>
  <c r="A4" i="6"/>
  <c r="AI4" i="6" s="1"/>
  <c r="AM3" i="6"/>
  <c r="AI3" i="6"/>
  <c r="AG3" i="6"/>
  <c r="X3" i="6"/>
  <c r="P3" i="6"/>
  <c r="O3" i="6"/>
  <c r="N3" i="6"/>
  <c r="AB3" i="6" s="1"/>
  <c r="M3" i="6"/>
  <c r="L3" i="6"/>
  <c r="K3" i="6"/>
  <c r="S3" i="6" s="1"/>
  <c r="J3" i="6"/>
  <c r="I3" i="6"/>
  <c r="H3" i="6"/>
  <c r="G3" i="6"/>
  <c r="F3" i="6"/>
  <c r="E3" i="6"/>
  <c r="AE3" i="6" s="1"/>
  <c r="D3" i="6"/>
  <c r="C3" i="6"/>
  <c r="AK3" i="6" s="1"/>
  <c r="B3" i="6"/>
  <c r="Y3" i="6" s="1"/>
  <c r="A3" i="6"/>
  <c r="AM2" i="6"/>
  <c r="AG2" i="6"/>
  <c r="AF2" i="6"/>
  <c r="AE2" i="6"/>
  <c r="AD2" i="6"/>
  <c r="Y2" i="6"/>
  <c r="X2" i="6"/>
  <c r="P2" i="6"/>
  <c r="O2" i="6"/>
  <c r="N2" i="6"/>
  <c r="M2" i="6"/>
  <c r="S2" i="6" s="1"/>
  <c r="L2" i="6"/>
  <c r="K2" i="6"/>
  <c r="J2" i="6"/>
  <c r="I2" i="6"/>
  <c r="H2" i="6"/>
  <c r="G2" i="6"/>
  <c r="F2" i="6"/>
  <c r="E2" i="6"/>
  <c r="D2" i="6"/>
  <c r="B10" i="11" s="1"/>
  <c r="C2" i="6"/>
  <c r="B9" i="11" s="1"/>
  <c r="B2" i="6"/>
  <c r="A2" i="6"/>
  <c r="C16" i="4"/>
  <c r="B16" i="4"/>
  <c r="B15" i="4"/>
  <c r="C15" i="4" s="1"/>
  <c r="B12" i="4"/>
  <c r="C12" i="4" s="1"/>
  <c r="B11" i="4"/>
  <c r="C11" i="4" s="1"/>
  <c r="C7" i="4"/>
  <c r="B7" i="4"/>
  <c r="B6" i="4"/>
  <c r="C6" i="4" s="1"/>
  <c r="B5" i="4"/>
  <c r="C5" i="4" s="1"/>
  <c r="M9" i="3"/>
  <c r="M8" i="3"/>
  <c r="M7" i="3"/>
  <c r="M6" i="3"/>
  <c r="M5" i="3"/>
  <c r="AH4" i="6" l="1"/>
  <c r="AA16" i="6"/>
  <c r="T16" i="6"/>
  <c r="Z16" i="6"/>
  <c r="Z28" i="6"/>
  <c r="T28" i="6"/>
  <c r="AA28" i="6"/>
  <c r="AA34" i="6"/>
  <c r="T34" i="6"/>
  <c r="Z34" i="6"/>
  <c r="AA5" i="6"/>
  <c r="T5" i="6"/>
  <c r="Z5" i="6"/>
  <c r="AA11" i="6"/>
  <c r="T11" i="6"/>
  <c r="Z11" i="6"/>
  <c r="AH16" i="6"/>
  <c r="AA17" i="6"/>
  <c r="T17" i="6"/>
  <c r="Z17" i="6"/>
  <c r="Z25" i="6"/>
  <c r="T25" i="6"/>
  <c r="AA25" i="6"/>
  <c r="Z33" i="6"/>
  <c r="T33" i="6"/>
  <c r="AA33" i="6"/>
  <c r="AA19" i="6"/>
  <c r="T19" i="6"/>
  <c r="Z19" i="6"/>
  <c r="AA41" i="6"/>
  <c r="Z41" i="6"/>
  <c r="Z22" i="6"/>
  <c r="T22" i="6"/>
  <c r="AA22" i="6"/>
  <c r="AA31" i="6"/>
  <c r="T31" i="6"/>
  <c r="Z31" i="6"/>
  <c r="AA8" i="6"/>
  <c r="T8" i="6"/>
  <c r="Z8" i="6"/>
  <c r="AA14" i="6"/>
  <c r="T14" i="6"/>
  <c r="Z14" i="6"/>
  <c r="AH19" i="6"/>
  <c r="W3" i="6"/>
  <c r="AD3" i="6"/>
  <c r="W4" i="6"/>
  <c r="AD4" i="6"/>
  <c r="W6" i="6"/>
  <c r="AD6" i="6"/>
  <c r="W7" i="6"/>
  <c r="AD7" i="6"/>
  <c r="W9" i="6"/>
  <c r="AD9" i="6"/>
  <c r="W10" i="6"/>
  <c r="AD10" i="6"/>
  <c r="W12" i="6"/>
  <c r="AD12" i="6"/>
  <c r="W13" i="6"/>
  <c r="AD13" i="6"/>
  <c r="W15" i="6"/>
  <c r="AD15" i="6"/>
  <c r="W16" i="6"/>
  <c r="AD16" i="6"/>
  <c r="W18" i="6"/>
  <c r="AD18" i="6"/>
  <c r="W19" i="6"/>
  <c r="AD19" i="6"/>
  <c r="Q20" i="6"/>
  <c r="R20" i="6" s="1"/>
  <c r="AJ21" i="6"/>
  <c r="AK21" i="6"/>
  <c r="W21" i="6"/>
  <c r="AG21" i="6"/>
  <c r="Q23" i="6"/>
  <c r="R23" i="6" s="1"/>
  <c r="AJ24" i="6"/>
  <c r="AK24" i="6"/>
  <c r="W24" i="6"/>
  <c r="AG24" i="6"/>
  <c r="AH24" i="6" s="1"/>
  <c r="Q26" i="6"/>
  <c r="R26" i="6" s="1"/>
  <c r="AJ27" i="6"/>
  <c r="AK27" i="6"/>
  <c r="W27" i="6"/>
  <c r="AG27" i="6"/>
  <c r="AH27" i="6" s="1"/>
  <c r="Q29" i="6"/>
  <c r="R29" i="6" s="1"/>
  <c r="AE39" i="6"/>
  <c r="S41" i="6"/>
  <c r="T41" i="6" s="1"/>
  <c r="AF42" i="6"/>
  <c r="AC86" i="6"/>
  <c r="U86" i="6"/>
  <c r="AL86" i="6" s="1"/>
  <c r="V98" i="6"/>
  <c r="V101" i="6"/>
  <c r="AH101" i="6" s="1"/>
  <c r="W102" i="6"/>
  <c r="Q3" i="6"/>
  <c r="R3" i="6" s="1"/>
  <c r="AF3" i="6"/>
  <c r="B10" i="4" s="1"/>
  <c r="C10" i="4" s="1"/>
  <c r="Q4" i="6"/>
  <c r="R4" i="6" s="1"/>
  <c r="AE4" i="6"/>
  <c r="Q6" i="6"/>
  <c r="R6" i="6" s="1"/>
  <c r="AF6" i="6"/>
  <c r="Q7" i="6"/>
  <c r="R7" i="6" s="1"/>
  <c r="Q9" i="6"/>
  <c r="R9" i="6" s="1"/>
  <c r="AF9" i="6"/>
  <c r="Q10" i="6"/>
  <c r="R10" i="6" s="1"/>
  <c r="Q12" i="6"/>
  <c r="R12" i="6" s="1"/>
  <c r="AF12" i="6"/>
  <c r="Q13" i="6"/>
  <c r="R13" i="6" s="1"/>
  <c r="Q15" i="6"/>
  <c r="R15" i="6" s="1"/>
  <c r="AF15" i="6"/>
  <c r="Q18" i="6"/>
  <c r="R18" i="6" s="1"/>
  <c r="AF18" i="6"/>
  <c r="V22" i="6"/>
  <c r="V25" i="6"/>
  <c r="V28" i="6"/>
  <c r="AD30" i="6"/>
  <c r="AF30" i="6"/>
  <c r="AE30" i="6"/>
  <c r="Q30" i="6"/>
  <c r="R30" i="6" s="1"/>
  <c r="V31" i="6"/>
  <c r="AI31" i="6"/>
  <c r="W31" i="6"/>
  <c r="V34" i="6"/>
  <c r="AI34" i="6"/>
  <c r="W34" i="6"/>
  <c r="W37" i="6"/>
  <c r="AD38" i="6"/>
  <c r="AE38" i="6"/>
  <c r="Q38" i="6"/>
  <c r="R38" i="6" s="1"/>
  <c r="Q39" i="6"/>
  <c r="R39" i="6" s="1"/>
  <c r="AE40" i="6"/>
  <c r="Q43" i="6"/>
  <c r="R43" i="6" s="1"/>
  <c r="W46" i="6"/>
  <c r="W58" i="6"/>
  <c r="W64" i="6"/>
  <c r="Z69" i="6"/>
  <c r="T69" i="6"/>
  <c r="AA69" i="6"/>
  <c r="W70" i="6"/>
  <c r="Z75" i="6"/>
  <c r="T75" i="6"/>
  <c r="AA75" i="6"/>
  <c r="W76" i="6"/>
  <c r="AC89" i="6"/>
  <c r="U89" i="6"/>
  <c r="AL89" i="6" s="1"/>
  <c r="AA91" i="6"/>
  <c r="T91" i="6"/>
  <c r="Z91" i="6"/>
  <c r="V20" i="6"/>
  <c r="AI20" i="6"/>
  <c r="W20" i="6"/>
  <c r="AD21" i="6"/>
  <c r="AE21" i="6"/>
  <c r="Q21" i="6"/>
  <c r="R21" i="6" s="1"/>
  <c r="W22" i="6"/>
  <c r="V23" i="6"/>
  <c r="AI23" i="6"/>
  <c r="W23" i="6"/>
  <c r="AD24" i="6"/>
  <c r="AE24" i="6"/>
  <c r="Q24" i="6"/>
  <c r="R24" i="6" s="1"/>
  <c r="W25" i="6"/>
  <c r="V26" i="6"/>
  <c r="AI26" i="6"/>
  <c r="W26" i="6"/>
  <c r="AD27" i="6"/>
  <c r="AE27" i="6"/>
  <c r="Q27" i="6"/>
  <c r="R27" i="6" s="1"/>
  <c r="W28" i="6"/>
  <c r="V29" i="6"/>
  <c r="AI29" i="6"/>
  <c r="W29" i="6"/>
  <c r="AM29" i="6"/>
  <c r="AI33" i="6"/>
  <c r="W33" i="6"/>
  <c r="V33" i="6"/>
  <c r="AH33" i="6" s="1"/>
  <c r="AE36" i="6"/>
  <c r="AF39" i="6"/>
  <c r="AF40" i="6"/>
  <c r="AE45" i="6"/>
  <c r="AA50" i="6"/>
  <c r="T50" i="6"/>
  <c r="W52" i="6"/>
  <c r="AA56" i="6"/>
  <c r="T56" i="6"/>
  <c r="AA59" i="6"/>
  <c r="T59" i="6"/>
  <c r="Z59" i="6"/>
  <c r="AA65" i="6"/>
  <c r="T65" i="6"/>
  <c r="Z65" i="6"/>
  <c r="AA67" i="6"/>
  <c r="T67" i="6"/>
  <c r="Z67" i="6"/>
  <c r="AA71" i="6"/>
  <c r="T71" i="6"/>
  <c r="Z71" i="6"/>
  <c r="AA73" i="6"/>
  <c r="T73" i="6"/>
  <c r="Z73" i="6"/>
  <c r="AA77" i="6"/>
  <c r="T77" i="6"/>
  <c r="Z77" i="6"/>
  <c r="AA79" i="6"/>
  <c r="T79" i="6"/>
  <c r="Z79" i="6"/>
  <c r="AA88" i="6"/>
  <c r="Z88" i="6"/>
  <c r="T88" i="6"/>
  <c r="V95" i="6"/>
  <c r="AA97" i="6"/>
  <c r="Z97" i="6"/>
  <c r="T97" i="6"/>
  <c r="B8" i="11"/>
  <c r="B4" i="11"/>
  <c r="W300" i="6"/>
  <c r="V294" i="6"/>
  <c r="V300" i="6"/>
  <c r="W295" i="6"/>
  <c r="W277" i="6"/>
  <c r="W252" i="6"/>
  <c r="W249" i="6"/>
  <c r="V245" i="6"/>
  <c r="W255" i="6"/>
  <c r="W250" i="6"/>
  <c r="V213" i="6"/>
  <c r="AH213" i="6" s="1"/>
  <c r="W222" i="6"/>
  <c r="V201" i="6"/>
  <c r="W195" i="6"/>
  <c r="W180" i="6"/>
  <c r="W175" i="6"/>
  <c r="W169" i="6"/>
  <c r="V159" i="6"/>
  <c r="AH159" i="6" s="1"/>
  <c r="W173" i="6"/>
  <c r="W172" i="6"/>
  <c r="V165" i="6"/>
  <c r="V158" i="6"/>
  <c r="AH158" i="6" s="1"/>
  <c r="W143" i="6"/>
  <c r="W137" i="6"/>
  <c r="W132" i="6"/>
  <c r="V127" i="6"/>
  <c r="AH127" i="6" s="1"/>
  <c r="W145" i="6"/>
  <c r="W93" i="6"/>
  <c r="V92" i="6"/>
  <c r="AH92" i="6" s="1"/>
  <c r="V93" i="6"/>
  <c r="AH93" i="6" s="1"/>
  <c r="W82" i="6"/>
  <c r="W99" i="6"/>
  <c r="AI2" i="6"/>
  <c r="W2" i="6"/>
  <c r="AI5" i="6"/>
  <c r="W5" i="6"/>
  <c r="AI8" i="6"/>
  <c r="W8" i="6"/>
  <c r="AI11" i="6"/>
  <c r="W11" i="6"/>
  <c r="AI14" i="6"/>
  <c r="W14" i="6"/>
  <c r="AI17" i="6"/>
  <c r="W17" i="6"/>
  <c r="AM20" i="6"/>
  <c r="AM23" i="6"/>
  <c r="AM26" i="6"/>
  <c r="V30" i="6"/>
  <c r="AD32" i="6"/>
  <c r="AE32" i="6"/>
  <c r="Q32" i="6"/>
  <c r="R32" i="6" s="1"/>
  <c r="AF32" i="6"/>
  <c r="AD35" i="6"/>
  <c r="AE35" i="6"/>
  <c r="Q35" i="6"/>
  <c r="R35" i="6" s="1"/>
  <c r="Q36" i="6"/>
  <c r="R36" i="6" s="1"/>
  <c r="Q40" i="6"/>
  <c r="R40" i="6" s="1"/>
  <c r="W43" i="6"/>
  <c r="AD44" i="6"/>
  <c r="AE44" i="6"/>
  <c r="Q44" i="6"/>
  <c r="R44" i="6" s="1"/>
  <c r="Q45" i="6"/>
  <c r="R45" i="6" s="1"/>
  <c r="V81" i="6"/>
  <c r="AH81" i="6" s="1"/>
  <c r="AA85" i="6"/>
  <c r="T85" i="6"/>
  <c r="Z85" i="6"/>
  <c r="B13" i="11"/>
  <c r="AB2" i="6"/>
  <c r="AJ2" i="6"/>
  <c r="AJ5" i="6"/>
  <c r="AI7" i="6"/>
  <c r="AJ8" i="6"/>
  <c r="AI10" i="6"/>
  <c r="AJ11" i="6"/>
  <c r="AI13" i="6"/>
  <c r="AJ14" i="6"/>
  <c r="AI16" i="6"/>
  <c r="AJ17" i="6"/>
  <c r="AI19" i="6"/>
  <c r="X20" i="6"/>
  <c r="X23" i="6"/>
  <c r="X26" i="6"/>
  <c r="X29" i="6"/>
  <c r="AF36" i="6"/>
  <c r="AE42" i="6"/>
  <c r="AF45" i="6"/>
  <c r="Z50" i="6"/>
  <c r="Z56" i="6"/>
  <c r="W61" i="6"/>
  <c r="Z66" i="6"/>
  <c r="T66" i="6"/>
  <c r="AA66" i="6"/>
  <c r="W67" i="6"/>
  <c r="Z72" i="6"/>
  <c r="T72" i="6"/>
  <c r="AA72" i="6"/>
  <c r="W73" i="6"/>
  <c r="Z78" i="6"/>
  <c r="T78" i="6"/>
  <c r="AA78" i="6"/>
  <c r="W79" i="6"/>
  <c r="V86" i="6"/>
  <c r="AH86" i="6" s="1"/>
  <c r="V2" i="6"/>
  <c r="AK2" i="6"/>
  <c r="V3" i="6"/>
  <c r="AJ3" i="6"/>
  <c r="V5" i="6"/>
  <c r="V6" i="6"/>
  <c r="AJ6" i="6"/>
  <c r="V8" i="6"/>
  <c r="V9" i="6"/>
  <c r="AJ9" i="6"/>
  <c r="V11" i="6"/>
  <c r="V12" i="6"/>
  <c r="AH12" i="6" s="1"/>
  <c r="AJ12" i="6"/>
  <c r="V14" i="6"/>
  <c r="V15" i="6"/>
  <c r="AH15" i="6" s="1"/>
  <c r="AJ15" i="6"/>
  <c r="V17" i="6"/>
  <c r="V18" i="6"/>
  <c r="AJ18" i="6"/>
  <c r="X21" i="6"/>
  <c r="Y21" i="6"/>
  <c r="X24" i="6"/>
  <c r="Y24" i="6"/>
  <c r="X27" i="6"/>
  <c r="Y27" i="6"/>
  <c r="AJ30" i="6"/>
  <c r="AK30" i="6"/>
  <c r="AE31" i="6"/>
  <c r="AI32" i="6"/>
  <c r="W32" i="6"/>
  <c r="V32" i="6"/>
  <c r="AH32" i="6" s="1"/>
  <c r="AE34" i="6"/>
  <c r="AI35" i="6"/>
  <c r="W35" i="6"/>
  <c r="V35" i="6"/>
  <c r="AH35" i="6" s="1"/>
  <c r="Q37" i="6"/>
  <c r="R37" i="6" s="1"/>
  <c r="AF38" i="6"/>
  <c r="W40" i="6"/>
  <c r="AD41" i="6"/>
  <c r="AE41" i="6"/>
  <c r="Q42" i="6"/>
  <c r="R42" i="6" s="1"/>
  <c r="AE43" i="6"/>
  <c r="AE46" i="6"/>
  <c r="AD46" i="6"/>
  <c r="Q46" i="6"/>
  <c r="R46" i="6" s="1"/>
  <c r="AA47" i="6"/>
  <c r="T47" i="6"/>
  <c r="W49" i="6"/>
  <c r="AA53" i="6"/>
  <c r="T53" i="6"/>
  <c r="W55" i="6"/>
  <c r="AA62" i="6"/>
  <c r="T62" i="6"/>
  <c r="Z62" i="6"/>
  <c r="AA68" i="6"/>
  <c r="T68" i="6"/>
  <c r="Z68" i="6"/>
  <c r="AA70" i="6"/>
  <c r="T70" i="6"/>
  <c r="Z70" i="6"/>
  <c r="AA74" i="6"/>
  <c r="T74" i="6"/>
  <c r="Z74" i="6"/>
  <c r="AA76" i="6"/>
  <c r="T76" i="6"/>
  <c r="Z76" i="6"/>
  <c r="AA80" i="6"/>
  <c r="T80" i="6"/>
  <c r="Z80" i="6"/>
  <c r="AA82" i="6"/>
  <c r="Z82" i="6"/>
  <c r="V89" i="6"/>
  <c r="B11" i="11"/>
  <c r="B12" i="11"/>
  <c r="Q2" i="6"/>
  <c r="Y30" i="6"/>
  <c r="AK32" i="6"/>
  <c r="AK35" i="6"/>
  <c r="V36" i="6"/>
  <c r="AH36" i="6" s="1"/>
  <c r="V38" i="6"/>
  <c r="AH38" i="6" s="1"/>
  <c r="AK38" i="6"/>
  <c r="V39" i="6"/>
  <c r="V41" i="6"/>
  <c r="AH41" i="6" s="1"/>
  <c r="AK41" i="6"/>
  <c r="V42" i="6"/>
  <c r="V44" i="6"/>
  <c r="AH44" i="6" s="1"/>
  <c r="AK44" i="6"/>
  <c r="V45" i="6"/>
  <c r="V47" i="6"/>
  <c r="AK47" i="6"/>
  <c r="V48" i="6"/>
  <c r="V50" i="6"/>
  <c r="AK50" i="6"/>
  <c r="V51" i="6"/>
  <c r="AH51" i="6" s="1"/>
  <c r="V53" i="6"/>
  <c r="AK53" i="6"/>
  <c r="V54" i="6"/>
  <c r="AH54" i="6" s="1"/>
  <c r="V56" i="6"/>
  <c r="AK56" i="6"/>
  <c r="V57" i="6"/>
  <c r="AH57" i="6" s="1"/>
  <c r="V59" i="6"/>
  <c r="AK59" i="6"/>
  <c r="V60" i="6"/>
  <c r="AH60" i="6" s="1"/>
  <c r="V62" i="6"/>
  <c r="AK62" i="6"/>
  <c r="V63" i="6"/>
  <c r="V65" i="6"/>
  <c r="AK65" i="6"/>
  <c r="V66" i="6"/>
  <c r="AH66" i="6" s="1"/>
  <c r="V68" i="6"/>
  <c r="AK68" i="6"/>
  <c r="V69" i="6"/>
  <c r="AH69" i="6" s="1"/>
  <c r="V71" i="6"/>
  <c r="AH71" i="6" s="1"/>
  <c r="AK71" i="6"/>
  <c r="V72" i="6"/>
  <c r="V74" i="6"/>
  <c r="AK74" i="6"/>
  <c r="V75" i="6"/>
  <c r="AH75" i="6" s="1"/>
  <c r="V77" i="6"/>
  <c r="AK77" i="6"/>
  <c r="V78" i="6"/>
  <c r="AH78" i="6" s="1"/>
  <c r="V80" i="6"/>
  <c r="AK80" i="6"/>
  <c r="W81" i="6"/>
  <c r="AD81" i="6"/>
  <c r="Y83" i="6"/>
  <c r="AJ84" i="6"/>
  <c r="X85" i="6"/>
  <c r="AI86" i="6"/>
  <c r="W86" i="6"/>
  <c r="AF87" i="6"/>
  <c r="W90" i="6"/>
  <c r="X91" i="6"/>
  <c r="AK92" i="6"/>
  <c r="AJ92" i="6"/>
  <c r="R95" i="6"/>
  <c r="AF96" i="6"/>
  <c r="Q99" i="6"/>
  <c r="R99" i="6" s="1"/>
  <c r="AM100" i="6"/>
  <c r="X100" i="6"/>
  <c r="Z100" i="6"/>
  <c r="Z101" i="6"/>
  <c r="T101" i="6"/>
  <c r="AA104" i="6"/>
  <c r="Z104" i="6"/>
  <c r="T104" i="6"/>
  <c r="V104" i="6"/>
  <c r="AH104" i="6" s="1"/>
  <c r="AA107" i="6"/>
  <c r="Z107" i="6"/>
  <c r="T107" i="6"/>
  <c r="V107" i="6"/>
  <c r="AH107" i="6" s="1"/>
  <c r="AA110" i="6"/>
  <c r="Z110" i="6"/>
  <c r="T110" i="6"/>
  <c r="W117" i="6"/>
  <c r="W138" i="6"/>
  <c r="W142" i="6"/>
  <c r="W36" i="6"/>
  <c r="W38" i="6"/>
  <c r="W39" i="6"/>
  <c r="W41" i="6"/>
  <c r="W42" i="6"/>
  <c r="W44" i="6"/>
  <c r="W45" i="6"/>
  <c r="W47" i="6"/>
  <c r="AE47" i="6"/>
  <c r="W48" i="6"/>
  <c r="AD48" i="6"/>
  <c r="AD49" i="6"/>
  <c r="W50" i="6"/>
  <c r="AE50" i="6"/>
  <c r="W51" i="6"/>
  <c r="AD51" i="6"/>
  <c r="AD52" i="6"/>
  <c r="W53" i="6"/>
  <c r="AE53" i="6"/>
  <c r="W54" i="6"/>
  <c r="AD54" i="6"/>
  <c r="AD55" i="6"/>
  <c r="W56" i="6"/>
  <c r="AE56" i="6"/>
  <c r="W57" i="6"/>
  <c r="AD57" i="6"/>
  <c r="AD58" i="6"/>
  <c r="W59" i="6"/>
  <c r="AE59" i="6"/>
  <c r="W60" i="6"/>
  <c r="AD60" i="6"/>
  <c r="AD61" i="6"/>
  <c r="W62" i="6"/>
  <c r="AE62" i="6"/>
  <c r="W63" i="6"/>
  <c r="AD63" i="6"/>
  <c r="AD64" i="6"/>
  <c r="W65" i="6"/>
  <c r="AE65" i="6"/>
  <c r="W66" i="6"/>
  <c r="AD66" i="6"/>
  <c r="AD67" i="6"/>
  <c r="W68" i="6"/>
  <c r="AE68" i="6"/>
  <c r="W69" i="6"/>
  <c r="AD69" i="6"/>
  <c r="AD70" i="6"/>
  <c r="W71" i="6"/>
  <c r="AE71" i="6"/>
  <c r="W72" i="6"/>
  <c r="AD72" i="6"/>
  <c r="AD73" i="6"/>
  <c r="W74" i="6"/>
  <c r="AE74" i="6"/>
  <c r="W75" i="6"/>
  <c r="AD75" i="6"/>
  <c r="AD76" i="6"/>
  <c r="W77" i="6"/>
  <c r="AE77" i="6"/>
  <c r="W78" i="6"/>
  <c r="AD78" i="6"/>
  <c r="AD79" i="6"/>
  <c r="W80" i="6"/>
  <c r="AE80" i="6"/>
  <c r="V82" i="6"/>
  <c r="AH82" i="6" s="1"/>
  <c r="S82" i="6"/>
  <c r="T82" i="6" s="1"/>
  <c r="V84" i="6"/>
  <c r="Y85" i="6"/>
  <c r="V87" i="6"/>
  <c r="AD87" i="6"/>
  <c r="AI88" i="6"/>
  <c r="W88" i="6"/>
  <c r="V88" i="6"/>
  <c r="Y89" i="6"/>
  <c r="X89" i="6"/>
  <c r="Z89" i="6"/>
  <c r="Q93" i="6"/>
  <c r="R93" i="6" s="1"/>
  <c r="Q94" i="6"/>
  <c r="R94" i="6" s="1"/>
  <c r="V96" i="6"/>
  <c r="AD96" i="6"/>
  <c r="AI97" i="6"/>
  <c r="W97" i="6"/>
  <c r="V97" i="6"/>
  <c r="AH97" i="6" s="1"/>
  <c r="V102" i="6"/>
  <c r="W113" i="6"/>
  <c r="V117" i="6"/>
  <c r="AA120" i="6"/>
  <c r="T120" i="6"/>
  <c r="Z120" i="6"/>
  <c r="AA129" i="6"/>
  <c r="Z129" i="6"/>
  <c r="AF47" i="6"/>
  <c r="Q48" i="6"/>
  <c r="R48" i="6" s="1"/>
  <c r="Q49" i="6"/>
  <c r="R49" i="6" s="1"/>
  <c r="AF50" i="6"/>
  <c r="Q51" i="6"/>
  <c r="R51" i="6" s="1"/>
  <c r="Q52" i="6"/>
  <c r="R52" i="6" s="1"/>
  <c r="AF53" i="6"/>
  <c r="Q54" i="6"/>
  <c r="R54" i="6" s="1"/>
  <c r="Q55" i="6"/>
  <c r="R55" i="6" s="1"/>
  <c r="AF56" i="6"/>
  <c r="Q57" i="6"/>
  <c r="R57" i="6" s="1"/>
  <c r="Q58" i="6"/>
  <c r="R58" i="6" s="1"/>
  <c r="AF59" i="6"/>
  <c r="Q60" i="6"/>
  <c r="R60" i="6" s="1"/>
  <c r="Q61" i="6"/>
  <c r="R61" i="6" s="1"/>
  <c r="AF62" i="6"/>
  <c r="Q63" i="6"/>
  <c r="R63" i="6" s="1"/>
  <c r="Q64" i="6"/>
  <c r="R64" i="6" s="1"/>
  <c r="AF65" i="6"/>
  <c r="AF68" i="6"/>
  <c r="AF71" i="6"/>
  <c r="AF74" i="6"/>
  <c r="AF77" i="6"/>
  <c r="AF80" i="6"/>
  <c r="S81" i="6"/>
  <c r="Q81" i="6"/>
  <c r="R81" i="6" s="1"/>
  <c r="R83" i="6"/>
  <c r="W84" i="6"/>
  <c r="AD84" i="6"/>
  <c r="AK86" i="6"/>
  <c r="AJ86" i="6"/>
  <c r="Y86" i="6"/>
  <c r="W87" i="6"/>
  <c r="X88" i="6"/>
  <c r="AK89" i="6"/>
  <c r="AJ89" i="6"/>
  <c r="AN89" i="6" s="1"/>
  <c r="AA89" i="6"/>
  <c r="R92" i="6"/>
  <c r="W96" i="6"/>
  <c r="X97" i="6"/>
  <c r="AK98" i="6"/>
  <c r="AJ98" i="6"/>
  <c r="Q102" i="6"/>
  <c r="R102" i="6" s="1"/>
  <c r="AM103" i="6"/>
  <c r="Y103" i="6"/>
  <c r="X103" i="6"/>
  <c r="AM106" i="6"/>
  <c r="Y106" i="6"/>
  <c r="X106" i="6"/>
  <c r="V108" i="6"/>
  <c r="AA109" i="6"/>
  <c r="Z109" i="6"/>
  <c r="T109" i="6"/>
  <c r="V115" i="6"/>
  <c r="AH115" i="6" s="1"/>
  <c r="V132" i="6"/>
  <c r="AH132" i="6" s="1"/>
  <c r="V135" i="6"/>
  <c r="AH135" i="6" s="1"/>
  <c r="V85" i="6"/>
  <c r="AH85" i="6" s="1"/>
  <c r="Q90" i="6"/>
  <c r="R90" i="6" s="1"/>
  <c r="AI94" i="6"/>
  <c r="W94" i="6"/>
  <c r="V94" i="6"/>
  <c r="Y95" i="6"/>
  <c r="X95" i="6"/>
  <c r="V120" i="6"/>
  <c r="AH120" i="6" s="1"/>
  <c r="Z121" i="6"/>
  <c r="T121" i="6"/>
  <c r="AA121" i="6"/>
  <c r="AA123" i="6"/>
  <c r="T123" i="6"/>
  <c r="Z123" i="6"/>
  <c r="V133" i="6"/>
  <c r="AH133" i="6" s="1"/>
  <c r="AA138" i="6"/>
  <c r="Z138" i="6"/>
  <c r="T138" i="6"/>
  <c r="V37" i="6"/>
  <c r="AH37" i="6" s="1"/>
  <c r="V40" i="6"/>
  <c r="V43" i="6"/>
  <c r="V46" i="6"/>
  <c r="AH46" i="6" s="1"/>
  <c r="V49" i="6"/>
  <c r="AH49" i="6" s="1"/>
  <c r="V52" i="6"/>
  <c r="AH52" i="6" s="1"/>
  <c r="V55" i="6"/>
  <c r="AH55" i="6" s="1"/>
  <c r="V58" i="6"/>
  <c r="AH58" i="6" s="1"/>
  <c r="V61" i="6"/>
  <c r="V64" i="6"/>
  <c r="V67" i="6"/>
  <c r="V70" i="6"/>
  <c r="AH70" i="6" s="1"/>
  <c r="V73" i="6"/>
  <c r="AH73" i="6" s="1"/>
  <c r="V76" i="6"/>
  <c r="V79" i="6"/>
  <c r="AH79" i="6" s="1"/>
  <c r="AI83" i="6"/>
  <c r="W83" i="6"/>
  <c r="Q84" i="6"/>
  <c r="R84" i="6" s="1"/>
  <c r="AA86" i="6"/>
  <c r="AF90" i="6"/>
  <c r="X94" i="6"/>
  <c r="AK95" i="6"/>
  <c r="AJ95" i="6"/>
  <c r="Z98" i="6"/>
  <c r="T98" i="6"/>
  <c r="AG98" i="6"/>
  <c r="T100" i="6"/>
  <c r="AK101" i="6"/>
  <c r="AJ101" i="6"/>
  <c r="V105" i="6"/>
  <c r="AA117" i="6"/>
  <c r="T117" i="6"/>
  <c r="Z117" i="6"/>
  <c r="AI37" i="6"/>
  <c r="AI40" i="6"/>
  <c r="AI43" i="6"/>
  <c r="AI46" i="6"/>
  <c r="AI49" i="6"/>
  <c r="AI52" i="6"/>
  <c r="AI55" i="6"/>
  <c r="AI58" i="6"/>
  <c r="AI61" i="6"/>
  <c r="AI64" i="6"/>
  <c r="AI67" i="6"/>
  <c r="AI70" i="6"/>
  <c r="AI73" i="6"/>
  <c r="AI76" i="6"/>
  <c r="AI79" i="6"/>
  <c r="Y82" i="6"/>
  <c r="V83" i="6"/>
  <c r="AF84" i="6"/>
  <c r="W85" i="6"/>
  <c r="Q87" i="6"/>
  <c r="R87" i="6" s="1"/>
  <c r="V90" i="6"/>
  <c r="AD90" i="6"/>
  <c r="AI91" i="6"/>
  <c r="W91" i="6"/>
  <c r="V91" i="6"/>
  <c r="AH91" i="6" s="1"/>
  <c r="Y92" i="6"/>
  <c r="X92" i="6"/>
  <c r="Y94" i="6"/>
  <c r="AM95" i="6"/>
  <c r="Q96" i="6"/>
  <c r="R96" i="6" s="1"/>
  <c r="V99" i="6"/>
  <c r="AI100" i="6"/>
  <c r="W100" i="6"/>
  <c r="V100" i="6"/>
  <c r="R103" i="6"/>
  <c r="R106" i="6"/>
  <c r="V110" i="6"/>
  <c r="AH110" i="6" s="1"/>
  <c r="Z118" i="6"/>
  <c r="T118" i="6"/>
  <c r="AA118" i="6"/>
  <c r="V123" i="6"/>
  <c r="AH123" i="6" s="1"/>
  <c r="V124" i="6"/>
  <c r="AA132" i="6"/>
  <c r="T132" i="6"/>
  <c r="Z132" i="6"/>
  <c r="AA135" i="6"/>
  <c r="T135" i="6"/>
  <c r="Z135" i="6"/>
  <c r="X98" i="6"/>
  <c r="X101" i="6"/>
  <c r="V103" i="6"/>
  <c r="AH103" i="6" s="1"/>
  <c r="X104" i="6"/>
  <c r="AJ104" i="6"/>
  <c r="V106" i="6"/>
  <c r="AH106" i="6" s="1"/>
  <c r="X107" i="6"/>
  <c r="AJ107" i="6"/>
  <c r="V109" i="6"/>
  <c r="AH109" i="6" s="1"/>
  <c r="X110" i="6"/>
  <c r="AJ110" i="6"/>
  <c r="AJ112" i="6"/>
  <c r="AI118" i="6"/>
  <c r="W118" i="6"/>
  <c r="Q119" i="6"/>
  <c r="R119" i="6" s="1"/>
  <c r="W120" i="6"/>
  <c r="AF120" i="6"/>
  <c r="AK121" i="6"/>
  <c r="X122" i="6"/>
  <c r="AM123" i="6"/>
  <c r="X123" i="6"/>
  <c r="AE123" i="6"/>
  <c r="Q124" i="6"/>
  <c r="R124" i="6" s="1"/>
  <c r="AJ124" i="6"/>
  <c r="AK125" i="6"/>
  <c r="V125" i="6"/>
  <c r="W125" i="6"/>
  <c r="AD128" i="6"/>
  <c r="AM128" i="6"/>
  <c r="S129" i="6"/>
  <c r="T129" i="6" s="1"/>
  <c r="AK136" i="6"/>
  <c r="S138" i="6"/>
  <c r="AE138" i="6"/>
  <c r="AI139" i="6"/>
  <c r="W139" i="6"/>
  <c r="V139" i="6"/>
  <c r="AH139" i="6" s="1"/>
  <c r="AK140" i="6"/>
  <c r="W140" i="6"/>
  <c r="V140" i="6"/>
  <c r="AH140" i="6" s="1"/>
  <c r="AM141" i="6"/>
  <c r="Y141" i="6"/>
  <c r="X141" i="6"/>
  <c r="T158" i="6"/>
  <c r="AA158" i="6"/>
  <c r="Z158" i="6"/>
  <c r="AG99" i="6"/>
  <c r="AG102" i="6"/>
  <c r="W103" i="6"/>
  <c r="AG105" i="6"/>
  <c r="W106" i="6"/>
  <c r="AG108" i="6"/>
  <c r="W109" i="6"/>
  <c r="V111" i="6"/>
  <c r="AH111" i="6" s="1"/>
  <c r="V112" i="6"/>
  <c r="V113" i="6"/>
  <c r="AH113" i="6" s="1"/>
  <c r="AJ113" i="6"/>
  <c r="V114" i="6"/>
  <c r="AH114" i="6" s="1"/>
  <c r="AI117" i="6"/>
  <c r="V118" i="6"/>
  <c r="AH118" i="6" s="1"/>
  <c r="AI121" i="6"/>
  <c r="W121" i="6"/>
  <c r="Q122" i="6"/>
  <c r="R122" i="6" s="1"/>
  <c r="W123" i="6"/>
  <c r="AF123" i="6"/>
  <c r="AK124" i="6"/>
  <c r="AM126" i="6"/>
  <c r="X126" i="6"/>
  <c r="V126" i="6"/>
  <c r="AE126" i="6"/>
  <c r="Q127" i="6"/>
  <c r="R127" i="6" s="1"/>
  <c r="AK128" i="6"/>
  <c r="V128" i="6"/>
  <c r="AH128" i="6" s="1"/>
  <c r="W128" i="6"/>
  <c r="AD131" i="6"/>
  <c r="AM131" i="6"/>
  <c r="Z136" i="6"/>
  <c r="T136" i="6"/>
  <c r="Q137" i="6"/>
  <c r="R137" i="6" s="1"/>
  <c r="V138" i="6"/>
  <c r="AK139" i="6"/>
  <c r="V142" i="6"/>
  <c r="AH142" i="6" s="1"/>
  <c r="AI142" i="6"/>
  <c r="AA146" i="6"/>
  <c r="Z146" i="6"/>
  <c r="T146" i="6"/>
  <c r="T149" i="6"/>
  <c r="AA149" i="6"/>
  <c r="Z149" i="6"/>
  <c r="AA151" i="6"/>
  <c r="Z151" i="6"/>
  <c r="Z164" i="6"/>
  <c r="AA164" i="6"/>
  <c r="T164" i="6"/>
  <c r="Z168" i="6"/>
  <c r="T168" i="6"/>
  <c r="AA168" i="6"/>
  <c r="X109" i="6"/>
  <c r="W111" i="6"/>
  <c r="AD111" i="6"/>
  <c r="AD113" i="6"/>
  <c r="W114" i="6"/>
  <c r="AD114" i="6"/>
  <c r="AM116" i="6"/>
  <c r="AI120" i="6"/>
  <c r="V121" i="6"/>
  <c r="AH121" i="6" s="1"/>
  <c r="AI124" i="6"/>
  <c r="W124" i="6"/>
  <c r="Q125" i="6"/>
  <c r="R125" i="6" s="1"/>
  <c r="W126" i="6"/>
  <c r="AF126" i="6"/>
  <c r="AM129" i="6"/>
  <c r="X129" i="6"/>
  <c r="V129" i="6"/>
  <c r="AH129" i="6" s="1"/>
  <c r="Q130" i="6"/>
  <c r="R130" i="6" s="1"/>
  <c r="AK131" i="6"/>
  <c r="V131" i="6"/>
  <c r="AH131" i="6" s="1"/>
  <c r="W131" i="6"/>
  <c r="AF131" i="6"/>
  <c r="AM134" i="6"/>
  <c r="AM138" i="6"/>
  <c r="X138" i="6"/>
  <c r="AA160" i="6"/>
  <c r="T160" i="6"/>
  <c r="Z160" i="6"/>
  <c r="Q105" i="6"/>
  <c r="R105" i="6" s="1"/>
  <c r="W105" i="6"/>
  <c r="Q108" i="6"/>
  <c r="R108" i="6" s="1"/>
  <c r="W108" i="6"/>
  <c r="Y109" i="6"/>
  <c r="AG110" i="6"/>
  <c r="Q111" i="6"/>
  <c r="R111" i="6" s="1"/>
  <c r="Q112" i="6"/>
  <c r="R112" i="6" s="1"/>
  <c r="Q113" i="6"/>
  <c r="R113" i="6" s="1"/>
  <c r="Q114" i="6"/>
  <c r="R114" i="6" s="1"/>
  <c r="Q115" i="6"/>
  <c r="R115" i="6" s="1"/>
  <c r="AK116" i="6"/>
  <c r="V116" i="6"/>
  <c r="AH116" i="6" s="1"/>
  <c r="W116" i="6"/>
  <c r="AM119" i="6"/>
  <c r="AI127" i="6"/>
  <c r="W127" i="6"/>
  <c r="Q128" i="6"/>
  <c r="R128" i="6" s="1"/>
  <c r="W129" i="6"/>
  <c r="AM132" i="6"/>
  <c r="X132" i="6"/>
  <c r="Q133" i="6"/>
  <c r="R133" i="6" s="1"/>
  <c r="AK134" i="6"/>
  <c r="V134" i="6"/>
  <c r="AH134" i="6" s="1"/>
  <c r="W134" i="6"/>
  <c r="AI136" i="6"/>
  <c r="W136" i="6"/>
  <c r="V136" i="6"/>
  <c r="AH136" i="6" s="1"/>
  <c r="AE141" i="6"/>
  <c r="AD141" i="6"/>
  <c r="Q141" i="6"/>
  <c r="R141" i="6" s="1"/>
  <c r="AA143" i="6"/>
  <c r="T143" i="6"/>
  <c r="W146" i="6"/>
  <c r="T147" i="6"/>
  <c r="AA147" i="6"/>
  <c r="Z147" i="6"/>
  <c r="AM117" i="6"/>
  <c r="X117" i="6"/>
  <c r="AK119" i="6"/>
  <c r="V119" i="6"/>
  <c r="AH119" i="6" s="1"/>
  <c r="W119" i="6"/>
  <c r="AM122" i="6"/>
  <c r="Q126" i="6"/>
  <c r="R126" i="6" s="1"/>
  <c r="AI130" i="6"/>
  <c r="W130" i="6"/>
  <c r="Q131" i="6"/>
  <c r="R131" i="6" s="1"/>
  <c r="AM135" i="6"/>
  <c r="X135" i="6"/>
  <c r="AA139" i="6"/>
  <c r="Z139" i="6"/>
  <c r="T139" i="6"/>
  <c r="V148" i="6"/>
  <c r="AH148" i="6" s="1"/>
  <c r="U157" i="6"/>
  <c r="AL157" i="6" s="1"/>
  <c r="AC157" i="6"/>
  <c r="Z171" i="6"/>
  <c r="T171" i="6"/>
  <c r="AA171" i="6"/>
  <c r="W89" i="6"/>
  <c r="W92" i="6"/>
  <c r="W95" i="6"/>
  <c r="W98" i="6"/>
  <c r="W101" i="6"/>
  <c r="W104" i="6"/>
  <c r="W107" i="6"/>
  <c r="W110" i="6"/>
  <c r="AI112" i="6"/>
  <c r="W112" i="6"/>
  <c r="AI115" i="6"/>
  <c r="W115" i="6"/>
  <c r="Q116" i="6"/>
  <c r="R116" i="6" s="1"/>
  <c r="AF117" i="6"/>
  <c r="X119" i="6"/>
  <c r="AM120" i="6"/>
  <c r="X120" i="6"/>
  <c r="AE120" i="6"/>
  <c r="AK122" i="6"/>
  <c r="V122" i="6"/>
  <c r="AH122" i="6" s="1"/>
  <c r="W122" i="6"/>
  <c r="AD125" i="6"/>
  <c r="AM125" i="6"/>
  <c r="V130" i="6"/>
  <c r="AH130" i="6" s="1"/>
  <c r="AJ131" i="6"/>
  <c r="Y132" i="6"/>
  <c r="AI133" i="6"/>
  <c r="W133" i="6"/>
  <c r="Q134" i="6"/>
  <c r="R134" i="6" s="1"/>
  <c r="W135" i="6"/>
  <c r="AK137" i="6"/>
  <c r="V137" i="6"/>
  <c r="AH137" i="6" s="1"/>
  <c r="AJ137" i="6"/>
  <c r="V141" i="6"/>
  <c r="AH141" i="6" s="1"/>
  <c r="W141" i="6"/>
  <c r="V143" i="6"/>
  <c r="AH143" i="6" s="1"/>
  <c r="AI143" i="6"/>
  <c r="AI144" i="6"/>
  <c r="W144" i="6"/>
  <c r="V144" i="6"/>
  <c r="AH144" i="6" s="1"/>
  <c r="V153" i="6"/>
  <c r="AH153" i="6" s="1"/>
  <c r="AJ144" i="6"/>
  <c r="AI146" i="6"/>
  <c r="X147" i="6"/>
  <c r="AI152" i="6"/>
  <c r="W152" i="6"/>
  <c r="V152" i="6"/>
  <c r="AH152" i="6" s="1"/>
  <c r="AE153" i="6"/>
  <c r="AD153" i="6"/>
  <c r="Q153" i="6"/>
  <c r="R153" i="6" s="1"/>
  <c r="AF160" i="6"/>
  <c r="AE160" i="6"/>
  <c r="AE162" i="6"/>
  <c r="AD162" i="6"/>
  <c r="Q162" i="6"/>
  <c r="R162" i="6" s="1"/>
  <c r="AK165" i="6"/>
  <c r="W165" i="6"/>
  <c r="V175" i="6"/>
  <c r="AH175" i="6" s="1"/>
  <c r="AI175" i="6"/>
  <c r="Z177" i="6"/>
  <c r="T177" i="6"/>
  <c r="AA177" i="6"/>
  <c r="V186" i="6"/>
  <c r="AH186" i="6" s="1"/>
  <c r="W189" i="6"/>
  <c r="W199" i="6"/>
  <c r="V204" i="6"/>
  <c r="Q140" i="6"/>
  <c r="R140" i="6" s="1"/>
  <c r="AJ142" i="6"/>
  <c r="V145" i="6"/>
  <c r="AH145" i="6" s="1"/>
  <c r="AJ145" i="6"/>
  <c r="V146" i="6"/>
  <c r="AH146" i="6" s="1"/>
  <c r="Y147" i="6"/>
  <c r="X148" i="6"/>
  <c r="W151" i="6"/>
  <c r="V151" i="6"/>
  <c r="AH151" i="6" s="1"/>
  <c r="S151" i="6"/>
  <c r="T151" i="6" s="1"/>
  <c r="X152" i="6"/>
  <c r="Y152" i="6"/>
  <c r="AM152" i="6"/>
  <c r="Q154" i="6"/>
  <c r="R154" i="6" s="1"/>
  <c r="W157" i="6"/>
  <c r="AI157" i="6"/>
  <c r="AN157" i="6" s="1"/>
  <c r="V157" i="6"/>
  <c r="AH157" i="6" s="1"/>
  <c r="AI160" i="6"/>
  <c r="W160" i="6"/>
  <c r="V160" i="6"/>
  <c r="S160" i="6"/>
  <c r="AD163" i="6"/>
  <c r="AE163" i="6"/>
  <c r="Q163" i="6"/>
  <c r="R163" i="6" s="1"/>
  <c r="V169" i="6"/>
  <c r="AH169" i="6" s="1"/>
  <c r="V170" i="6"/>
  <c r="W170" i="6"/>
  <c r="W174" i="6"/>
  <c r="V174" i="6"/>
  <c r="AH174" i="6" s="1"/>
  <c r="AI174" i="6"/>
  <c r="Z184" i="6"/>
  <c r="T184" i="6"/>
  <c r="AA184" i="6"/>
  <c r="V188" i="6"/>
  <c r="AK148" i="6"/>
  <c r="AJ148" i="6"/>
  <c r="R155" i="6"/>
  <c r="AM157" i="6"/>
  <c r="Y157" i="6"/>
  <c r="X157" i="6"/>
  <c r="AD166" i="6"/>
  <c r="AE166" i="6"/>
  <c r="Q166" i="6"/>
  <c r="R166" i="6" s="1"/>
  <c r="T167" i="6"/>
  <c r="Z167" i="6"/>
  <c r="AA167" i="6"/>
  <c r="AK171" i="6"/>
  <c r="AJ171" i="6"/>
  <c r="AA172" i="6"/>
  <c r="T172" i="6"/>
  <c r="AA173" i="6"/>
  <c r="Z173" i="6"/>
  <c r="T173" i="6"/>
  <c r="S142" i="6"/>
  <c r="Q142" i="6"/>
  <c r="R142" i="6" s="1"/>
  <c r="X142" i="6"/>
  <c r="AM142" i="6"/>
  <c r="X143" i="6"/>
  <c r="Q144" i="6"/>
  <c r="R144" i="6" s="1"/>
  <c r="Y144" i="6"/>
  <c r="Q145" i="6"/>
  <c r="R145" i="6" s="1"/>
  <c r="X145" i="6"/>
  <c r="AM145" i="6"/>
  <c r="X146" i="6"/>
  <c r="V150" i="6"/>
  <c r="W154" i="6"/>
  <c r="V154" i="6"/>
  <c r="AH154" i="6" s="1"/>
  <c r="V155" i="6"/>
  <c r="AH155" i="6" s="1"/>
  <c r="AK155" i="6"/>
  <c r="Q161" i="6"/>
  <c r="R161" i="6" s="1"/>
  <c r="AI164" i="6"/>
  <c r="W164" i="6"/>
  <c r="V164" i="6"/>
  <c r="AH164" i="6" s="1"/>
  <c r="AK172" i="6"/>
  <c r="V180" i="6"/>
  <c r="AH180" i="6" s="1"/>
  <c r="AI147" i="6"/>
  <c r="W147" i="6"/>
  <c r="V147" i="6"/>
  <c r="AH147" i="6" s="1"/>
  <c r="Q148" i="6"/>
  <c r="R148" i="6" s="1"/>
  <c r="AE148" i="6"/>
  <c r="AI149" i="6"/>
  <c r="W149" i="6"/>
  <c r="V149" i="6"/>
  <c r="AH149" i="6" s="1"/>
  <c r="X150" i="6"/>
  <c r="AK153" i="6"/>
  <c r="W153" i="6"/>
  <c r="AJ153" i="6"/>
  <c r="AM154" i="6"/>
  <c r="Y154" i="6"/>
  <c r="X154" i="6"/>
  <c r="Y155" i="6"/>
  <c r="AM155" i="6"/>
  <c r="AE156" i="6"/>
  <c r="AD156" i="6"/>
  <c r="Q156" i="6"/>
  <c r="R156" i="6" s="1"/>
  <c r="AJ158" i="6"/>
  <c r="AK158" i="6"/>
  <c r="AK162" i="6"/>
  <c r="W162" i="6"/>
  <c r="V162" i="6"/>
  <c r="AH162" i="6" s="1"/>
  <c r="V167" i="6"/>
  <c r="AH167" i="6" s="1"/>
  <c r="W167" i="6"/>
  <c r="V172" i="6"/>
  <c r="AH172" i="6" s="1"/>
  <c r="Z172" i="6"/>
  <c r="Z175" i="6"/>
  <c r="AA175" i="6"/>
  <c r="T175" i="6"/>
  <c r="T179" i="6"/>
  <c r="Z179" i="6"/>
  <c r="AA179" i="6"/>
  <c r="T181" i="6"/>
  <c r="AA181" i="6"/>
  <c r="Z181" i="6"/>
  <c r="X149" i="6"/>
  <c r="Y149" i="6"/>
  <c r="AM149" i="6"/>
  <c r="AK150" i="6"/>
  <c r="W150" i="6"/>
  <c r="AD151" i="6"/>
  <c r="AE151" i="6"/>
  <c r="AA157" i="6"/>
  <c r="Z157" i="6"/>
  <c r="AK168" i="6"/>
  <c r="AJ168" i="6"/>
  <c r="AA169" i="6"/>
  <c r="T169" i="6"/>
  <c r="T170" i="6"/>
  <c r="Z170" i="6"/>
  <c r="AA170" i="6"/>
  <c r="Z174" i="6"/>
  <c r="T174" i="6"/>
  <c r="AA174" i="6"/>
  <c r="W176" i="6"/>
  <c r="V176" i="6"/>
  <c r="AI176" i="6"/>
  <c r="V178" i="6"/>
  <c r="AH178" i="6" s="1"/>
  <c r="W178" i="6"/>
  <c r="AI178" i="6"/>
  <c r="Z196" i="6"/>
  <c r="T196" i="6"/>
  <c r="AA196" i="6"/>
  <c r="AE150" i="6"/>
  <c r="AD150" i="6"/>
  <c r="Q150" i="6"/>
  <c r="R150" i="6" s="1"/>
  <c r="AE154" i="6"/>
  <c r="AK159" i="6"/>
  <c r="W159" i="6"/>
  <c r="AI161" i="6"/>
  <c r="W161" i="6"/>
  <c r="AF163" i="6"/>
  <c r="AF166" i="6"/>
  <c r="AI173" i="6"/>
  <c r="V173" i="6"/>
  <c r="Z183" i="6"/>
  <c r="T183" i="6"/>
  <c r="AA183" i="6"/>
  <c r="AC185" i="6"/>
  <c r="U185" i="6"/>
  <c r="AL185" i="6" s="1"/>
  <c r="Z189" i="6"/>
  <c r="T189" i="6"/>
  <c r="AA189" i="6"/>
  <c r="W192" i="6"/>
  <c r="Z195" i="6"/>
  <c r="T195" i="6"/>
  <c r="AA195" i="6"/>
  <c r="W196" i="6"/>
  <c r="W197" i="6"/>
  <c r="W148" i="6"/>
  <c r="Q152" i="6"/>
  <c r="R152" i="6" s="1"/>
  <c r="AM156" i="6"/>
  <c r="AI158" i="6"/>
  <c r="W158" i="6"/>
  <c r="V161" i="6"/>
  <c r="AH161" i="6" s="1"/>
  <c r="AI163" i="6"/>
  <c r="W163" i="6"/>
  <c r="V163" i="6"/>
  <c r="AH163" i="6" s="1"/>
  <c r="AK164" i="6"/>
  <c r="AE165" i="6"/>
  <c r="AD165" i="6"/>
  <c r="Q165" i="6"/>
  <c r="R165" i="6" s="1"/>
  <c r="AF165" i="6"/>
  <c r="AI166" i="6"/>
  <c r="W166" i="6"/>
  <c r="V166" i="6"/>
  <c r="AH166" i="6" s="1"/>
  <c r="AJ167" i="6"/>
  <c r="AK167" i="6"/>
  <c r="AI168" i="6"/>
  <c r="V168" i="6"/>
  <c r="AH168" i="6" s="1"/>
  <c r="W168" i="6"/>
  <c r="AJ170" i="6"/>
  <c r="AK170" i="6"/>
  <c r="V171" i="6"/>
  <c r="AH171" i="6" s="1"/>
  <c r="AI171" i="6"/>
  <c r="W171" i="6"/>
  <c r="AJ177" i="6"/>
  <c r="W177" i="6"/>
  <c r="AK177" i="6"/>
  <c r="V179" i="6"/>
  <c r="AK180" i="6"/>
  <c r="AJ180" i="6"/>
  <c r="T187" i="6"/>
  <c r="AA187" i="6"/>
  <c r="Z187" i="6"/>
  <c r="AM153" i="6"/>
  <c r="AI155" i="6"/>
  <c r="W155" i="6"/>
  <c r="AK156" i="6"/>
  <c r="W156" i="6"/>
  <c r="V156" i="6"/>
  <c r="AH156" i="6" s="1"/>
  <c r="AM158" i="6"/>
  <c r="AE159" i="6"/>
  <c r="AD159" i="6"/>
  <c r="Q159" i="6"/>
  <c r="R159" i="6" s="1"/>
  <c r="AJ173" i="6"/>
  <c r="AK173" i="6"/>
  <c r="T176" i="6"/>
  <c r="Z176" i="6"/>
  <c r="AA178" i="6"/>
  <c r="Z178" i="6"/>
  <c r="T178" i="6"/>
  <c r="W183" i="6"/>
  <c r="W185" i="6"/>
  <c r="Z186" i="6"/>
  <c r="T186" i="6"/>
  <c r="AA186" i="6"/>
  <c r="V189" i="6"/>
  <c r="AH189" i="6" s="1"/>
  <c r="W193" i="6"/>
  <c r="W194" i="6"/>
  <c r="Z180" i="6"/>
  <c r="T180" i="6"/>
  <c r="AA180" i="6"/>
  <c r="W184" i="6"/>
  <c r="AC188" i="6"/>
  <c r="U188" i="6"/>
  <c r="AL188" i="6" s="1"/>
  <c r="Z190" i="6"/>
  <c r="T190" i="6"/>
  <c r="AA190" i="6"/>
  <c r="W191" i="6"/>
  <c r="W198" i="6"/>
  <c r="V202" i="6"/>
  <c r="Y169" i="6"/>
  <c r="X170" i="6"/>
  <c r="AM170" i="6"/>
  <c r="Y170" i="6"/>
  <c r="AM172" i="6"/>
  <c r="V177" i="6"/>
  <c r="AH177" i="6" s="1"/>
  <c r="Y178" i="6"/>
  <c r="X179" i="6"/>
  <c r="AM179" i="6"/>
  <c r="Y179" i="6"/>
  <c r="AI180" i="6"/>
  <c r="AM181" i="6"/>
  <c r="AK182" i="6"/>
  <c r="AJ184" i="6"/>
  <c r="Z185" i="6"/>
  <c r="AK186" i="6"/>
  <c r="Y187" i="6"/>
  <c r="X188" i="6"/>
  <c r="AM188" i="6"/>
  <c r="Y188" i="6"/>
  <c r="AI189" i="6"/>
  <c r="Y190" i="6"/>
  <c r="AK190" i="6"/>
  <c r="R191" i="6"/>
  <c r="Q193" i="6"/>
  <c r="R193" i="6" s="1"/>
  <c r="X194" i="6"/>
  <c r="AM194" i="6"/>
  <c r="Y194" i="6"/>
  <c r="Y196" i="6"/>
  <c r="R197" i="6"/>
  <c r="Q199" i="6"/>
  <c r="R199" i="6" s="1"/>
  <c r="AG200" i="6"/>
  <c r="V200" i="6"/>
  <c r="AH200" i="6" s="1"/>
  <c r="R202" i="6"/>
  <c r="Z203" i="6"/>
  <c r="AA203" i="6"/>
  <c r="T203" i="6"/>
  <c r="V205" i="6"/>
  <c r="AH205" i="6" s="1"/>
  <c r="AG206" i="6"/>
  <c r="V206" i="6"/>
  <c r="W210" i="6"/>
  <c r="W179" i="6"/>
  <c r="W181" i="6"/>
  <c r="V184" i="6"/>
  <c r="AH184" i="6" s="1"/>
  <c r="AK184" i="6"/>
  <c r="AA185" i="6"/>
  <c r="AI185" i="6"/>
  <c r="W186" i="6"/>
  <c r="W188" i="6"/>
  <c r="AJ189" i="6"/>
  <c r="Z200" i="6"/>
  <c r="AA200" i="6"/>
  <c r="T200" i="6"/>
  <c r="Z206" i="6"/>
  <c r="T206" i="6"/>
  <c r="AA206" i="6"/>
  <c r="AA208" i="6"/>
  <c r="Z208" i="6"/>
  <c r="T208" i="6"/>
  <c r="X173" i="6"/>
  <c r="AM173" i="6"/>
  <c r="Y173" i="6"/>
  <c r="AM175" i="6"/>
  <c r="AK176" i="6"/>
  <c r="X182" i="6"/>
  <c r="AM182" i="6"/>
  <c r="Y182" i="6"/>
  <c r="V182" i="6"/>
  <c r="AI183" i="6"/>
  <c r="AM184" i="6"/>
  <c r="Z188" i="6"/>
  <c r="AK189" i="6"/>
  <c r="Q192" i="6"/>
  <c r="R192" i="6" s="1"/>
  <c r="Q198" i="6"/>
  <c r="R198" i="6" s="1"/>
  <c r="Y199" i="6"/>
  <c r="AM199" i="6"/>
  <c r="W182" i="6"/>
  <c r="V187" i="6"/>
  <c r="AH187" i="6" s="1"/>
  <c r="AA188" i="6"/>
  <c r="X191" i="6"/>
  <c r="AM191" i="6"/>
  <c r="Y191" i="6"/>
  <c r="Y193" i="6"/>
  <c r="AA194" i="6"/>
  <c r="T194" i="6"/>
  <c r="X197" i="6"/>
  <c r="AM197" i="6"/>
  <c r="Y197" i="6"/>
  <c r="AG198" i="6"/>
  <c r="AM202" i="6"/>
  <c r="Y202" i="6"/>
  <c r="X202" i="6"/>
  <c r="Y204" i="6"/>
  <c r="X204" i="6"/>
  <c r="AA205" i="6"/>
  <c r="Z205" i="6"/>
  <c r="T205" i="6"/>
  <c r="Y207" i="6"/>
  <c r="AM207" i="6"/>
  <c r="X207" i="6"/>
  <c r="V207" i="6"/>
  <c r="X167" i="6"/>
  <c r="AM167" i="6"/>
  <c r="Y167" i="6"/>
  <c r="AM169" i="6"/>
  <c r="Y175" i="6"/>
  <c r="X176" i="6"/>
  <c r="AM176" i="6"/>
  <c r="Y176" i="6"/>
  <c r="AM178" i="6"/>
  <c r="AK179" i="6"/>
  <c r="AJ181" i="6"/>
  <c r="V183" i="6"/>
  <c r="AH183" i="6" s="1"/>
  <c r="Y184" i="6"/>
  <c r="X185" i="6"/>
  <c r="AM185" i="6"/>
  <c r="Y185" i="6"/>
  <c r="V185" i="6"/>
  <c r="AH185" i="6" s="1"/>
  <c r="AM187" i="6"/>
  <c r="AK188" i="6"/>
  <c r="AN188" i="6" s="1"/>
  <c r="AM193" i="6"/>
  <c r="AM204" i="6"/>
  <c r="V208" i="6"/>
  <c r="AH208" i="6" s="1"/>
  <c r="W223" i="6"/>
  <c r="V181" i="6"/>
  <c r="AH181" i="6" s="1"/>
  <c r="R182" i="6"/>
  <c r="AI184" i="6"/>
  <c r="W187" i="6"/>
  <c r="W190" i="6"/>
  <c r="AG203" i="6"/>
  <c r="V203" i="6"/>
  <c r="AH203" i="6" s="1"/>
  <c r="Z209" i="6"/>
  <c r="T209" i="6"/>
  <c r="AA209" i="6"/>
  <c r="V211" i="6"/>
  <c r="AH211" i="6" s="1"/>
  <c r="AF170" i="6"/>
  <c r="AF173" i="6"/>
  <c r="AF176" i="6"/>
  <c r="AF179" i="6"/>
  <c r="AF182" i="6"/>
  <c r="AF185" i="6"/>
  <c r="AF188" i="6"/>
  <c r="AF191" i="6"/>
  <c r="AF194" i="6"/>
  <c r="AF197" i="6"/>
  <c r="W201" i="6"/>
  <c r="AF201" i="6"/>
  <c r="W204" i="6"/>
  <c r="AF204" i="6"/>
  <c r="W207" i="6"/>
  <c r="AF207" i="6"/>
  <c r="AJ210" i="6"/>
  <c r="R211" i="6"/>
  <c r="AI212" i="6"/>
  <c r="W212" i="6"/>
  <c r="V212" i="6"/>
  <c r="AH212" i="6" s="1"/>
  <c r="Y213" i="6"/>
  <c r="AM213" i="6"/>
  <c r="X213" i="6"/>
  <c r="W213" i="6"/>
  <c r="V215" i="6"/>
  <c r="AH215" i="6" s="1"/>
  <c r="AM218" i="6"/>
  <c r="Y218" i="6"/>
  <c r="V219" i="6"/>
  <c r="AJ219" i="6"/>
  <c r="R220" i="6"/>
  <c r="Y222" i="6"/>
  <c r="AM222" i="6"/>
  <c r="X222" i="6"/>
  <c r="AG223" i="6"/>
  <c r="V223" i="6"/>
  <c r="R224" i="6"/>
  <c r="R230" i="6"/>
  <c r="W232" i="6"/>
  <c r="AA233" i="6"/>
  <c r="T233" i="6"/>
  <c r="Z233" i="6"/>
  <c r="T238" i="6"/>
  <c r="AA238" i="6"/>
  <c r="Z238" i="6"/>
  <c r="W256" i="6"/>
  <c r="AM205" i="6"/>
  <c r="Y205" i="6"/>
  <c r="AM208" i="6"/>
  <c r="Y208" i="6"/>
  <c r="AM212" i="6"/>
  <c r="Y212" i="6"/>
  <c r="X212" i="6"/>
  <c r="AJ213" i="6"/>
  <c r="W219" i="6"/>
  <c r="V220" i="6"/>
  <c r="AH220" i="6" s="1"/>
  <c r="AA221" i="6"/>
  <c r="T221" i="6"/>
  <c r="Z221" i="6"/>
  <c r="AA223" i="6"/>
  <c r="Z223" i="6"/>
  <c r="T223" i="6"/>
  <c r="W225" i="6"/>
  <c r="AM226" i="6"/>
  <c r="X226" i="6"/>
  <c r="Y226" i="6"/>
  <c r="W258" i="6"/>
  <c r="W261" i="6"/>
  <c r="V190" i="6"/>
  <c r="AH190" i="6" s="1"/>
  <c r="V193" i="6"/>
  <c r="AH193" i="6" s="1"/>
  <c r="V196" i="6"/>
  <c r="AH196" i="6" s="1"/>
  <c r="V199" i="6"/>
  <c r="AH199" i="6" s="1"/>
  <c r="AI200" i="6"/>
  <c r="W200" i="6"/>
  <c r="Q201" i="6"/>
  <c r="R201" i="6" s="1"/>
  <c r="W202" i="6"/>
  <c r="AI203" i="6"/>
  <c r="W203" i="6"/>
  <c r="Q204" i="6"/>
  <c r="R204" i="6" s="1"/>
  <c r="W205" i="6"/>
  <c r="AI206" i="6"/>
  <c r="W206" i="6"/>
  <c r="Q207" i="6"/>
  <c r="R207" i="6" s="1"/>
  <c r="W208" i="6"/>
  <c r="AI209" i="6"/>
  <c r="W209" i="6"/>
  <c r="T214" i="6"/>
  <c r="AM215" i="6"/>
  <c r="Y215" i="6"/>
  <c r="V216" i="6"/>
  <c r="AJ216" i="6"/>
  <c r="R217" i="6"/>
  <c r="Y219" i="6"/>
  <c r="AM219" i="6"/>
  <c r="X219" i="6"/>
  <c r="W220" i="6"/>
  <c r="V221" i="6"/>
  <c r="AH221" i="6" s="1"/>
  <c r="AJ221" i="6"/>
  <c r="R227" i="6"/>
  <c r="R229" i="6"/>
  <c r="AA235" i="6"/>
  <c r="T235" i="6"/>
  <c r="Z235" i="6"/>
  <c r="AA250" i="6"/>
  <c r="Z250" i="6"/>
  <c r="AM200" i="6"/>
  <c r="AM203" i="6"/>
  <c r="X205" i="6"/>
  <c r="AM206" i="6"/>
  <c r="X208" i="6"/>
  <c r="V209" i="6"/>
  <c r="AH209" i="6" s="1"/>
  <c r="AM209" i="6"/>
  <c r="AM211" i="6"/>
  <c r="X211" i="6"/>
  <c r="Y211" i="6"/>
  <c r="W211" i="6"/>
  <c r="V214" i="6"/>
  <c r="AH214" i="6" s="1"/>
  <c r="W216" i="6"/>
  <c r="V217" i="6"/>
  <c r="AH217" i="6" s="1"/>
  <c r="AA218" i="6"/>
  <c r="T218" i="6"/>
  <c r="Z218" i="6"/>
  <c r="AM220" i="6"/>
  <c r="X220" i="6"/>
  <c r="Y220" i="6"/>
  <c r="AM224" i="6"/>
  <c r="Y224" i="6"/>
  <c r="Y225" i="6"/>
  <c r="AM225" i="6"/>
  <c r="X225" i="6"/>
  <c r="AG226" i="6"/>
  <c r="W226" i="6"/>
  <c r="V226" i="6"/>
  <c r="AH226" i="6" s="1"/>
  <c r="Y228" i="6"/>
  <c r="AM228" i="6"/>
  <c r="X228" i="6"/>
  <c r="AM230" i="6"/>
  <c r="Y230" i="6"/>
  <c r="X230" i="6"/>
  <c r="W231" i="6"/>
  <c r="T247" i="6"/>
  <c r="AA247" i="6"/>
  <c r="Z247" i="6"/>
  <c r="AA249" i="6"/>
  <c r="T249" i="6"/>
  <c r="Z249" i="6"/>
  <c r="W257" i="6"/>
  <c r="W262" i="6"/>
  <c r="V191" i="6"/>
  <c r="AH191" i="6" s="1"/>
  <c r="AK191" i="6"/>
  <c r="V192" i="6"/>
  <c r="AH192" i="6" s="1"/>
  <c r="V194" i="6"/>
  <c r="AK194" i="6"/>
  <c r="V195" i="6"/>
  <c r="AH195" i="6" s="1"/>
  <c r="V197" i="6"/>
  <c r="AH197" i="6" s="1"/>
  <c r="AK197" i="6"/>
  <c r="V198" i="6"/>
  <c r="AH198" i="6" s="1"/>
  <c r="V210" i="6"/>
  <c r="R212" i="6"/>
  <c r="AM214" i="6"/>
  <c r="X214" i="6"/>
  <c r="Y214" i="6"/>
  <c r="W214" i="6"/>
  <c r="Y216" i="6"/>
  <c r="AM216" i="6"/>
  <c r="X216" i="6"/>
  <c r="W217" i="6"/>
  <c r="V218" i="6"/>
  <c r="AH218" i="6" s="1"/>
  <c r="AM221" i="6"/>
  <c r="Y221" i="6"/>
  <c r="AM223" i="6"/>
  <c r="X223" i="6"/>
  <c r="Y223" i="6"/>
  <c r="R226" i="6"/>
  <c r="V229" i="6"/>
  <c r="AH229" i="6" s="1"/>
  <c r="AA232" i="6"/>
  <c r="T232" i="6"/>
  <c r="Z232" i="6"/>
  <c r="W235" i="6"/>
  <c r="AA236" i="6"/>
  <c r="T236" i="6"/>
  <c r="Z236" i="6"/>
  <c r="AA243" i="6"/>
  <c r="T243" i="6"/>
  <c r="Z243" i="6"/>
  <c r="W254" i="6"/>
  <c r="W259" i="6"/>
  <c r="Y210" i="6"/>
  <c r="AM210" i="6"/>
  <c r="X210" i="6"/>
  <c r="AA215" i="6"/>
  <c r="T215" i="6"/>
  <c r="Z215" i="6"/>
  <c r="AM217" i="6"/>
  <c r="X217" i="6"/>
  <c r="Y217" i="6"/>
  <c r="AM227" i="6"/>
  <c r="Y227" i="6"/>
  <c r="X227" i="6"/>
  <c r="W228" i="6"/>
  <c r="AM229" i="6"/>
  <c r="X229" i="6"/>
  <c r="Y229" i="6"/>
  <c r="Z245" i="6"/>
  <c r="T245" i="6"/>
  <c r="AA245" i="6"/>
  <c r="W263" i="6"/>
  <c r="AG228" i="6"/>
  <c r="AG231" i="6"/>
  <c r="Y232" i="6"/>
  <c r="Y235" i="6"/>
  <c r="V239" i="6"/>
  <c r="AK239" i="6"/>
  <c r="AE242" i="6"/>
  <c r="W244" i="6"/>
  <c r="AF244" i="6"/>
  <c r="AF245" i="6"/>
  <c r="V248" i="6"/>
  <c r="S250" i="6"/>
  <c r="T250" i="6" s="1"/>
  <c r="Q252" i="6"/>
  <c r="R252" i="6" s="1"/>
  <c r="V253" i="6"/>
  <c r="AH253" i="6" s="1"/>
  <c r="W253" i="6"/>
  <c r="Q257" i="6"/>
  <c r="R257" i="6" s="1"/>
  <c r="AD257" i="6"/>
  <c r="V259" i="6"/>
  <c r="AH259" i="6" s="1"/>
  <c r="W260" i="6"/>
  <c r="W264" i="6"/>
  <c r="V266" i="6"/>
  <c r="AH266" i="6" s="1"/>
  <c r="W267" i="6"/>
  <c r="V268" i="6"/>
  <c r="W269" i="6"/>
  <c r="Z270" i="6"/>
  <c r="AA270" i="6"/>
  <c r="T270" i="6"/>
  <c r="AI215" i="6"/>
  <c r="W215" i="6"/>
  <c r="AI218" i="6"/>
  <c r="W218" i="6"/>
  <c r="AI221" i="6"/>
  <c r="W221" i="6"/>
  <c r="AI224" i="6"/>
  <c r="W224" i="6"/>
  <c r="AI227" i="6"/>
  <c r="W227" i="6"/>
  <c r="AI230" i="6"/>
  <c r="W230" i="6"/>
  <c r="AI233" i="6"/>
  <c r="W233" i="6"/>
  <c r="AI236" i="6"/>
  <c r="W236" i="6"/>
  <c r="W239" i="6"/>
  <c r="Q240" i="6"/>
  <c r="R240" i="6" s="1"/>
  <c r="V241" i="6"/>
  <c r="AH241" i="6" s="1"/>
  <c r="Q242" i="6"/>
  <c r="R242" i="6" s="1"/>
  <c r="V243" i="6"/>
  <c r="AI243" i="6"/>
  <c r="W246" i="6"/>
  <c r="W248" i="6"/>
  <c r="V249" i="6"/>
  <c r="AH249" i="6" s="1"/>
  <c r="AI249" i="6"/>
  <c r="V250" i="6"/>
  <c r="Q254" i="6"/>
  <c r="R254" i="6" s="1"/>
  <c r="AD254" i="6"/>
  <c r="V260" i="6"/>
  <c r="AH260" i="6" s="1"/>
  <c r="AG262" i="6"/>
  <c r="V265" i="6"/>
  <c r="AH265" i="6" s="1"/>
  <c r="W270" i="6"/>
  <c r="W272" i="6"/>
  <c r="W241" i="6"/>
  <c r="Q244" i="6"/>
  <c r="R244" i="6" s="1"/>
  <c r="Q251" i="6"/>
  <c r="R251" i="6" s="1"/>
  <c r="AD251" i="6"/>
  <c r="V257" i="6"/>
  <c r="AH257" i="6" s="1"/>
  <c r="AA262" i="6"/>
  <c r="T262" i="6"/>
  <c r="AA278" i="6"/>
  <c r="Z278" i="6"/>
  <c r="T278" i="6"/>
  <c r="V222" i="6"/>
  <c r="AH222" i="6" s="1"/>
  <c r="AJ222" i="6"/>
  <c r="V224" i="6"/>
  <c r="AH224" i="6" s="1"/>
  <c r="V225" i="6"/>
  <c r="AJ225" i="6"/>
  <c r="V227" i="6"/>
  <c r="AH227" i="6" s="1"/>
  <c r="V228" i="6"/>
  <c r="AJ228" i="6"/>
  <c r="V230" i="6"/>
  <c r="AH230" i="6" s="1"/>
  <c r="V231" i="6"/>
  <c r="AJ231" i="6"/>
  <c r="V232" i="6"/>
  <c r="AH232" i="6" s="1"/>
  <c r="V233" i="6"/>
  <c r="AH233" i="6" s="1"/>
  <c r="V234" i="6"/>
  <c r="AH234" i="6" s="1"/>
  <c r="AJ234" i="6"/>
  <c r="V235" i="6"/>
  <c r="AH235" i="6" s="1"/>
  <c r="V236" i="6"/>
  <c r="AH236" i="6" s="1"/>
  <c r="V237" i="6"/>
  <c r="AH237" i="6" s="1"/>
  <c r="AJ237" i="6"/>
  <c r="V238" i="6"/>
  <c r="AH238" i="6" s="1"/>
  <c r="AM238" i="6"/>
  <c r="Q239" i="6"/>
  <c r="R239" i="6" s="1"/>
  <c r="V240" i="6"/>
  <c r="AH240" i="6" s="1"/>
  <c r="AI240" i="6"/>
  <c r="W243" i="6"/>
  <c r="W245" i="6"/>
  <c r="Q246" i="6"/>
  <c r="R246" i="6" s="1"/>
  <c r="V247" i="6"/>
  <c r="AH247" i="6" s="1"/>
  <c r="Q248" i="6"/>
  <c r="R248" i="6" s="1"/>
  <c r="AF251" i="6"/>
  <c r="AE253" i="6"/>
  <c r="V254" i="6"/>
  <c r="AH254" i="6" s="1"/>
  <c r="Q256" i="6"/>
  <c r="R256" i="6" s="1"/>
  <c r="AF256" i="6"/>
  <c r="AG259" i="6"/>
  <c r="AG263" i="6"/>
  <c r="W266" i="6"/>
  <c r="W268" i="6"/>
  <c r="V269" i="6"/>
  <c r="AH269" i="6" s="1"/>
  <c r="W229" i="6"/>
  <c r="X233" i="6"/>
  <c r="W234" i="6"/>
  <c r="X236" i="6"/>
  <c r="W237" i="6"/>
  <c r="W238" i="6"/>
  <c r="AF239" i="6"/>
  <c r="AD240" i="6"/>
  <c r="Q241" i="6"/>
  <c r="R241" i="6" s="1"/>
  <c r="V242" i="6"/>
  <c r="AH242" i="6" s="1"/>
  <c r="AJ246" i="6"/>
  <c r="W247" i="6"/>
  <c r="AF248" i="6"/>
  <c r="AK248" i="6"/>
  <c r="V251" i="6"/>
  <c r="W251" i="6"/>
  <c r="Q253" i="6"/>
  <c r="R253" i="6" s="1"/>
  <c r="AF253" i="6"/>
  <c r="AG256" i="6"/>
  <c r="AA259" i="6"/>
  <c r="T259" i="6"/>
  <c r="V262" i="6"/>
  <c r="W265" i="6"/>
  <c r="AA268" i="6"/>
  <c r="T268" i="6"/>
  <c r="Z268" i="6"/>
  <c r="Q210" i="6"/>
  <c r="R210" i="6" s="1"/>
  <c r="AF210" i="6"/>
  <c r="Q213" i="6"/>
  <c r="R213" i="6" s="1"/>
  <c r="AF213" i="6"/>
  <c r="Q216" i="6"/>
  <c r="R216" i="6" s="1"/>
  <c r="AF216" i="6"/>
  <c r="Q219" i="6"/>
  <c r="R219" i="6" s="1"/>
  <c r="AF219" i="6"/>
  <c r="Q222" i="6"/>
  <c r="R222" i="6" s="1"/>
  <c r="AF222" i="6"/>
  <c r="Q225" i="6"/>
  <c r="R225" i="6" s="1"/>
  <c r="AF225" i="6"/>
  <c r="Q228" i="6"/>
  <c r="R228" i="6" s="1"/>
  <c r="AF228" i="6"/>
  <c r="Q231" i="6"/>
  <c r="R231" i="6" s="1"/>
  <c r="X231" i="6"/>
  <c r="AF231" i="6"/>
  <c r="AM231" i="6"/>
  <c r="X232" i="6"/>
  <c r="Y233" i="6"/>
  <c r="Q234" i="6"/>
  <c r="R234" i="6" s="1"/>
  <c r="X234" i="6"/>
  <c r="AF234" i="6"/>
  <c r="AM234" i="6"/>
  <c r="X235" i="6"/>
  <c r="Y236" i="6"/>
  <c r="Q237" i="6"/>
  <c r="R237" i="6" s="1"/>
  <c r="X237" i="6"/>
  <c r="AF237" i="6"/>
  <c r="AM237" i="6"/>
  <c r="Y238" i="6"/>
  <c r="W240" i="6"/>
  <c r="AK241" i="6"/>
  <c r="W242" i="6"/>
  <c r="V244" i="6"/>
  <c r="AH244" i="6" s="1"/>
  <c r="AE244" i="6"/>
  <c r="V246" i="6"/>
  <c r="AH246" i="6" s="1"/>
  <c r="AI246" i="6"/>
  <c r="AF250" i="6"/>
  <c r="Q255" i="6"/>
  <c r="R255" i="6" s="1"/>
  <c r="V256" i="6"/>
  <c r="AH256" i="6" s="1"/>
  <c r="Z262" i="6"/>
  <c r="V263" i="6"/>
  <c r="AH263" i="6" s="1"/>
  <c r="AA265" i="6"/>
  <c r="T265" i="6"/>
  <c r="Z272" i="6"/>
  <c r="T272" i="6"/>
  <c r="AA272" i="6"/>
  <c r="AI250" i="6"/>
  <c r="AI251" i="6"/>
  <c r="AI253" i="6"/>
  <c r="AI254" i="6"/>
  <c r="AI256" i="6"/>
  <c r="AI257" i="6"/>
  <c r="AI259" i="6"/>
  <c r="AI260" i="6"/>
  <c r="AI262" i="6"/>
  <c r="AI263" i="6"/>
  <c r="AI265" i="6"/>
  <c r="AI266" i="6"/>
  <c r="AI268" i="6"/>
  <c r="AI269" i="6"/>
  <c r="V271" i="6"/>
  <c r="AE271" i="6"/>
  <c r="AM271" i="6"/>
  <c r="S272" i="6"/>
  <c r="AI272" i="6"/>
  <c r="W273" i="6"/>
  <c r="AE273" i="6"/>
  <c r="S275" i="6"/>
  <c r="Q275" i="6"/>
  <c r="R275" i="6" s="1"/>
  <c r="Q276" i="6"/>
  <c r="R276" i="6" s="1"/>
  <c r="Y277" i="6"/>
  <c r="X277" i="6"/>
  <c r="AM277" i="6"/>
  <c r="AF278" i="6"/>
  <c r="S278" i="6"/>
  <c r="Y280" i="6"/>
  <c r="X280" i="6"/>
  <c r="AM280" i="6"/>
  <c r="AK250" i="6"/>
  <c r="AK253" i="6"/>
  <c r="AK256" i="6"/>
  <c r="AK259" i="6"/>
  <c r="AK262" i="6"/>
  <c r="AK265" i="6"/>
  <c r="AK268" i="6"/>
  <c r="W271" i="6"/>
  <c r="AF271" i="6"/>
  <c r="V274" i="6"/>
  <c r="AH274" i="6" s="1"/>
  <c r="AE274" i="6"/>
  <c r="AM274" i="6"/>
  <c r="AK277" i="6"/>
  <c r="AJ277" i="6"/>
  <c r="V278" i="6"/>
  <c r="Q279" i="6"/>
  <c r="R279" i="6" s="1"/>
  <c r="AI281" i="6"/>
  <c r="W281" i="6"/>
  <c r="V281" i="6"/>
  <c r="AH281" i="6" s="1"/>
  <c r="V272" i="6"/>
  <c r="AH272" i="6" s="1"/>
  <c r="Q273" i="6"/>
  <c r="R273" i="6" s="1"/>
  <c r="W274" i="6"/>
  <c r="AF274" i="6"/>
  <c r="V275" i="6"/>
  <c r="AH275" i="6" s="1"/>
  <c r="AI276" i="6"/>
  <c r="W276" i="6"/>
  <c r="V276" i="6"/>
  <c r="AH276" i="6" s="1"/>
  <c r="V285" i="6"/>
  <c r="AH285" i="6" s="1"/>
  <c r="V291" i="6"/>
  <c r="AH291" i="6" s="1"/>
  <c r="Q258" i="6"/>
  <c r="R258" i="6" s="1"/>
  <c r="AF259" i="6"/>
  <c r="Q260" i="6"/>
  <c r="R260" i="6" s="1"/>
  <c r="Q261" i="6"/>
  <c r="R261" i="6" s="1"/>
  <c r="AF262" i="6"/>
  <c r="Q263" i="6"/>
  <c r="R263" i="6" s="1"/>
  <c r="Q264" i="6"/>
  <c r="R264" i="6" s="1"/>
  <c r="AF265" i="6"/>
  <c r="Q266" i="6"/>
  <c r="R266" i="6" s="1"/>
  <c r="Q267" i="6"/>
  <c r="R267" i="6" s="1"/>
  <c r="AF268" i="6"/>
  <c r="Q269" i="6"/>
  <c r="R269" i="6" s="1"/>
  <c r="S271" i="6"/>
  <c r="Q271" i="6"/>
  <c r="R271" i="6" s="1"/>
  <c r="AF273" i="6"/>
  <c r="W275" i="6"/>
  <c r="AK279" i="6"/>
  <c r="AE280" i="6"/>
  <c r="AD280" i="6"/>
  <c r="W280" i="6"/>
  <c r="AF280" i="6"/>
  <c r="Q280" i="6"/>
  <c r="R280" i="6" s="1"/>
  <c r="V273" i="6"/>
  <c r="Q274" i="6"/>
  <c r="R274" i="6" s="1"/>
  <c r="AG278" i="6"/>
  <c r="W278" i="6"/>
  <c r="V252" i="6"/>
  <c r="AH252" i="6" s="1"/>
  <c r="V255" i="6"/>
  <c r="AH255" i="6" s="1"/>
  <c r="V258" i="6"/>
  <c r="AH258" i="6" s="1"/>
  <c r="V261" i="6"/>
  <c r="AH261" i="6" s="1"/>
  <c r="V264" i="6"/>
  <c r="AH264" i="6" s="1"/>
  <c r="V267" i="6"/>
  <c r="AH267" i="6" s="1"/>
  <c r="V270" i="6"/>
  <c r="AH270" i="6" s="1"/>
  <c r="AM273" i="6"/>
  <c r="Y273" i="6"/>
  <c r="AK274" i="6"/>
  <c r="AK275" i="6"/>
  <c r="V277" i="6"/>
  <c r="AH277" i="6" s="1"/>
  <c r="AD278" i="6"/>
  <c r="AE278" i="6"/>
  <c r="Z281" i="6"/>
  <c r="AA281" i="6"/>
  <c r="T281" i="6"/>
  <c r="V282" i="6"/>
  <c r="AH282" i="6" s="1"/>
  <c r="V288" i="6"/>
  <c r="AH288" i="6" s="1"/>
  <c r="AF272" i="6"/>
  <c r="AF275" i="6"/>
  <c r="AE277" i="6"/>
  <c r="AD277" i="6"/>
  <c r="Q277" i="6"/>
  <c r="R277" i="6" s="1"/>
  <c r="AI279" i="6"/>
  <c r="W279" i="6"/>
  <c r="V279" i="6"/>
  <c r="AH279" i="6" s="1"/>
  <c r="AK280" i="6"/>
  <c r="AJ280" i="6"/>
  <c r="AE281" i="6"/>
  <c r="AD281" i="6"/>
  <c r="AF286" i="6"/>
  <c r="AA293" i="6"/>
  <c r="Z293" i="6"/>
  <c r="X296" i="6"/>
  <c r="AM296" i="6"/>
  <c r="AC299" i="6"/>
  <c r="U299" i="6"/>
  <c r="AL299" i="6" s="1"/>
  <c r="AK284" i="6"/>
  <c r="W286" i="6"/>
  <c r="X288" i="6"/>
  <c r="Y288" i="6"/>
  <c r="AK290" i="6"/>
  <c r="AJ290" i="6"/>
  <c r="AD292" i="6"/>
  <c r="V292" i="6"/>
  <c r="AH292" i="6" s="1"/>
  <c r="AE292" i="6"/>
  <c r="W292" i="6"/>
  <c r="Q292" i="6"/>
  <c r="R292" i="6" s="1"/>
  <c r="AC293" i="6"/>
  <c r="U293" i="6"/>
  <c r="AL293" i="6" s="1"/>
  <c r="Q283" i="6"/>
  <c r="R283" i="6" s="1"/>
  <c r="AD283" i="6"/>
  <c r="Z295" i="6"/>
  <c r="T295" i="6"/>
  <c r="AA295" i="6"/>
  <c r="X285" i="6"/>
  <c r="Y285" i="6"/>
  <c r="AK287" i="6"/>
  <c r="AJ287" i="6"/>
  <c r="AM288" i="6"/>
  <c r="AD289" i="6"/>
  <c r="V289" i="6"/>
  <c r="AH289" i="6" s="1"/>
  <c r="AE289" i="6"/>
  <c r="Q289" i="6"/>
  <c r="R289" i="6" s="1"/>
  <c r="W294" i="6"/>
  <c r="V280" i="6"/>
  <c r="X282" i="6"/>
  <c r="Y282" i="6"/>
  <c r="W283" i="6"/>
  <c r="V283" i="6"/>
  <c r="AH283" i="6" s="1"/>
  <c r="AM285" i="6"/>
  <c r="AD286" i="6"/>
  <c r="V286" i="6"/>
  <c r="AH286" i="6" s="1"/>
  <c r="AE286" i="6"/>
  <c r="Q286" i="6"/>
  <c r="R286" i="6" s="1"/>
  <c r="W289" i="6"/>
  <c r="X291" i="6"/>
  <c r="Y291" i="6"/>
  <c r="W297" i="6"/>
  <c r="W301" i="6"/>
  <c r="AD282" i="6"/>
  <c r="AE282" i="6"/>
  <c r="Q282" i="6"/>
  <c r="R282" i="6" s="1"/>
  <c r="V284" i="6"/>
  <c r="AH284" i="6" s="1"/>
  <c r="AI284" i="6"/>
  <c r="W284" i="6"/>
  <c r="AD285" i="6"/>
  <c r="AE285" i="6"/>
  <c r="Q285" i="6"/>
  <c r="R285" i="6" s="1"/>
  <c r="V287" i="6"/>
  <c r="AH287" i="6" s="1"/>
  <c r="AI287" i="6"/>
  <c r="W287" i="6"/>
  <c r="AD288" i="6"/>
  <c r="AE288" i="6"/>
  <c r="Q288" i="6"/>
  <c r="R288" i="6" s="1"/>
  <c r="V290" i="6"/>
  <c r="AH290" i="6" s="1"/>
  <c r="AI290" i="6"/>
  <c r="W290" i="6"/>
  <c r="AD291" i="6"/>
  <c r="AE291" i="6"/>
  <c r="Q291" i="6"/>
  <c r="R291" i="6" s="1"/>
  <c r="AK293" i="6"/>
  <c r="AF295" i="6"/>
  <c r="V297" i="6"/>
  <c r="Z299" i="6"/>
  <c r="AD300" i="6"/>
  <c r="AF300" i="6"/>
  <c r="AE300" i="6"/>
  <c r="Q300" i="6"/>
  <c r="R300" i="6" s="1"/>
  <c r="V301" i="6"/>
  <c r="AH301" i="6" s="1"/>
  <c r="AD294" i="6"/>
  <c r="AF294" i="6"/>
  <c r="AE294" i="6"/>
  <c r="Q294" i="6"/>
  <c r="R294" i="6" s="1"/>
  <c r="V295" i="6"/>
  <c r="AH295" i="6" s="1"/>
  <c r="S295" i="6"/>
  <c r="V296" i="6"/>
  <c r="AH296" i="6" s="1"/>
  <c r="AI296" i="6"/>
  <c r="W296" i="6"/>
  <c r="AA299" i="6"/>
  <c r="AM299" i="6"/>
  <c r="AJ297" i="6"/>
  <c r="AK297" i="6"/>
  <c r="Q298" i="6"/>
  <c r="R298" i="6" s="1"/>
  <c r="AK296" i="6"/>
  <c r="AF298" i="6"/>
  <c r="AJ282" i="6"/>
  <c r="AK282" i="6"/>
  <c r="W282" i="6"/>
  <c r="Q284" i="6"/>
  <c r="R284" i="6" s="1"/>
  <c r="AJ285" i="6"/>
  <c r="AK285" i="6"/>
  <c r="W285" i="6"/>
  <c r="Q287" i="6"/>
  <c r="R287" i="6" s="1"/>
  <c r="AJ288" i="6"/>
  <c r="AK288" i="6"/>
  <c r="W288" i="6"/>
  <c r="Q290" i="6"/>
  <c r="R290" i="6" s="1"/>
  <c r="AJ291" i="6"/>
  <c r="AK291" i="6"/>
  <c r="W291" i="6"/>
  <c r="V293" i="6"/>
  <c r="AH293" i="6" s="1"/>
  <c r="AI293" i="6"/>
  <c r="W293" i="6"/>
  <c r="AD297" i="6"/>
  <c r="AF297" i="6"/>
  <c r="AE297" i="6"/>
  <c r="Q297" i="6"/>
  <c r="R297" i="6" s="1"/>
  <c r="V298" i="6"/>
  <c r="AD298" i="6"/>
  <c r="V299" i="6"/>
  <c r="AH299" i="6" s="1"/>
  <c r="AI299" i="6"/>
  <c r="AN299" i="6" s="1"/>
  <c r="W299" i="6"/>
  <c r="AJ300" i="6"/>
  <c r="AK300" i="6"/>
  <c r="Q301" i="6"/>
  <c r="R301" i="6" s="1"/>
  <c r="Y293" i="6"/>
  <c r="AJ294" i="6"/>
  <c r="AK294" i="6"/>
  <c r="R296" i="6"/>
  <c r="W298" i="6"/>
  <c r="Y299" i="6"/>
  <c r="Y294" i="6"/>
  <c r="Y297" i="6"/>
  <c r="Y300" i="6"/>
  <c r="AC250" i="6" l="1"/>
  <c r="U250" i="6"/>
  <c r="AL250" i="6" s="1"/>
  <c r="U151" i="6"/>
  <c r="AL151" i="6" s="1"/>
  <c r="AN151" i="6" s="1"/>
  <c r="AC151" i="6"/>
  <c r="U129" i="6"/>
  <c r="AL129" i="6" s="1"/>
  <c r="AN129" i="6" s="1"/>
  <c r="AC129" i="6"/>
  <c r="U82" i="6"/>
  <c r="AL82" i="6" s="1"/>
  <c r="AN82" i="6" s="1"/>
  <c r="AC82" i="6"/>
  <c r="U41" i="6"/>
  <c r="AL41" i="6" s="1"/>
  <c r="AN41" i="6" s="1"/>
  <c r="AC41" i="6"/>
  <c r="Z266" i="6"/>
  <c r="T266" i="6"/>
  <c r="AA266" i="6"/>
  <c r="Z260" i="6"/>
  <c r="T260" i="6"/>
  <c r="AA260" i="6"/>
  <c r="AC272" i="6"/>
  <c r="U272" i="6"/>
  <c r="AL272" i="6" s="1"/>
  <c r="Z242" i="6"/>
  <c r="T242" i="6"/>
  <c r="AA242" i="6"/>
  <c r="AA152" i="6"/>
  <c r="Z152" i="6"/>
  <c r="T152" i="6"/>
  <c r="AA296" i="6"/>
  <c r="Z296" i="6"/>
  <c r="T296" i="6"/>
  <c r="Z297" i="6"/>
  <c r="T297" i="6"/>
  <c r="AA297" i="6"/>
  <c r="Z289" i="6"/>
  <c r="T289" i="6"/>
  <c r="AA289" i="6"/>
  <c r="T277" i="6"/>
  <c r="AA277" i="6"/>
  <c r="Z277" i="6"/>
  <c r="AH273" i="6"/>
  <c r="Z279" i="6"/>
  <c r="T279" i="6"/>
  <c r="AA279" i="6"/>
  <c r="Z276" i="6"/>
  <c r="T276" i="6"/>
  <c r="AA276" i="6"/>
  <c r="Z298" i="6"/>
  <c r="T298" i="6"/>
  <c r="AA298" i="6"/>
  <c r="Z291" i="6"/>
  <c r="T291" i="6"/>
  <c r="AA291" i="6"/>
  <c r="Z288" i="6"/>
  <c r="T288" i="6"/>
  <c r="AA288" i="6"/>
  <c r="Z285" i="6"/>
  <c r="T285" i="6"/>
  <c r="AA285" i="6"/>
  <c r="T282" i="6"/>
  <c r="AA282" i="6"/>
  <c r="Z282" i="6"/>
  <c r="T280" i="6"/>
  <c r="AA280" i="6"/>
  <c r="Z280" i="6"/>
  <c r="Z267" i="6"/>
  <c r="AA267" i="6"/>
  <c r="T267" i="6"/>
  <c r="Z261" i="6"/>
  <c r="AA261" i="6"/>
  <c r="T261" i="6"/>
  <c r="T273" i="6"/>
  <c r="AA273" i="6"/>
  <c r="Z273" i="6"/>
  <c r="AH278" i="6"/>
  <c r="Z275" i="6"/>
  <c r="T275" i="6"/>
  <c r="AA275" i="6"/>
  <c r="AA228" i="6"/>
  <c r="T228" i="6"/>
  <c r="Z228" i="6"/>
  <c r="AA219" i="6"/>
  <c r="T219" i="6"/>
  <c r="Z219" i="6"/>
  <c r="Z210" i="6"/>
  <c r="T210" i="6"/>
  <c r="AA210" i="6"/>
  <c r="AC259" i="6"/>
  <c r="U259" i="6"/>
  <c r="AL259" i="6" s="1"/>
  <c r="AH251" i="6"/>
  <c r="D13" i="3"/>
  <c r="H13" i="3"/>
  <c r="AA241" i="6"/>
  <c r="Z241" i="6"/>
  <c r="T241" i="6"/>
  <c r="AH228" i="6"/>
  <c r="AH250" i="6"/>
  <c r="AH243" i="6"/>
  <c r="H53" i="3"/>
  <c r="D53" i="3"/>
  <c r="AN218" i="6"/>
  <c r="Z252" i="6"/>
  <c r="AA252" i="6"/>
  <c r="T252" i="6"/>
  <c r="AA226" i="6"/>
  <c r="Z226" i="6"/>
  <c r="T226" i="6"/>
  <c r="AC218" i="6"/>
  <c r="U218" i="6"/>
  <c r="AL218" i="6" s="1"/>
  <c r="U235" i="6"/>
  <c r="AL235" i="6" s="1"/>
  <c r="AN235" i="6" s="1"/>
  <c r="AC235" i="6"/>
  <c r="AC221" i="6"/>
  <c r="U221" i="6"/>
  <c r="AL221" i="6" s="1"/>
  <c r="AH223" i="6"/>
  <c r="AA220" i="6"/>
  <c r="Z220" i="6"/>
  <c r="T220" i="6"/>
  <c r="AH206" i="6"/>
  <c r="AA202" i="6"/>
  <c r="Z202" i="6"/>
  <c r="T202" i="6"/>
  <c r="U176" i="6"/>
  <c r="AL176" i="6" s="1"/>
  <c r="AC176" i="6"/>
  <c r="AC195" i="6"/>
  <c r="U195" i="6"/>
  <c r="AL195" i="6" s="1"/>
  <c r="AN195" i="6" s="1"/>
  <c r="AH173" i="6"/>
  <c r="U169" i="6"/>
  <c r="AL169" i="6" s="1"/>
  <c r="AN169" i="6" s="1"/>
  <c r="AC169" i="6"/>
  <c r="AC179" i="6"/>
  <c r="U179" i="6"/>
  <c r="AL179" i="6" s="1"/>
  <c r="AN179" i="6" s="1"/>
  <c r="AH204" i="6"/>
  <c r="U177" i="6"/>
  <c r="AL177" i="6" s="1"/>
  <c r="AN177" i="6" s="1"/>
  <c r="AC177" i="6"/>
  <c r="T162" i="6"/>
  <c r="AA162" i="6"/>
  <c r="Z162" i="6"/>
  <c r="T153" i="6"/>
  <c r="AA153" i="6"/>
  <c r="Z153" i="6"/>
  <c r="T128" i="6"/>
  <c r="AA128" i="6"/>
  <c r="Z128" i="6"/>
  <c r="Z127" i="6"/>
  <c r="T127" i="6"/>
  <c r="AA127" i="6"/>
  <c r="Z124" i="6"/>
  <c r="T124" i="6"/>
  <c r="AA124" i="6"/>
  <c r="AH124" i="6"/>
  <c r="D19" i="3"/>
  <c r="H19" i="3"/>
  <c r="AA106" i="6"/>
  <c r="T106" i="6"/>
  <c r="Z106" i="6"/>
  <c r="AA96" i="6"/>
  <c r="Z96" i="6"/>
  <c r="T96" i="6"/>
  <c r="AH105" i="6"/>
  <c r="AC98" i="6"/>
  <c r="U98" i="6"/>
  <c r="AL98" i="6" s="1"/>
  <c r="AA102" i="6"/>
  <c r="Z102" i="6"/>
  <c r="T102" i="6"/>
  <c r="Z92" i="6"/>
  <c r="T92" i="6"/>
  <c r="AA92" i="6"/>
  <c r="Z81" i="6"/>
  <c r="T81" i="6"/>
  <c r="AA81" i="6"/>
  <c r="Z60" i="6"/>
  <c r="T60" i="6"/>
  <c r="AA60" i="6"/>
  <c r="Z54" i="6"/>
  <c r="T54" i="6"/>
  <c r="AA54" i="6"/>
  <c r="Z48" i="6"/>
  <c r="T48" i="6"/>
  <c r="AA48" i="6"/>
  <c r="AH87" i="6"/>
  <c r="AC107" i="6"/>
  <c r="U107" i="6"/>
  <c r="AL107" i="6" s="1"/>
  <c r="AN107" i="6" s="1"/>
  <c r="AA99" i="6"/>
  <c r="Z99" i="6"/>
  <c r="T99" i="6"/>
  <c r="AA46" i="6"/>
  <c r="T46" i="6"/>
  <c r="Z46" i="6"/>
  <c r="AH9" i="6"/>
  <c r="D58" i="3"/>
  <c r="AH3" i="6"/>
  <c r="D44" i="3"/>
  <c r="U66" i="6"/>
  <c r="AL66" i="6" s="1"/>
  <c r="AN66" i="6" s="1"/>
  <c r="AC66" i="6"/>
  <c r="AH30" i="6"/>
  <c r="D54" i="3"/>
  <c r="AH26" i="6"/>
  <c r="D40" i="3"/>
  <c r="AA4" i="6"/>
  <c r="T4" i="6"/>
  <c r="Z4" i="6"/>
  <c r="B9" i="4"/>
  <c r="C9" i="4" s="1"/>
  <c r="AC17" i="6"/>
  <c r="U17" i="6"/>
  <c r="AL17" i="6" s="1"/>
  <c r="AC11" i="6"/>
  <c r="U11" i="6"/>
  <c r="AL11" i="6" s="1"/>
  <c r="U28" i="6"/>
  <c r="AL28" i="6" s="1"/>
  <c r="AN28" i="6" s="1"/>
  <c r="AC28" i="6"/>
  <c r="U16" i="6"/>
  <c r="AL16" i="6" s="1"/>
  <c r="AC16" i="6"/>
  <c r="U88" i="6"/>
  <c r="AL88" i="6" s="1"/>
  <c r="AC88" i="6"/>
  <c r="T27" i="6"/>
  <c r="AA27" i="6"/>
  <c r="Z27" i="6"/>
  <c r="D28" i="3"/>
  <c r="AH23" i="6"/>
  <c r="H18" i="3"/>
  <c r="D18" i="3"/>
  <c r="U69" i="6"/>
  <c r="AL69" i="6" s="1"/>
  <c r="AN69" i="6" s="1"/>
  <c r="AC69" i="6"/>
  <c r="AH28" i="6"/>
  <c r="D39" i="3"/>
  <c r="AA15" i="6"/>
  <c r="T15" i="6"/>
  <c r="Z15" i="6"/>
  <c r="AA9" i="6"/>
  <c r="T9" i="6"/>
  <c r="Z9" i="6"/>
  <c r="T20" i="6"/>
  <c r="AA20" i="6"/>
  <c r="Z20" i="6"/>
  <c r="AC14" i="6"/>
  <c r="U14" i="6"/>
  <c r="AL14" i="6" s="1"/>
  <c r="U22" i="6"/>
  <c r="AL22" i="6" s="1"/>
  <c r="AN22" i="6" s="1"/>
  <c r="AC22" i="6"/>
  <c r="AC281" i="6"/>
  <c r="U281" i="6"/>
  <c r="AL281" i="6" s="1"/>
  <c r="Z133" i="6"/>
  <c r="T133" i="6"/>
  <c r="AA133" i="6"/>
  <c r="Z115" i="6"/>
  <c r="T115" i="6"/>
  <c r="AA115" i="6"/>
  <c r="AA103" i="6"/>
  <c r="T103" i="6"/>
  <c r="Z103" i="6"/>
  <c r="AH53" i="6"/>
  <c r="D26" i="3"/>
  <c r="AH89" i="6"/>
  <c r="D64" i="3"/>
  <c r="U80" i="6"/>
  <c r="AL80" i="6" s="1"/>
  <c r="AN80" i="6" s="1"/>
  <c r="AC80" i="6"/>
  <c r="U74" i="6"/>
  <c r="AL74" i="6" s="1"/>
  <c r="AN74" i="6" s="1"/>
  <c r="AC74" i="6"/>
  <c r="U68" i="6"/>
  <c r="AL68" i="6" s="1"/>
  <c r="AN68" i="6" s="1"/>
  <c r="AC68" i="6"/>
  <c r="U53" i="6"/>
  <c r="AL53" i="6" s="1"/>
  <c r="AN53" i="6" s="1"/>
  <c r="AC53" i="6"/>
  <c r="AH8" i="6"/>
  <c r="D27" i="3"/>
  <c r="AN14" i="6"/>
  <c r="Z286" i="6"/>
  <c r="T286" i="6"/>
  <c r="AA286" i="6"/>
  <c r="AH280" i="6"/>
  <c r="Z271" i="6"/>
  <c r="T271" i="6"/>
  <c r="AA271" i="6"/>
  <c r="AH271" i="6"/>
  <c r="AA225" i="6"/>
  <c r="T225" i="6"/>
  <c r="Z225" i="6"/>
  <c r="AA216" i="6"/>
  <c r="T216" i="6"/>
  <c r="Z216" i="6"/>
  <c r="AC268" i="6"/>
  <c r="U268" i="6"/>
  <c r="AL268" i="6" s="1"/>
  <c r="Z248" i="6"/>
  <c r="T248" i="6"/>
  <c r="AA248" i="6"/>
  <c r="AH268" i="6"/>
  <c r="AH248" i="6"/>
  <c r="AH239" i="6"/>
  <c r="U243" i="6"/>
  <c r="AL243" i="6" s="1"/>
  <c r="AC243" i="6"/>
  <c r="AH194" i="6"/>
  <c r="AA229" i="6"/>
  <c r="Z229" i="6"/>
  <c r="T229" i="6"/>
  <c r="Z204" i="6"/>
  <c r="T204" i="6"/>
  <c r="AA204" i="6"/>
  <c r="AH219" i="6"/>
  <c r="AA211" i="6"/>
  <c r="Z211" i="6"/>
  <c r="T211" i="6"/>
  <c r="AA182" i="6"/>
  <c r="Z182" i="6"/>
  <c r="T182" i="6"/>
  <c r="AH182" i="6"/>
  <c r="AC190" i="6"/>
  <c r="U190" i="6"/>
  <c r="AL190" i="6" s="1"/>
  <c r="AN190" i="6" s="1"/>
  <c r="U178" i="6"/>
  <c r="AL178" i="6" s="1"/>
  <c r="AC178" i="6"/>
  <c r="AH179" i="6"/>
  <c r="Z165" i="6"/>
  <c r="T165" i="6"/>
  <c r="AA165" i="6"/>
  <c r="AC196" i="6"/>
  <c r="U196" i="6"/>
  <c r="AL196" i="6" s="1"/>
  <c r="AN196" i="6" s="1"/>
  <c r="AH176" i="6"/>
  <c r="T161" i="6"/>
  <c r="AA161" i="6"/>
  <c r="Z161" i="6"/>
  <c r="AC167" i="6"/>
  <c r="U167" i="6"/>
  <c r="AL167" i="6" s="1"/>
  <c r="AN167" i="6" s="1"/>
  <c r="AA126" i="6"/>
  <c r="Z126" i="6"/>
  <c r="T126" i="6"/>
  <c r="AA114" i="6"/>
  <c r="Z114" i="6"/>
  <c r="T114" i="6"/>
  <c r="T125" i="6"/>
  <c r="AA125" i="6"/>
  <c r="Z125" i="6"/>
  <c r="AC149" i="6"/>
  <c r="U149" i="6"/>
  <c r="AL149" i="6" s="1"/>
  <c r="AH126" i="6"/>
  <c r="H35" i="3"/>
  <c r="D35" i="3"/>
  <c r="AH100" i="6"/>
  <c r="H36" i="3"/>
  <c r="D36" i="3"/>
  <c r="AH67" i="6"/>
  <c r="D6" i="3"/>
  <c r="H6" i="3"/>
  <c r="U123" i="6"/>
  <c r="AL123" i="6" s="1"/>
  <c r="AN123" i="6" s="1"/>
  <c r="AC123" i="6"/>
  <c r="AN98" i="6"/>
  <c r="AA64" i="6"/>
  <c r="T64" i="6"/>
  <c r="Z64" i="6"/>
  <c r="AA58" i="6"/>
  <c r="T58" i="6"/>
  <c r="Z58" i="6"/>
  <c r="AA52" i="6"/>
  <c r="T52" i="6"/>
  <c r="Z52" i="6"/>
  <c r="U120" i="6"/>
  <c r="AL120" i="6" s="1"/>
  <c r="AN120" i="6" s="1"/>
  <c r="AC120" i="6"/>
  <c r="AH96" i="6"/>
  <c r="AH88" i="6"/>
  <c r="D7" i="3"/>
  <c r="AH84" i="6"/>
  <c r="AC110" i="6"/>
  <c r="U110" i="6"/>
  <c r="AL110" i="6" s="1"/>
  <c r="AN110" i="6" s="1"/>
  <c r="AA95" i="6"/>
  <c r="Z95" i="6"/>
  <c r="T95" i="6"/>
  <c r="AH63" i="6"/>
  <c r="D43" i="3"/>
  <c r="AH45" i="6"/>
  <c r="H57" i="3"/>
  <c r="D57" i="3"/>
  <c r="AH39" i="6"/>
  <c r="H50" i="3"/>
  <c r="D50" i="3"/>
  <c r="B6" i="11"/>
  <c r="B5" i="11"/>
  <c r="B7" i="11" s="1"/>
  <c r="AH2" i="6"/>
  <c r="U78" i="6"/>
  <c r="AL78" i="6" s="1"/>
  <c r="AN78" i="6" s="1"/>
  <c r="AC78" i="6"/>
  <c r="U97" i="6"/>
  <c r="AL97" i="6" s="1"/>
  <c r="AN97" i="6" s="1"/>
  <c r="AC97" i="6"/>
  <c r="U77" i="6"/>
  <c r="AL77" i="6" s="1"/>
  <c r="AN77" i="6" s="1"/>
  <c r="AC77" i="6"/>
  <c r="U71" i="6"/>
  <c r="AL71" i="6" s="1"/>
  <c r="AN71" i="6" s="1"/>
  <c r="AC71" i="6"/>
  <c r="U65" i="6"/>
  <c r="AL65" i="6" s="1"/>
  <c r="AN65" i="6" s="1"/>
  <c r="AC65" i="6"/>
  <c r="U56" i="6"/>
  <c r="AL56" i="6" s="1"/>
  <c r="AC56" i="6"/>
  <c r="T24" i="6"/>
  <c r="AA24" i="6"/>
  <c r="Z24" i="6"/>
  <c r="AH20" i="6"/>
  <c r="D63" i="3"/>
  <c r="U75" i="6"/>
  <c r="AL75" i="6" s="1"/>
  <c r="AN75" i="6" s="1"/>
  <c r="AC75" i="6"/>
  <c r="AA43" i="6"/>
  <c r="T43" i="6"/>
  <c r="Z43" i="6"/>
  <c r="AH31" i="6"/>
  <c r="D11" i="3"/>
  <c r="AH25" i="6"/>
  <c r="D33" i="3"/>
  <c r="AA13" i="6"/>
  <c r="T13" i="6"/>
  <c r="Z13" i="6"/>
  <c r="AA7" i="6"/>
  <c r="T7" i="6"/>
  <c r="Z7" i="6"/>
  <c r="D22" i="3"/>
  <c r="AA3" i="6"/>
  <c r="T3" i="6"/>
  <c r="Z3" i="6"/>
  <c r="T23" i="6"/>
  <c r="AA23" i="6"/>
  <c r="Z23" i="6"/>
  <c r="AC31" i="6"/>
  <c r="U31" i="6"/>
  <c r="AL31" i="6" s="1"/>
  <c r="AN31" i="6" s="1"/>
  <c r="U25" i="6"/>
  <c r="AL25" i="6" s="1"/>
  <c r="AN25" i="6" s="1"/>
  <c r="AC25" i="6"/>
  <c r="D56" i="3"/>
  <c r="D60" i="3"/>
  <c r="U247" i="6"/>
  <c r="AL247" i="6" s="1"/>
  <c r="AN247" i="6" s="1"/>
  <c r="AC247" i="6"/>
  <c r="Z201" i="6"/>
  <c r="T201" i="6"/>
  <c r="AA201" i="6"/>
  <c r="U223" i="6"/>
  <c r="AL223" i="6" s="1"/>
  <c r="AN223" i="6" s="1"/>
  <c r="AC223" i="6"/>
  <c r="AC194" i="6"/>
  <c r="U194" i="6"/>
  <c r="AL194" i="6" s="1"/>
  <c r="AN194" i="6" s="1"/>
  <c r="Z198" i="6"/>
  <c r="T198" i="6"/>
  <c r="AA198" i="6"/>
  <c r="AN173" i="6"/>
  <c r="AN176" i="6"/>
  <c r="U175" i="6"/>
  <c r="AL175" i="6" s="1"/>
  <c r="AN175" i="6" s="1"/>
  <c r="AC175" i="6"/>
  <c r="Z144" i="6"/>
  <c r="AA144" i="6"/>
  <c r="T144" i="6"/>
  <c r="AA90" i="6"/>
  <c r="Z90" i="6"/>
  <c r="T90" i="6"/>
  <c r="U109" i="6"/>
  <c r="AL109" i="6" s="1"/>
  <c r="AN109" i="6" s="1"/>
  <c r="AC109" i="6"/>
  <c r="AH77" i="6"/>
  <c r="D41" i="3"/>
  <c r="AH59" i="6"/>
  <c r="D25" i="3"/>
  <c r="H25" i="3"/>
  <c r="AH14" i="6"/>
  <c r="D29" i="3"/>
  <c r="U72" i="6"/>
  <c r="AL72" i="6" s="1"/>
  <c r="AN72" i="6" s="1"/>
  <c r="AC72" i="6"/>
  <c r="Z301" i="6"/>
  <c r="T301" i="6"/>
  <c r="AA301" i="6"/>
  <c r="AH297" i="6"/>
  <c r="U295" i="6"/>
  <c r="AL295" i="6" s="1"/>
  <c r="AN295" i="6" s="1"/>
  <c r="AC295" i="6"/>
  <c r="Z264" i="6"/>
  <c r="AA264" i="6"/>
  <c r="T264" i="6"/>
  <c r="Z258" i="6"/>
  <c r="AA258" i="6"/>
  <c r="T258" i="6"/>
  <c r="AC265" i="6"/>
  <c r="U265" i="6"/>
  <c r="AL265" i="6" s="1"/>
  <c r="AN265" i="6" s="1"/>
  <c r="Z255" i="6"/>
  <c r="AA255" i="6"/>
  <c r="T255" i="6"/>
  <c r="Z239" i="6"/>
  <c r="T239" i="6"/>
  <c r="AA239" i="6"/>
  <c r="AH231" i="6"/>
  <c r="AH225" i="6"/>
  <c r="AA240" i="6"/>
  <c r="T240" i="6"/>
  <c r="Z240" i="6"/>
  <c r="Z257" i="6"/>
  <c r="T257" i="6"/>
  <c r="AA257" i="6"/>
  <c r="U232" i="6"/>
  <c r="AL232" i="6" s="1"/>
  <c r="AN232" i="6" s="1"/>
  <c r="AC232" i="6"/>
  <c r="AC249" i="6"/>
  <c r="U249" i="6"/>
  <c r="AL249" i="6" s="1"/>
  <c r="AN249" i="6" s="1"/>
  <c r="AA227" i="6"/>
  <c r="T227" i="6"/>
  <c r="H11" i="3" s="1"/>
  <c r="Z227" i="6"/>
  <c r="Z207" i="6"/>
  <c r="T207" i="6"/>
  <c r="AA207" i="6"/>
  <c r="AH207" i="6"/>
  <c r="Z192" i="6"/>
  <c r="T192" i="6"/>
  <c r="AA192" i="6"/>
  <c r="AC206" i="6"/>
  <c r="U206" i="6"/>
  <c r="AL206" i="6" s="1"/>
  <c r="AC203" i="6"/>
  <c r="U203" i="6"/>
  <c r="AL203" i="6" s="1"/>
  <c r="AA199" i="6"/>
  <c r="T199" i="6"/>
  <c r="Z199" i="6"/>
  <c r="Z193" i="6"/>
  <c r="AA193" i="6"/>
  <c r="T193" i="6"/>
  <c r="AC180" i="6"/>
  <c r="U180" i="6"/>
  <c r="AL180" i="6" s="1"/>
  <c r="U186" i="6"/>
  <c r="AL186" i="6" s="1"/>
  <c r="AN186" i="6" s="1"/>
  <c r="AC186" i="6"/>
  <c r="AA159" i="6"/>
  <c r="Z159" i="6"/>
  <c r="T159" i="6"/>
  <c r="AA150" i="6"/>
  <c r="Z150" i="6"/>
  <c r="T150" i="6"/>
  <c r="AC181" i="6"/>
  <c r="U181" i="6"/>
  <c r="AL181" i="6" s="1"/>
  <c r="AN181" i="6" s="1"/>
  <c r="AN149" i="6"/>
  <c r="AC173" i="6"/>
  <c r="U173" i="6"/>
  <c r="AL173" i="6" s="1"/>
  <c r="AA166" i="6"/>
  <c r="T166" i="6"/>
  <c r="Z166" i="6"/>
  <c r="U184" i="6"/>
  <c r="AL184" i="6" s="1"/>
  <c r="AC184" i="6"/>
  <c r="AH170" i="6"/>
  <c r="AH160" i="6"/>
  <c r="Z116" i="6"/>
  <c r="T116" i="6"/>
  <c r="AA116" i="6"/>
  <c r="AA113" i="6"/>
  <c r="T113" i="6"/>
  <c r="H64" i="3" s="1"/>
  <c r="Z113" i="6"/>
  <c r="AA108" i="6"/>
  <c r="Z108" i="6"/>
  <c r="T108" i="6"/>
  <c r="AC168" i="6"/>
  <c r="U168" i="6"/>
  <c r="AL168" i="6" s="1"/>
  <c r="AN168" i="6" s="1"/>
  <c r="U146" i="6"/>
  <c r="AL146" i="6" s="1"/>
  <c r="AC146" i="6"/>
  <c r="AH138" i="6"/>
  <c r="D37" i="3"/>
  <c r="H37" i="3"/>
  <c r="T122" i="6"/>
  <c r="AA122" i="6"/>
  <c r="Z122" i="6"/>
  <c r="AH125" i="6"/>
  <c r="D20" i="3"/>
  <c r="T119" i="6"/>
  <c r="AA119" i="6"/>
  <c r="Z119" i="6"/>
  <c r="AC118" i="6"/>
  <c r="U118" i="6"/>
  <c r="AL118" i="6" s="1"/>
  <c r="AH90" i="6"/>
  <c r="AH64" i="6"/>
  <c r="H55" i="3"/>
  <c r="D55" i="3"/>
  <c r="Z63" i="6"/>
  <c r="T63" i="6"/>
  <c r="AA63" i="6"/>
  <c r="Z57" i="6"/>
  <c r="T57" i="6"/>
  <c r="H58" i="3" s="1"/>
  <c r="AA57" i="6"/>
  <c r="Z51" i="6"/>
  <c r="T51" i="6"/>
  <c r="H54" i="3" s="1"/>
  <c r="AA51" i="6"/>
  <c r="AH102" i="6"/>
  <c r="AA94" i="6"/>
  <c r="T94" i="6"/>
  <c r="Z94" i="6"/>
  <c r="AN86" i="6"/>
  <c r="AN56" i="6"/>
  <c r="R2" i="6"/>
  <c r="AA37" i="6"/>
  <c r="T37" i="6"/>
  <c r="Z37" i="6"/>
  <c r="AH18" i="6"/>
  <c r="D14" i="3"/>
  <c r="AH6" i="6"/>
  <c r="D42" i="3"/>
  <c r="U85" i="6"/>
  <c r="AL85" i="6" s="1"/>
  <c r="AN85" i="6" s="1"/>
  <c r="AC85" i="6"/>
  <c r="AA40" i="6"/>
  <c r="T40" i="6"/>
  <c r="Z40" i="6"/>
  <c r="T32" i="6"/>
  <c r="AA32" i="6"/>
  <c r="Z32" i="6"/>
  <c r="AN11" i="6"/>
  <c r="AH165" i="6"/>
  <c r="AH300" i="6"/>
  <c r="T21" i="6"/>
  <c r="AA21" i="6"/>
  <c r="Z21" i="6"/>
  <c r="Z30" i="6"/>
  <c r="T30" i="6"/>
  <c r="AA30" i="6"/>
  <c r="AH22" i="6"/>
  <c r="D12" i="3"/>
  <c r="T26" i="6"/>
  <c r="AA26" i="6"/>
  <c r="Z26" i="6"/>
  <c r="B8" i="4"/>
  <c r="C8" i="4" s="1"/>
  <c r="U19" i="6"/>
  <c r="AL19" i="6" s="1"/>
  <c r="AN19" i="6" s="1"/>
  <c r="AC19" i="6"/>
  <c r="AC5" i="6"/>
  <c r="U5" i="6"/>
  <c r="AL5" i="6" s="1"/>
  <c r="AN5" i="6" s="1"/>
  <c r="AC34" i="6"/>
  <c r="U34" i="6"/>
  <c r="AL34" i="6" s="1"/>
  <c r="AN34" i="6" s="1"/>
  <c r="H41" i="3"/>
  <c r="U278" i="6"/>
  <c r="AL278" i="6" s="1"/>
  <c r="AN278" i="6" s="1"/>
  <c r="AC278" i="6"/>
  <c r="AH216" i="6"/>
  <c r="AN184" i="6"/>
  <c r="U205" i="6"/>
  <c r="AL205" i="6" s="1"/>
  <c r="AN205" i="6" s="1"/>
  <c r="AC205" i="6"/>
  <c r="AH150" i="6"/>
  <c r="H38" i="3"/>
  <c r="D38" i="3"/>
  <c r="U172" i="6"/>
  <c r="AL172" i="6" s="1"/>
  <c r="AN172" i="6" s="1"/>
  <c r="AC172" i="6"/>
  <c r="AH188" i="6"/>
  <c r="AN146" i="6"/>
  <c r="AN143" i="6"/>
  <c r="U143" i="6"/>
  <c r="AL143" i="6" s="1"/>
  <c r="AC143" i="6"/>
  <c r="U160" i="6"/>
  <c r="AL160" i="6" s="1"/>
  <c r="AC160" i="6"/>
  <c r="Z130" i="6"/>
  <c r="T130" i="6"/>
  <c r="AA130" i="6"/>
  <c r="U135" i="6"/>
  <c r="AL135" i="6" s="1"/>
  <c r="AN135" i="6" s="1"/>
  <c r="AC135" i="6"/>
  <c r="AH83" i="6"/>
  <c r="D47" i="3"/>
  <c r="U117" i="6"/>
  <c r="AL117" i="6" s="1"/>
  <c r="AN117" i="6" s="1"/>
  <c r="AC117" i="6"/>
  <c r="Z84" i="6"/>
  <c r="T84" i="6"/>
  <c r="AA84" i="6"/>
  <c r="U138" i="6"/>
  <c r="AL138" i="6" s="1"/>
  <c r="AN138" i="6" s="1"/>
  <c r="AC138" i="6"/>
  <c r="AC101" i="6"/>
  <c r="U101" i="6"/>
  <c r="AL101" i="6" s="1"/>
  <c r="AN101" i="6" s="1"/>
  <c r="AH65" i="6"/>
  <c r="AH47" i="6"/>
  <c r="H45" i="3"/>
  <c r="D45" i="3"/>
  <c r="AA290" i="6"/>
  <c r="Z290" i="6"/>
  <c r="T290" i="6"/>
  <c r="AH298" i="6"/>
  <c r="AN293" i="6"/>
  <c r="Z294" i="6"/>
  <c r="T294" i="6"/>
  <c r="AA294" i="6"/>
  <c r="Z300" i="6"/>
  <c r="T300" i="6"/>
  <c r="AA300" i="6"/>
  <c r="Z292" i="6"/>
  <c r="T292" i="6"/>
  <c r="AA292" i="6"/>
  <c r="Z274" i="6"/>
  <c r="T274" i="6"/>
  <c r="AA274" i="6"/>
  <c r="Z269" i="6"/>
  <c r="T269" i="6"/>
  <c r="AA269" i="6"/>
  <c r="Z263" i="6"/>
  <c r="T263" i="6"/>
  <c r="AA263" i="6"/>
  <c r="AN281" i="6"/>
  <c r="AN272" i="6"/>
  <c r="AN268" i="6"/>
  <c r="AN259" i="6"/>
  <c r="AN250" i="6"/>
  <c r="AA237" i="6"/>
  <c r="T237" i="6"/>
  <c r="Z237" i="6"/>
  <c r="AA234" i="6"/>
  <c r="T234" i="6"/>
  <c r="H7" i="3" s="1"/>
  <c r="Z234" i="6"/>
  <c r="AA231" i="6"/>
  <c r="T231" i="6"/>
  <c r="Z231" i="6"/>
  <c r="AA222" i="6"/>
  <c r="T222" i="6"/>
  <c r="Z222" i="6"/>
  <c r="Z213" i="6"/>
  <c r="T213" i="6"/>
  <c r="AA213" i="6"/>
  <c r="AA253" i="6"/>
  <c r="T253" i="6"/>
  <c r="Z253" i="6"/>
  <c r="AA256" i="6"/>
  <c r="T256" i="6"/>
  <c r="Z256" i="6"/>
  <c r="AA246" i="6"/>
  <c r="T246" i="6"/>
  <c r="Z246" i="6"/>
  <c r="Z251" i="6"/>
  <c r="T251" i="6"/>
  <c r="AA251" i="6"/>
  <c r="AN221" i="6"/>
  <c r="AC270" i="6"/>
  <c r="U270" i="6"/>
  <c r="AL270" i="6" s="1"/>
  <c r="AN270" i="6" s="1"/>
  <c r="U245" i="6"/>
  <c r="AL245" i="6" s="1"/>
  <c r="AN245" i="6" s="1"/>
  <c r="AC245" i="6"/>
  <c r="Z212" i="6"/>
  <c r="T212" i="6"/>
  <c r="AA212" i="6"/>
  <c r="U214" i="6"/>
  <c r="AL214" i="6" s="1"/>
  <c r="AN214" i="6" s="1"/>
  <c r="AC214" i="6"/>
  <c r="AN203" i="6"/>
  <c r="AA230" i="6"/>
  <c r="T230" i="6"/>
  <c r="Z230" i="6"/>
  <c r="AA197" i="6"/>
  <c r="T197" i="6"/>
  <c r="Z197" i="6"/>
  <c r="AA191" i="6"/>
  <c r="T191" i="6"/>
  <c r="Z191" i="6"/>
  <c r="AH202" i="6"/>
  <c r="H9" i="3"/>
  <c r="D9" i="3"/>
  <c r="AC189" i="6"/>
  <c r="U189" i="6"/>
  <c r="AL189" i="6" s="1"/>
  <c r="AN189" i="6" s="1"/>
  <c r="AC183" i="6"/>
  <c r="U183" i="6"/>
  <c r="AL183" i="6" s="1"/>
  <c r="AN183" i="6" s="1"/>
  <c r="AN178" i="6"/>
  <c r="AC170" i="6"/>
  <c r="U170" i="6"/>
  <c r="AL170" i="6" s="1"/>
  <c r="AN170" i="6" s="1"/>
  <c r="T155" i="6"/>
  <c r="AA155" i="6"/>
  <c r="Z155" i="6"/>
  <c r="AA154" i="6"/>
  <c r="Z154" i="6"/>
  <c r="T154" i="6"/>
  <c r="H20" i="3" s="1"/>
  <c r="Z134" i="6"/>
  <c r="T134" i="6"/>
  <c r="AA134" i="6"/>
  <c r="AC139" i="6"/>
  <c r="U139" i="6"/>
  <c r="AL139" i="6" s="1"/>
  <c r="AN139" i="6" s="1"/>
  <c r="AA141" i="6"/>
  <c r="T141" i="6"/>
  <c r="Z141" i="6"/>
  <c r="AA112" i="6"/>
  <c r="T112" i="6"/>
  <c r="Z112" i="6"/>
  <c r="Z137" i="6"/>
  <c r="T137" i="6"/>
  <c r="AA137" i="6"/>
  <c r="AC158" i="6"/>
  <c r="U158" i="6"/>
  <c r="AL158" i="6" s="1"/>
  <c r="U132" i="6"/>
  <c r="AL132" i="6" s="1"/>
  <c r="AN132" i="6" s="1"/>
  <c r="AC132" i="6"/>
  <c r="AA87" i="6"/>
  <c r="Z87" i="6"/>
  <c r="T87" i="6"/>
  <c r="U100" i="6"/>
  <c r="AL100" i="6" s="1"/>
  <c r="AN100" i="6" s="1"/>
  <c r="AC100" i="6"/>
  <c r="AH61" i="6"/>
  <c r="D10" i="3"/>
  <c r="AH43" i="6"/>
  <c r="D61" i="3"/>
  <c r="AH94" i="6"/>
  <c r="D48" i="3"/>
  <c r="AH108" i="6"/>
  <c r="AH117" i="6"/>
  <c r="AA93" i="6"/>
  <c r="Z93" i="6"/>
  <c r="T93" i="6"/>
  <c r="AN88" i="6"/>
  <c r="AC104" i="6"/>
  <c r="U104" i="6"/>
  <c r="AL104" i="6" s="1"/>
  <c r="AN104" i="6" s="1"/>
  <c r="AH80" i="6"/>
  <c r="H24" i="3"/>
  <c r="D24" i="3"/>
  <c r="AH74" i="6"/>
  <c r="AH68" i="6"/>
  <c r="H21" i="3"/>
  <c r="D21" i="3"/>
  <c r="AH62" i="6"/>
  <c r="D34" i="3"/>
  <c r="H34" i="3"/>
  <c r="AH56" i="6"/>
  <c r="AH50" i="6"/>
  <c r="AC76" i="6"/>
  <c r="U76" i="6"/>
  <c r="AL76" i="6" s="1"/>
  <c r="AN76" i="6" s="1"/>
  <c r="AC70" i="6"/>
  <c r="U70" i="6"/>
  <c r="AL70" i="6" s="1"/>
  <c r="AN70" i="6" s="1"/>
  <c r="U62" i="6"/>
  <c r="AL62" i="6" s="1"/>
  <c r="AN62" i="6" s="1"/>
  <c r="AC62" i="6"/>
  <c r="U47" i="6"/>
  <c r="AL47" i="6" s="1"/>
  <c r="AN47" i="6" s="1"/>
  <c r="AC47" i="6"/>
  <c r="Z42" i="6"/>
  <c r="T42" i="6"/>
  <c r="AA42" i="6"/>
  <c r="AH17" i="6"/>
  <c r="D32" i="3"/>
  <c r="H62" i="3"/>
  <c r="AH11" i="6"/>
  <c r="D62" i="3"/>
  <c r="AH5" i="6"/>
  <c r="D15" i="3"/>
  <c r="AN16" i="6"/>
  <c r="Z45" i="6"/>
  <c r="T45" i="6"/>
  <c r="AA45" i="6"/>
  <c r="Z36" i="6"/>
  <c r="T36" i="6"/>
  <c r="AA36" i="6"/>
  <c r="AH245" i="6"/>
  <c r="AH294" i="6"/>
  <c r="Z39" i="6"/>
  <c r="T39" i="6"/>
  <c r="AA39" i="6"/>
  <c r="AA12" i="6"/>
  <c r="T12" i="6"/>
  <c r="Z12" i="6"/>
  <c r="AA6" i="6"/>
  <c r="T6" i="6"/>
  <c r="Z6" i="6"/>
  <c r="T29" i="6"/>
  <c r="AA29" i="6"/>
  <c r="Z29" i="6"/>
  <c r="AC8" i="6"/>
  <c r="U8" i="6"/>
  <c r="AL8" i="6" s="1"/>
  <c r="U33" i="6"/>
  <c r="AL33" i="6" s="1"/>
  <c r="AN33" i="6" s="1"/>
  <c r="AC33" i="6"/>
  <c r="AH21" i="6"/>
  <c r="D16" i="2" s="1"/>
  <c r="H56" i="3"/>
  <c r="AA287" i="6"/>
  <c r="Z287" i="6"/>
  <c r="T287" i="6"/>
  <c r="H26" i="3" s="1"/>
  <c r="Z283" i="6"/>
  <c r="T283" i="6"/>
  <c r="AA283" i="6"/>
  <c r="AC233" i="6"/>
  <c r="U233" i="6"/>
  <c r="AL233" i="6" s="1"/>
  <c r="AN233" i="6" s="1"/>
  <c r="T156" i="6"/>
  <c r="AA156" i="6"/>
  <c r="Z156" i="6"/>
  <c r="Z284" i="6"/>
  <c r="T284" i="6"/>
  <c r="AA284" i="6"/>
  <c r="AH262" i="6"/>
  <c r="AC262" i="6"/>
  <c r="U262" i="6"/>
  <c r="AL262" i="6" s="1"/>
  <c r="AN262" i="6" s="1"/>
  <c r="T244" i="6"/>
  <c r="AA244" i="6"/>
  <c r="Z244" i="6"/>
  <c r="Z254" i="6"/>
  <c r="T254" i="6"/>
  <c r="AA254" i="6"/>
  <c r="AN243" i="6"/>
  <c r="AC215" i="6"/>
  <c r="U215" i="6"/>
  <c r="AL215" i="6" s="1"/>
  <c r="AN215" i="6" s="1"/>
  <c r="AC236" i="6"/>
  <c r="U236" i="6"/>
  <c r="AL236" i="6" s="1"/>
  <c r="AN236" i="6" s="1"/>
  <c r="AH210" i="6"/>
  <c r="AA217" i="6"/>
  <c r="Z217" i="6"/>
  <c r="T217" i="6"/>
  <c r="AN206" i="6"/>
  <c r="U238" i="6"/>
  <c r="AL238" i="6" s="1"/>
  <c r="AN238" i="6" s="1"/>
  <c r="AC238" i="6"/>
  <c r="AA224" i="6"/>
  <c r="T224" i="6"/>
  <c r="Z224" i="6"/>
  <c r="AC209" i="6"/>
  <c r="U209" i="6"/>
  <c r="AL209" i="6" s="1"/>
  <c r="AN209" i="6" s="1"/>
  <c r="U208" i="6"/>
  <c r="AL208" i="6" s="1"/>
  <c r="AN208" i="6" s="1"/>
  <c r="AC208" i="6"/>
  <c r="AC200" i="6"/>
  <c r="U200" i="6"/>
  <c r="AL200" i="6" s="1"/>
  <c r="AN200" i="6" s="1"/>
  <c r="AN185" i="6"/>
  <c r="AN180" i="6"/>
  <c r="U187" i="6"/>
  <c r="AL187" i="6" s="1"/>
  <c r="AN187" i="6" s="1"/>
  <c r="AC187" i="6"/>
  <c r="AN158" i="6"/>
  <c r="AC174" i="6"/>
  <c r="U174" i="6"/>
  <c r="AL174" i="6" s="1"/>
  <c r="AA148" i="6"/>
  <c r="Z148" i="6"/>
  <c r="T148" i="6"/>
  <c r="Z145" i="6"/>
  <c r="AA145" i="6"/>
  <c r="T145" i="6"/>
  <c r="H40" i="3" s="1"/>
  <c r="Z142" i="6"/>
  <c r="T142" i="6"/>
  <c r="AA142" i="6"/>
  <c r="AN174" i="6"/>
  <c r="AA163" i="6"/>
  <c r="T163" i="6"/>
  <c r="Z163" i="6"/>
  <c r="AN160" i="6"/>
  <c r="Z140" i="6"/>
  <c r="T140" i="6"/>
  <c r="AA140" i="6"/>
  <c r="AC171" i="6"/>
  <c r="U171" i="6"/>
  <c r="AL171" i="6" s="1"/>
  <c r="AN171" i="6" s="1"/>
  <c r="AA131" i="6"/>
  <c r="Z131" i="6"/>
  <c r="T131" i="6"/>
  <c r="AC147" i="6"/>
  <c r="U147" i="6"/>
  <c r="AL147" i="6" s="1"/>
  <c r="AN147" i="6" s="1"/>
  <c r="AA111" i="6"/>
  <c r="Z111" i="6"/>
  <c r="T111" i="6"/>
  <c r="AA105" i="6"/>
  <c r="Z105" i="6"/>
  <c r="T105" i="6"/>
  <c r="AC164" i="6"/>
  <c r="U164" i="6"/>
  <c r="AL164" i="6" s="1"/>
  <c r="AN164" i="6" s="1"/>
  <c r="AC136" i="6"/>
  <c r="U136" i="6"/>
  <c r="AL136" i="6" s="1"/>
  <c r="AN136" i="6" s="1"/>
  <c r="AH112" i="6"/>
  <c r="H17" i="3"/>
  <c r="D17" i="3"/>
  <c r="AN118" i="6"/>
  <c r="AH99" i="6"/>
  <c r="D16" i="3"/>
  <c r="H16" i="3"/>
  <c r="AN73" i="6"/>
  <c r="AH76" i="6"/>
  <c r="H8" i="3"/>
  <c r="D8" i="3"/>
  <c r="AH40" i="6"/>
  <c r="H52" i="3"/>
  <c r="D52" i="3"/>
  <c r="AC121" i="6"/>
  <c r="U121" i="6"/>
  <c r="AL121" i="6" s="1"/>
  <c r="AN121" i="6" s="1"/>
  <c r="T83" i="6"/>
  <c r="AA83" i="6"/>
  <c r="Z83" i="6"/>
  <c r="AA61" i="6"/>
  <c r="T61" i="6"/>
  <c r="H10" i="3" s="1"/>
  <c r="Z61" i="6"/>
  <c r="AA55" i="6"/>
  <c r="T55" i="6"/>
  <c r="Z55" i="6"/>
  <c r="AA49" i="6"/>
  <c r="T49" i="6"/>
  <c r="Z49" i="6"/>
  <c r="AH72" i="6"/>
  <c r="H46" i="3"/>
  <c r="D46" i="3"/>
  <c r="AH48" i="6"/>
  <c r="H51" i="3"/>
  <c r="D51" i="3"/>
  <c r="AH42" i="6"/>
  <c r="H23" i="3"/>
  <c r="D23" i="3"/>
  <c r="H61" i="3"/>
  <c r="AA44" i="6"/>
  <c r="T44" i="6"/>
  <c r="Z44" i="6"/>
  <c r="AA35" i="6"/>
  <c r="T35" i="6"/>
  <c r="H27" i="3" s="1"/>
  <c r="Z35" i="6"/>
  <c r="AN17" i="6"/>
  <c r="AN8" i="6"/>
  <c r="AH201" i="6"/>
  <c r="AH95" i="6"/>
  <c r="D31" i="3"/>
  <c r="H31" i="3"/>
  <c r="AC79" i="6"/>
  <c r="U79" i="6"/>
  <c r="AL79" i="6" s="1"/>
  <c r="AN79" i="6" s="1"/>
  <c r="AC73" i="6"/>
  <c r="U73" i="6"/>
  <c r="AL73" i="6" s="1"/>
  <c r="AC67" i="6"/>
  <c r="U67" i="6"/>
  <c r="AL67" i="6" s="1"/>
  <c r="AN67" i="6" s="1"/>
  <c r="U59" i="6"/>
  <c r="AL59" i="6" s="1"/>
  <c r="AN59" i="6" s="1"/>
  <c r="AC59" i="6"/>
  <c r="U50" i="6"/>
  <c r="AL50" i="6" s="1"/>
  <c r="AN50" i="6" s="1"/>
  <c r="AC50" i="6"/>
  <c r="AH29" i="6"/>
  <c r="D30" i="3"/>
  <c r="U91" i="6"/>
  <c r="AL91" i="6" s="1"/>
  <c r="AN91" i="6" s="1"/>
  <c r="AC91" i="6"/>
  <c r="AA38" i="6"/>
  <c r="T38" i="6"/>
  <c r="Z38" i="6"/>
  <c r="AH34" i="6"/>
  <c r="D59" i="3"/>
  <c r="AA18" i="6"/>
  <c r="T18" i="6"/>
  <c r="Z18" i="6"/>
  <c r="AA10" i="6"/>
  <c r="T10" i="6"/>
  <c r="Z10" i="6"/>
  <c r="AH98" i="6"/>
  <c r="H49" i="3"/>
  <c r="D49" i="3"/>
  <c r="I27" i="3" l="1"/>
  <c r="J27" i="3"/>
  <c r="I20" i="3"/>
  <c r="J20" i="3"/>
  <c r="I11" i="3"/>
  <c r="J11" i="3"/>
  <c r="I10" i="3"/>
  <c r="J10" i="3"/>
  <c r="I54" i="3"/>
  <c r="J54" i="3"/>
  <c r="I58" i="3"/>
  <c r="J58" i="3"/>
  <c r="I64" i="3"/>
  <c r="J64" i="3"/>
  <c r="I7" i="3"/>
  <c r="J7" i="3"/>
  <c r="I40" i="3"/>
  <c r="J40" i="3"/>
  <c r="I26" i="3"/>
  <c r="J26" i="3"/>
  <c r="I31" i="3"/>
  <c r="J31" i="3"/>
  <c r="I46" i="3"/>
  <c r="J46" i="3"/>
  <c r="AC55" i="6"/>
  <c r="U55" i="6"/>
  <c r="AL55" i="6" s="1"/>
  <c r="AN55" i="6" s="1"/>
  <c r="I17" i="3"/>
  <c r="J17" i="3"/>
  <c r="AC156" i="6"/>
  <c r="U156" i="6"/>
  <c r="AL156" i="6" s="1"/>
  <c r="AN156" i="6" s="1"/>
  <c r="U283" i="6"/>
  <c r="AL283" i="6" s="1"/>
  <c r="AN283" i="6" s="1"/>
  <c r="AC283" i="6"/>
  <c r="I56" i="3"/>
  <c r="J56" i="3"/>
  <c r="E32" i="3"/>
  <c r="F32" i="3"/>
  <c r="I21" i="3"/>
  <c r="J21" i="3"/>
  <c r="U137" i="6"/>
  <c r="AL137" i="6" s="1"/>
  <c r="AN137" i="6" s="1"/>
  <c r="AC137" i="6"/>
  <c r="U134" i="6"/>
  <c r="AL134" i="6" s="1"/>
  <c r="AN134" i="6" s="1"/>
  <c r="AC134" i="6"/>
  <c r="E45" i="3"/>
  <c r="F45" i="3"/>
  <c r="I38" i="3"/>
  <c r="J38" i="3"/>
  <c r="U32" i="6"/>
  <c r="AL32" i="6" s="1"/>
  <c r="AN32" i="6" s="1"/>
  <c r="AC32" i="6"/>
  <c r="H42" i="3"/>
  <c r="I37" i="3"/>
  <c r="J37" i="3"/>
  <c r="U150" i="6"/>
  <c r="AL150" i="6" s="1"/>
  <c r="AN150" i="6" s="1"/>
  <c r="AC150" i="6"/>
  <c r="AC257" i="6"/>
  <c r="U257" i="6"/>
  <c r="AL257" i="6" s="1"/>
  <c r="AN257" i="6" s="1"/>
  <c r="AC258" i="6"/>
  <c r="U258" i="6"/>
  <c r="AL258" i="6" s="1"/>
  <c r="AN258" i="6" s="1"/>
  <c r="E25" i="3"/>
  <c r="F25" i="3"/>
  <c r="U90" i="6"/>
  <c r="AL90" i="6" s="1"/>
  <c r="AN90" i="6" s="1"/>
  <c r="AC90" i="6"/>
  <c r="AC23" i="6"/>
  <c r="U23" i="6"/>
  <c r="AL23" i="6" s="1"/>
  <c r="AN23" i="6" s="1"/>
  <c r="E22" i="3"/>
  <c r="F22" i="3"/>
  <c r="E11" i="3"/>
  <c r="F11" i="3"/>
  <c r="AC24" i="6"/>
  <c r="U24" i="6"/>
  <c r="AL24" i="6" s="1"/>
  <c r="AN24" i="6" s="1"/>
  <c r="H60" i="3"/>
  <c r="U114" i="6"/>
  <c r="AL114" i="6" s="1"/>
  <c r="AN114" i="6" s="1"/>
  <c r="AC114" i="6"/>
  <c r="AC204" i="6"/>
  <c r="U204" i="6"/>
  <c r="AL204" i="6" s="1"/>
  <c r="AN204" i="6" s="1"/>
  <c r="AC271" i="6"/>
  <c r="U271" i="6"/>
  <c r="AL271" i="6" s="1"/>
  <c r="AN271" i="6" s="1"/>
  <c r="E27" i="3"/>
  <c r="F27" i="3"/>
  <c r="I17" i="2"/>
  <c r="H17" i="2"/>
  <c r="G17" i="2"/>
  <c r="AC133" i="6"/>
  <c r="U133" i="6"/>
  <c r="AL133" i="6" s="1"/>
  <c r="AN133" i="6" s="1"/>
  <c r="E39" i="3"/>
  <c r="F39" i="3"/>
  <c r="U96" i="6"/>
  <c r="AL96" i="6" s="1"/>
  <c r="AN96" i="6" s="1"/>
  <c r="AC96" i="6"/>
  <c r="I19" i="3"/>
  <c r="J19" i="3"/>
  <c r="AC153" i="6"/>
  <c r="U153" i="6"/>
  <c r="AL153" i="6" s="1"/>
  <c r="AN153" i="6" s="1"/>
  <c r="I53" i="3"/>
  <c r="J53" i="3"/>
  <c r="AC275" i="6"/>
  <c r="U275" i="6"/>
  <c r="AL275" i="6" s="1"/>
  <c r="AN275" i="6" s="1"/>
  <c r="AC261" i="6"/>
  <c r="U261" i="6"/>
  <c r="AL261" i="6" s="1"/>
  <c r="AN261" i="6" s="1"/>
  <c r="AC276" i="6"/>
  <c r="U276" i="6"/>
  <c r="AL276" i="6" s="1"/>
  <c r="AN276" i="6" s="1"/>
  <c r="AC266" i="6"/>
  <c r="U266" i="6"/>
  <c r="AL266" i="6" s="1"/>
  <c r="AN266" i="6" s="1"/>
  <c r="I52" i="3"/>
  <c r="J52" i="3"/>
  <c r="U39" i="6"/>
  <c r="AL39" i="6" s="1"/>
  <c r="AN39" i="6" s="1"/>
  <c r="AC39" i="6"/>
  <c r="U36" i="6"/>
  <c r="AL36" i="6" s="1"/>
  <c r="AN36" i="6" s="1"/>
  <c r="AC36" i="6"/>
  <c r="I61" i="3"/>
  <c r="J61" i="3"/>
  <c r="F8" i="3"/>
  <c r="N8" i="3"/>
  <c r="E8" i="3"/>
  <c r="I16" i="3"/>
  <c r="J16" i="3"/>
  <c r="AC105" i="6"/>
  <c r="U105" i="6"/>
  <c r="AL105" i="6" s="1"/>
  <c r="AN105" i="6" s="1"/>
  <c r="U148" i="6"/>
  <c r="AL148" i="6" s="1"/>
  <c r="AN148" i="6" s="1"/>
  <c r="AC148" i="6"/>
  <c r="U217" i="6"/>
  <c r="AL217" i="6" s="1"/>
  <c r="AN217" i="6" s="1"/>
  <c r="AC217" i="6"/>
  <c r="AC12" i="6"/>
  <c r="U12" i="6"/>
  <c r="AL12" i="6" s="1"/>
  <c r="AN12" i="6" s="1"/>
  <c r="U141" i="6"/>
  <c r="AL141" i="6" s="1"/>
  <c r="AN141" i="6" s="1"/>
  <c r="AC141" i="6"/>
  <c r="AC155" i="6"/>
  <c r="U155" i="6"/>
  <c r="AL155" i="6" s="1"/>
  <c r="AN155" i="6" s="1"/>
  <c r="AC191" i="6"/>
  <c r="U191" i="6"/>
  <c r="AL191" i="6" s="1"/>
  <c r="AN191" i="6" s="1"/>
  <c r="AC230" i="6"/>
  <c r="U230" i="6"/>
  <c r="AL230" i="6" s="1"/>
  <c r="AN230" i="6" s="1"/>
  <c r="AC263" i="6"/>
  <c r="U263" i="6"/>
  <c r="AL263" i="6" s="1"/>
  <c r="AN263" i="6" s="1"/>
  <c r="AC274" i="6"/>
  <c r="U274" i="6"/>
  <c r="AL274" i="6" s="1"/>
  <c r="AN274" i="6" s="1"/>
  <c r="AC290" i="6"/>
  <c r="U290" i="6"/>
  <c r="AL290" i="6" s="1"/>
  <c r="AN290" i="6" s="1"/>
  <c r="U30" i="6"/>
  <c r="AL30" i="6" s="1"/>
  <c r="AN30" i="6" s="1"/>
  <c r="AC30" i="6"/>
  <c r="E14" i="3"/>
  <c r="F14" i="3"/>
  <c r="E37" i="3"/>
  <c r="F37" i="3"/>
  <c r="AC108" i="6"/>
  <c r="U108" i="6"/>
  <c r="AL108" i="6" s="1"/>
  <c r="AN108" i="6" s="1"/>
  <c r="B16" i="2"/>
  <c r="E33" i="3"/>
  <c r="F33" i="3"/>
  <c r="D5" i="3"/>
  <c r="E57" i="3"/>
  <c r="F57" i="3"/>
  <c r="AC95" i="6"/>
  <c r="U95" i="6"/>
  <c r="AL95" i="6" s="1"/>
  <c r="AN95" i="6" s="1"/>
  <c r="I6" i="3"/>
  <c r="J6" i="3"/>
  <c r="E36" i="3"/>
  <c r="F36" i="3"/>
  <c r="AC161" i="6"/>
  <c r="U161" i="6"/>
  <c r="AL161" i="6" s="1"/>
  <c r="AN161" i="6" s="1"/>
  <c r="U211" i="6"/>
  <c r="AL211" i="6" s="1"/>
  <c r="AN211" i="6" s="1"/>
  <c r="AC211" i="6"/>
  <c r="AC9" i="6"/>
  <c r="U9" i="6"/>
  <c r="AL9" i="6" s="1"/>
  <c r="AN9" i="6" s="1"/>
  <c r="E28" i="3"/>
  <c r="F28" i="3"/>
  <c r="E44" i="3"/>
  <c r="F44" i="3"/>
  <c r="U48" i="6"/>
  <c r="AL48" i="6" s="1"/>
  <c r="AN48" i="6" s="1"/>
  <c r="AC48" i="6"/>
  <c r="U60" i="6"/>
  <c r="AL60" i="6" s="1"/>
  <c r="AN60" i="6" s="1"/>
  <c r="AC60" i="6"/>
  <c r="AC92" i="6"/>
  <c r="U92" i="6"/>
  <c r="AL92" i="6" s="1"/>
  <c r="AN92" i="6" s="1"/>
  <c r="E19" i="3"/>
  <c r="F19" i="3"/>
  <c r="AC127" i="6"/>
  <c r="U127" i="6"/>
  <c r="AL127" i="6" s="1"/>
  <c r="AN127" i="6" s="1"/>
  <c r="AC128" i="6"/>
  <c r="U128" i="6"/>
  <c r="AL128" i="6" s="1"/>
  <c r="AN128" i="6" s="1"/>
  <c r="I13" i="3"/>
  <c r="J13" i="3"/>
  <c r="U210" i="6"/>
  <c r="AL210" i="6" s="1"/>
  <c r="AN210" i="6" s="1"/>
  <c r="AC210" i="6"/>
  <c r="AC228" i="6"/>
  <c r="U228" i="6"/>
  <c r="AL228" i="6" s="1"/>
  <c r="AN228" i="6" s="1"/>
  <c r="AC285" i="6"/>
  <c r="U285" i="6"/>
  <c r="AL285" i="6" s="1"/>
  <c r="AN285" i="6" s="1"/>
  <c r="AC291" i="6"/>
  <c r="U291" i="6"/>
  <c r="AL291" i="6" s="1"/>
  <c r="AN291" i="6" s="1"/>
  <c r="U297" i="6"/>
  <c r="AL297" i="6" s="1"/>
  <c r="AN297" i="6" s="1"/>
  <c r="AC297" i="6"/>
  <c r="AC152" i="6"/>
  <c r="U152" i="6"/>
  <c r="AL152" i="6" s="1"/>
  <c r="AN152" i="6" s="1"/>
  <c r="U242" i="6"/>
  <c r="AL242" i="6" s="1"/>
  <c r="AN242" i="6" s="1"/>
  <c r="AC242" i="6"/>
  <c r="E46" i="3"/>
  <c r="F46" i="3"/>
  <c r="AC140" i="6"/>
  <c r="U140" i="6"/>
  <c r="AL140" i="6" s="1"/>
  <c r="AN140" i="6" s="1"/>
  <c r="I23" i="3"/>
  <c r="J23" i="3"/>
  <c r="E51" i="3"/>
  <c r="F51" i="3"/>
  <c r="E15" i="3"/>
  <c r="F15" i="3"/>
  <c r="U42" i="6"/>
  <c r="AL42" i="6" s="1"/>
  <c r="AN42" i="6" s="1"/>
  <c r="AC42" i="6"/>
  <c r="I34" i="3"/>
  <c r="J34" i="3"/>
  <c r="E48" i="3"/>
  <c r="F48" i="3"/>
  <c r="E10" i="3"/>
  <c r="F10" i="3"/>
  <c r="U154" i="6"/>
  <c r="AL154" i="6" s="1"/>
  <c r="AN154" i="6" s="1"/>
  <c r="AC154" i="6"/>
  <c r="AC212" i="6"/>
  <c r="U212" i="6"/>
  <c r="AL212" i="6" s="1"/>
  <c r="AN212" i="6" s="1"/>
  <c r="AC246" i="6"/>
  <c r="U246" i="6"/>
  <c r="AL246" i="6" s="1"/>
  <c r="AN246" i="6" s="1"/>
  <c r="AC253" i="6"/>
  <c r="U253" i="6"/>
  <c r="AL253" i="6" s="1"/>
  <c r="AN253" i="6" s="1"/>
  <c r="AC222" i="6"/>
  <c r="U222" i="6"/>
  <c r="AL222" i="6" s="1"/>
  <c r="AN222" i="6" s="1"/>
  <c r="AC234" i="6"/>
  <c r="U234" i="6"/>
  <c r="AL234" i="6" s="1"/>
  <c r="AN234" i="6" s="1"/>
  <c r="AC294" i="6"/>
  <c r="U294" i="6"/>
  <c r="AL294" i="6" s="1"/>
  <c r="AN294" i="6" s="1"/>
  <c r="AC26" i="6"/>
  <c r="U26" i="6"/>
  <c r="AL26" i="6" s="1"/>
  <c r="AN26" i="6" s="1"/>
  <c r="AC40" i="6"/>
  <c r="U40" i="6"/>
  <c r="AL40" i="6" s="1"/>
  <c r="AN40" i="6" s="1"/>
  <c r="AC37" i="6"/>
  <c r="U37" i="6"/>
  <c r="AL37" i="6" s="1"/>
  <c r="AN37" i="6" s="1"/>
  <c r="U51" i="6"/>
  <c r="AL51" i="6" s="1"/>
  <c r="AN51" i="6" s="1"/>
  <c r="AC51" i="6"/>
  <c r="U63" i="6"/>
  <c r="AL63" i="6" s="1"/>
  <c r="AN63" i="6" s="1"/>
  <c r="AC63" i="6"/>
  <c r="AC199" i="6"/>
  <c r="U199" i="6"/>
  <c r="AL199" i="6" s="1"/>
  <c r="AN199" i="6" s="1"/>
  <c r="AC207" i="6"/>
  <c r="U207" i="6"/>
  <c r="AL207" i="6" s="1"/>
  <c r="AN207" i="6" s="1"/>
  <c r="U239" i="6"/>
  <c r="AL239" i="6" s="1"/>
  <c r="AN239" i="6" s="1"/>
  <c r="AC239" i="6"/>
  <c r="E29" i="3"/>
  <c r="F29" i="3"/>
  <c r="E41" i="3"/>
  <c r="F41" i="3"/>
  <c r="AC198" i="6"/>
  <c r="U198" i="6"/>
  <c r="AL198" i="6" s="1"/>
  <c r="AN198" i="6" s="1"/>
  <c r="C16" i="2"/>
  <c r="U7" i="6"/>
  <c r="AL7" i="6" s="1"/>
  <c r="AN7" i="6" s="1"/>
  <c r="AC7" i="6"/>
  <c r="H22" i="3"/>
  <c r="H33" i="3"/>
  <c r="E63" i="3"/>
  <c r="F63" i="3"/>
  <c r="I57" i="3"/>
  <c r="J57" i="3"/>
  <c r="N7" i="3"/>
  <c r="E7" i="3"/>
  <c r="F7" i="3"/>
  <c r="AC52" i="6"/>
  <c r="U52" i="6"/>
  <c r="AL52" i="6" s="1"/>
  <c r="AN52" i="6" s="1"/>
  <c r="AC64" i="6"/>
  <c r="U64" i="6"/>
  <c r="AL64" i="6" s="1"/>
  <c r="AN64" i="6" s="1"/>
  <c r="F6" i="3"/>
  <c r="E6" i="3"/>
  <c r="N6" i="3"/>
  <c r="I36" i="3"/>
  <c r="J36" i="3"/>
  <c r="U165" i="6"/>
  <c r="AL165" i="6" s="1"/>
  <c r="AN165" i="6" s="1"/>
  <c r="AC165" i="6"/>
  <c r="U229" i="6"/>
  <c r="AL229" i="6" s="1"/>
  <c r="AN229" i="6" s="1"/>
  <c r="AC229" i="6"/>
  <c r="AC216" i="6"/>
  <c r="U216" i="6"/>
  <c r="AL216" i="6" s="1"/>
  <c r="AN216" i="6" s="1"/>
  <c r="U4" i="6"/>
  <c r="AL4" i="6" s="1"/>
  <c r="AN4" i="6" s="1"/>
  <c r="AC4" i="6"/>
  <c r="D19" i="2"/>
  <c r="I16" i="2"/>
  <c r="B19" i="2"/>
  <c r="G16" i="2"/>
  <c r="C19" i="2"/>
  <c r="H16" i="2"/>
  <c r="U226" i="6"/>
  <c r="AL226" i="6" s="1"/>
  <c r="AN226" i="6" s="1"/>
  <c r="AC226" i="6"/>
  <c r="E13" i="3"/>
  <c r="F13" i="3"/>
  <c r="U280" i="6"/>
  <c r="AL280" i="6" s="1"/>
  <c r="AN280" i="6" s="1"/>
  <c r="AC280" i="6"/>
  <c r="AC277" i="6"/>
  <c r="U277" i="6"/>
  <c r="AL277" i="6" s="1"/>
  <c r="AN277" i="6" s="1"/>
  <c r="E17" i="3"/>
  <c r="F17" i="3"/>
  <c r="AC254" i="6"/>
  <c r="U254" i="6"/>
  <c r="AL254" i="6" s="1"/>
  <c r="AN254" i="6" s="1"/>
  <c r="H30" i="3"/>
  <c r="E31" i="3"/>
  <c r="F31" i="3"/>
  <c r="U35" i="6"/>
  <c r="AL35" i="6" s="1"/>
  <c r="AN35" i="6" s="1"/>
  <c r="AC35" i="6"/>
  <c r="AC83" i="6"/>
  <c r="U83" i="6"/>
  <c r="AL83" i="6" s="1"/>
  <c r="AN83" i="6" s="1"/>
  <c r="E16" i="3"/>
  <c r="F16" i="3"/>
  <c r="AC142" i="6"/>
  <c r="U142" i="6"/>
  <c r="AL142" i="6" s="1"/>
  <c r="AN142" i="6" s="1"/>
  <c r="AC224" i="6"/>
  <c r="U224" i="6"/>
  <c r="AL224" i="6" s="1"/>
  <c r="AN224" i="6" s="1"/>
  <c r="AC284" i="6"/>
  <c r="U284" i="6"/>
  <c r="AL284" i="6" s="1"/>
  <c r="AN284" i="6" s="1"/>
  <c r="AC287" i="6"/>
  <c r="U287" i="6"/>
  <c r="AL287" i="6" s="1"/>
  <c r="AN287" i="6" s="1"/>
  <c r="AC29" i="6"/>
  <c r="U29" i="6"/>
  <c r="AL29" i="6" s="1"/>
  <c r="AN29" i="6" s="1"/>
  <c r="U45" i="6"/>
  <c r="AL45" i="6" s="1"/>
  <c r="AN45" i="6" s="1"/>
  <c r="AC45" i="6"/>
  <c r="E59" i="3"/>
  <c r="F59" i="3"/>
  <c r="I51" i="3"/>
  <c r="J51" i="3"/>
  <c r="AC49" i="6"/>
  <c r="U49" i="6"/>
  <c r="AL49" i="6" s="1"/>
  <c r="AN49" i="6" s="1"/>
  <c r="H59" i="3"/>
  <c r="AC61" i="6"/>
  <c r="U61" i="6"/>
  <c r="AL61" i="6" s="1"/>
  <c r="AN61" i="6" s="1"/>
  <c r="U131" i="6"/>
  <c r="AL131" i="6" s="1"/>
  <c r="AN131" i="6" s="1"/>
  <c r="AC131" i="6"/>
  <c r="U163" i="6"/>
  <c r="AL163" i="6" s="1"/>
  <c r="AN163" i="6" s="1"/>
  <c r="AC163" i="6"/>
  <c r="U244" i="6"/>
  <c r="AL244" i="6" s="1"/>
  <c r="AN244" i="6" s="1"/>
  <c r="AC244" i="6"/>
  <c r="H15" i="3"/>
  <c r="E62" i="3"/>
  <c r="F62" i="3"/>
  <c r="E34" i="3"/>
  <c r="F34" i="3"/>
  <c r="E24" i="3"/>
  <c r="F24" i="3"/>
  <c r="U93" i="6"/>
  <c r="AL93" i="6" s="1"/>
  <c r="AN93" i="6" s="1"/>
  <c r="AC93" i="6"/>
  <c r="H48" i="3"/>
  <c r="U87" i="6"/>
  <c r="AL87" i="6" s="1"/>
  <c r="AN87" i="6" s="1"/>
  <c r="AC87" i="6"/>
  <c r="F9" i="3"/>
  <c r="E9" i="3"/>
  <c r="N9" i="3"/>
  <c r="I45" i="3"/>
  <c r="J45" i="3"/>
  <c r="E12" i="3"/>
  <c r="F12" i="3"/>
  <c r="U116" i="6"/>
  <c r="AL116" i="6" s="1"/>
  <c r="AN116" i="6" s="1"/>
  <c r="AC116" i="6"/>
  <c r="U159" i="6"/>
  <c r="AL159" i="6" s="1"/>
  <c r="AN159" i="6" s="1"/>
  <c r="AC159" i="6"/>
  <c r="AC192" i="6"/>
  <c r="U192" i="6"/>
  <c r="AL192" i="6" s="1"/>
  <c r="AN192" i="6" s="1"/>
  <c r="U240" i="6"/>
  <c r="AL240" i="6" s="1"/>
  <c r="AN240" i="6" s="1"/>
  <c r="AC240" i="6"/>
  <c r="AC264" i="6"/>
  <c r="U264" i="6"/>
  <c r="AL264" i="6" s="1"/>
  <c r="AN264" i="6" s="1"/>
  <c r="H29" i="3"/>
  <c r="AC201" i="6"/>
  <c r="U201" i="6"/>
  <c r="AL201" i="6" s="1"/>
  <c r="AN201" i="6" s="1"/>
  <c r="AC3" i="6"/>
  <c r="U3" i="6"/>
  <c r="AL3" i="6" s="1"/>
  <c r="AN3" i="6" s="1"/>
  <c r="AC248" i="6"/>
  <c r="U248" i="6"/>
  <c r="AL248" i="6" s="1"/>
  <c r="AN248" i="6" s="1"/>
  <c r="E64" i="3"/>
  <c r="F64" i="3"/>
  <c r="AC115" i="6"/>
  <c r="U115" i="6"/>
  <c r="AL115" i="6" s="1"/>
  <c r="AN115" i="6" s="1"/>
  <c r="H44" i="3"/>
  <c r="AC46" i="6"/>
  <c r="U46" i="6"/>
  <c r="AL46" i="6" s="1"/>
  <c r="AN46" i="6" s="1"/>
  <c r="U102" i="6"/>
  <c r="AL102" i="6" s="1"/>
  <c r="AN102" i="6" s="1"/>
  <c r="AC102" i="6"/>
  <c r="U162" i="6"/>
  <c r="AL162" i="6" s="1"/>
  <c r="AN162" i="6" s="1"/>
  <c r="AC162" i="6"/>
  <c r="U220" i="6"/>
  <c r="AL220" i="6" s="1"/>
  <c r="AN220" i="6" s="1"/>
  <c r="AC220" i="6"/>
  <c r="AC267" i="6"/>
  <c r="U267" i="6"/>
  <c r="AL267" i="6" s="1"/>
  <c r="AN267" i="6" s="1"/>
  <c r="AC279" i="6"/>
  <c r="U279" i="6"/>
  <c r="AL279" i="6" s="1"/>
  <c r="AN279" i="6" s="1"/>
  <c r="AC260" i="6"/>
  <c r="U260" i="6"/>
  <c r="AL260" i="6" s="1"/>
  <c r="AN260" i="6" s="1"/>
  <c r="E23" i="3"/>
  <c r="F23" i="3"/>
  <c r="E49" i="3"/>
  <c r="F49" i="3"/>
  <c r="U38" i="6"/>
  <c r="AL38" i="6" s="1"/>
  <c r="AN38" i="6" s="1"/>
  <c r="AC38" i="6"/>
  <c r="I49" i="3"/>
  <c r="J49" i="3"/>
  <c r="AC18" i="6"/>
  <c r="U18" i="6"/>
  <c r="AL18" i="6" s="1"/>
  <c r="AN18" i="6" s="1"/>
  <c r="J8" i="3"/>
  <c r="I8" i="3"/>
  <c r="U10" i="6"/>
  <c r="AL10" i="6" s="1"/>
  <c r="AN10" i="6" s="1"/>
  <c r="AC10" i="6"/>
  <c r="U44" i="6"/>
  <c r="AL44" i="6" s="1"/>
  <c r="AN44" i="6" s="1"/>
  <c r="AC44" i="6"/>
  <c r="E52" i="3"/>
  <c r="F52" i="3"/>
  <c r="U111" i="6"/>
  <c r="AL111" i="6" s="1"/>
  <c r="AN111" i="6" s="1"/>
  <c r="AC111" i="6"/>
  <c r="AC145" i="6"/>
  <c r="U145" i="6"/>
  <c r="AL145" i="6" s="1"/>
  <c r="AN145" i="6" s="1"/>
  <c r="AC6" i="6"/>
  <c r="U6" i="6"/>
  <c r="AL6" i="6" s="1"/>
  <c r="AN6" i="6" s="1"/>
  <c r="H32" i="3"/>
  <c r="I24" i="3"/>
  <c r="J24" i="3"/>
  <c r="AC112" i="6"/>
  <c r="U112" i="6"/>
  <c r="AL112" i="6" s="1"/>
  <c r="AN112" i="6" s="1"/>
  <c r="J9" i="3"/>
  <c r="I9" i="3"/>
  <c r="AC197" i="6"/>
  <c r="U197" i="6"/>
  <c r="AL197" i="6" s="1"/>
  <c r="AN197" i="6" s="1"/>
  <c r="AC269" i="6"/>
  <c r="U269" i="6"/>
  <c r="AL269" i="6" s="1"/>
  <c r="AN269" i="6" s="1"/>
  <c r="E47" i="3"/>
  <c r="F47" i="3"/>
  <c r="I41" i="3"/>
  <c r="J41" i="3"/>
  <c r="H12" i="3"/>
  <c r="E42" i="3"/>
  <c r="F42" i="3"/>
  <c r="B17" i="4"/>
  <c r="C17" i="4" s="1"/>
  <c r="U94" i="6"/>
  <c r="AL94" i="6" s="1"/>
  <c r="AN94" i="6" s="1"/>
  <c r="AC94" i="6"/>
  <c r="E55" i="3"/>
  <c r="F55" i="3"/>
  <c r="U119" i="6"/>
  <c r="AL119" i="6" s="1"/>
  <c r="AN119" i="6" s="1"/>
  <c r="AC119" i="6"/>
  <c r="U166" i="6"/>
  <c r="AL166" i="6" s="1"/>
  <c r="AN166" i="6" s="1"/>
  <c r="AC166" i="6"/>
  <c r="AC193" i="6"/>
  <c r="U193" i="6"/>
  <c r="AL193" i="6" s="1"/>
  <c r="AN193" i="6" s="1"/>
  <c r="AC255" i="6"/>
  <c r="U255" i="6"/>
  <c r="AL255" i="6" s="1"/>
  <c r="AN255" i="6" s="1"/>
  <c r="U301" i="6"/>
  <c r="AL301" i="6" s="1"/>
  <c r="AN301" i="6" s="1"/>
  <c r="AC301" i="6"/>
  <c r="AC144" i="6"/>
  <c r="U144" i="6"/>
  <c r="AL144" i="6" s="1"/>
  <c r="AN144" i="6" s="1"/>
  <c r="E60" i="3"/>
  <c r="F60" i="3"/>
  <c r="AC43" i="6"/>
  <c r="U43" i="6"/>
  <c r="AL43" i="6" s="1"/>
  <c r="AN43" i="6" s="1"/>
  <c r="I15" i="2"/>
  <c r="D15" i="2"/>
  <c r="E10" i="2"/>
  <c r="K10" i="2" s="1"/>
  <c r="B14" i="4"/>
  <c r="C14" i="4" s="1"/>
  <c r="G15" i="2"/>
  <c r="A10" i="2"/>
  <c r="B15" i="2"/>
  <c r="H15" i="2"/>
  <c r="G10" i="2"/>
  <c r="C15" i="2"/>
  <c r="E50" i="3"/>
  <c r="F50" i="3"/>
  <c r="E43" i="3"/>
  <c r="F43" i="3"/>
  <c r="E35" i="3"/>
  <c r="F35" i="3"/>
  <c r="U126" i="6"/>
  <c r="AL126" i="6" s="1"/>
  <c r="AN126" i="6" s="1"/>
  <c r="AC126" i="6"/>
  <c r="AC182" i="6"/>
  <c r="U182" i="6"/>
  <c r="AL182" i="6" s="1"/>
  <c r="AN182" i="6" s="1"/>
  <c r="U286" i="6"/>
  <c r="AL286" i="6" s="1"/>
  <c r="AN286" i="6" s="1"/>
  <c r="AC286" i="6"/>
  <c r="AC20" i="6"/>
  <c r="U20" i="6"/>
  <c r="AL20" i="6" s="1"/>
  <c r="AN20" i="6" s="1"/>
  <c r="H63" i="3"/>
  <c r="AC15" i="6"/>
  <c r="U15" i="6"/>
  <c r="AL15" i="6" s="1"/>
  <c r="AN15" i="6" s="1"/>
  <c r="E18" i="3"/>
  <c r="F18" i="3"/>
  <c r="AC27" i="6"/>
  <c r="U27" i="6"/>
  <c r="AL27" i="6" s="1"/>
  <c r="AN27" i="6" s="1"/>
  <c r="H28" i="3"/>
  <c r="E58" i="3"/>
  <c r="F58" i="3"/>
  <c r="U54" i="6"/>
  <c r="AL54" i="6" s="1"/>
  <c r="AN54" i="6" s="1"/>
  <c r="AC54" i="6"/>
  <c r="AC81" i="6"/>
  <c r="U81" i="6"/>
  <c r="AL81" i="6" s="1"/>
  <c r="AN81" i="6" s="1"/>
  <c r="U106" i="6"/>
  <c r="AL106" i="6" s="1"/>
  <c r="AN106" i="6" s="1"/>
  <c r="AC106" i="6"/>
  <c r="AC124" i="6"/>
  <c r="U124" i="6"/>
  <c r="AL124" i="6" s="1"/>
  <c r="AN124" i="6" s="1"/>
  <c r="U241" i="6"/>
  <c r="AL241" i="6" s="1"/>
  <c r="AN241" i="6" s="1"/>
  <c r="AC241" i="6"/>
  <c r="U219" i="6"/>
  <c r="AL219" i="6" s="1"/>
  <c r="AN219" i="6" s="1"/>
  <c r="AC219" i="6"/>
  <c r="U288" i="6"/>
  <c r="AL288" i="6" s="1"/>
  <c r="AN288" i="6" s="1"/>
  <c r="AC288" i="6"/>
  <c r="U289" i="6"/>
  <c r="AL289" i="6" s="1"/>
  <c r="AN289" i="6" s="1"/>
  <c r="AC289" i="6"/>
  <c r="AC296" i="6"/>
  <c r="U296" i="6"/>
  <c r="AL296" i="6" s="1"/>
  <c r="AN296" i="6" s="1"/>
  <c r="E30" i="3"/>
  <c r="F30" i="3"/>
  <c r="I62" i="3"/>
  <c r="J62" i="3"/>
  <c r="E21" i="3"/>
  <c r="F21" i="3"/>
  <c r="E61" i="3"/>
  <c r="F61" i="3"/>
  <c r="AC251" i="6"/>
  <c r="U251" i="6"/>
  <c r="AL251" i="6" s="1"/>
  <c r="AN251" i="6" s="1"/>
  <c r="AC256" i="6"/>
  <c r="U256" i="6"/>
  <c r="AL256" i="6" s="1"/>
  <c r="AN256" i="6" s="1"/>
  <c r="U213" i="6"/>
  <c r="AL213" i="6" s="1"/>
  <c r="AN213" i="6" s="1"/>
  <c r="AC213" i="6"/>
  <c r="AC231" i="6"/>
  <c r="U231" i="6"/>
  <c r="AL231" i="6" s="1"/>
  <c r="AN231" i="6" s="1"/>
  <c r="AC237" i="6"/>
  <c r="U237" i="6"/>
  <c r="AL237" i="6" s="1"/>
  <c r="AN237" i="6" s="1"/>
  <c r="U292" i="6"/>
  <c r="AL292" i="6" s="1"/>
  <c r="AN292" i="6" s="1"/>
  <c r="AC292" i="6"/>
  <c r="U300" i="6"/>
  <c r="AL300" i="6" s="1"/>
  <c r="AN300" i="6" s="1"/>
  <c r="AC300" i="6"/>
  <c r="AC84" i="6"/>
  <c r="U84" i="6"/>
  <c r="AL84" i="6" s="1"/>
  <c r="AN84" i="6" s="1"/>
  <c r="H47" i="3"/>
  <c r="AC130" i="6"/>
  <c r="U130" i="6"/>
  <c r="AL130" i="6" s="1"/>
  <c r="AN130" i="6" s="1"/>
  <c r="E38" i="3"/>
  <c r="F38" i="3"/>
  <c r="AC21" i="6"/>
  <c r="U21" i="6"/>
  <c r="AL21" i="6" s="1"/>
  <c r="AN21" i="6" s="1"/>
  <c r="D17" i="2"/>
  <c r="B17" i="2"/>
  <c r="C17" i="2"/>
  <c r="H14" i="3"/>
  <c r="AA2" i="6"/>
  <c r="T2" i="6"/>
  <c r="Z2" i="6"/>
  <c r="U57" i="6"/>
  <c r="AL57" i="6" s="1"/>
  <c r="AN57" i="6" s="1"/>
  <c r="AC57" i="6"/>
  <c r="I55" i="3"/>
  <c r="J55" i="3"/>
  <c r="E20" i="3"/>
  <c r="F20" i="3"/>
  <c r="U122" i="6"/>
  <c r="AL122" i="6" s="1"/>
  <c r="AN122" i="6" s="1"/>
  <c r="AC122" i="6"/>
  <c r="AC113" i="6"/>
  <c r="U113" i="6"/>
  <c r="AL113" i="6" s="1"/>
  <c r="AN113" i="6" s="1"/>
  <c r="AC227" i="6"/>
  <c r="U227" i="6"/>
  <c r="AL227" i="6" s="1"/>
  <c r="AN227" i="6" s="1"/>
  <c r="I25" i="3"/>
  <c r="J25" i="3"/>
  <c r="E56" i="3"/>
  <c r="F56" i="3"/>
  <c r="U13" i="6"/>
  <c r="AL13" i="6" s="1"/>
  <c r="AN13" i="6" s="1"/>
  <c r="AC13" i="6"/>
  <c r="I50" i="3"/>
  <c r="J50" i="3"/>
  <c r="H43" i="3"/>
  <c r="AC58" i="6"/>
  <c r="U58" i="6"/>
  <c r="AL58" i="6" s="1"/>
  <c r="AN58" i="6" s="1"/>
  <c r="I35" i="3"/>
  <c r="J35" i="3"/>
  <c r="U125" i="6"/>
  <c r="AL125" i="6" s="1"/>
  <c r="AN125" i="6" s="1"/>
  <c r="AC125" i="6"/>
  <c r="AC225" i="6"/>
  <c r="U225" i="6"/>
  <c r="AL225" i="6" s="1"/>
  <c r="AN225" i="6" s="1"/>
  <c r="E26" i="3"/>
  <c r="F26" i="3"/>
  <c r="U103" i="6"/>
  <c r="AL103" i="6" s="1"/>
  <c r="AN103" i="6" s="1"/>
  <c r="AC103" i="6"/>
  <c r="H39" i="3"/>
  <c r="I18" i="3"/>
  <c r="J18" i="3"/>
  <c r="E40" i="3"/>
  <c r="F40" i="3"/>
  <c r="E54" i="3"/>
  <c r="F54" i="3"/>
  <c r="D18" i="2"/>
  <c r="C18" i="2"/>
  <c r="B18" i="2"/>
  <c r="U99" i="6"/>
  <c r="AL99" i="6" s="1"/>
  <c r="AN99" i="6" s="1"/>
  <c r="AC99" i="6"/>
  <c r="U202" i="6"/>
  <c r="AL202" i="6" s="1"/>
  <c r="AN202" i="6" s="1"/>
  <c r="AC202" i="6"/>
  <c r="AC252" i="6"/>
  <c r="U252" i="6"/>
  <c r="AL252" i="6" s="1"/>
  <c r="AN252" i="6" s="1"/>
  <c r="E53" i="3"/>
  <c r="F53" i="3"/>
  <c r="U273" i="6"/>
  <c r="AL273" i="6" s="1"/>
  <c r="AN273" i="6" s="1"/>
  <c r="AC273" i="6"/>
  <c r="AC282" i="6"/>
  <c r="U282" i="6"/>
  <c r="AL282" i="6" s="1"/>
  <c r="AN282" i="6" s="1"/>
  <c r="U298" i="6"/>
  <c r="AL298" i="6" s="1"/>
  <c r="AN298" i="6" s="1"/>
  <c r="AC298" i="6"/>
  <c r="I10" i="2" l="1"/>
  <c r="I47" i="3"/>
  <c r="J47" i="3"/>
  <c r="I63" i="3"/>
  <c r="J63" i="3"/>
  <c r="I32" i="3"/>
  <c r="J32" i="3"/>
  <c r="I33" i="3"/>
  <c r="J33" i="3"/>
  <c r="P7" i="3"/>
  <c r="Q7" i="3" s="1"/>
  <c r="O7" i="3"/>
  <c r="I12" i="3"/>
  <c r="J12" i="3"/>
  <c r="I44" i="3"/>
  <c r="J44" i="3"/>
  <c r="P9" i="3"/>
  <c r="Q9" i="3" s="1"/>
  <c r="O9" i="3"/>
  <c r="I59" i="3"/>
  <c r="J59" i="3"/>
  <c r="I60" i="3"/>
  <c r="J60" i="3"/>
  <c r="I22" i="3"/>
  <c r="J22" i="3"/>
  <c r="I43" i="3"/>
  <c r="J43" i="3"/>
  <c r="AC2" i="6"/>
  <c r="B13" i="4" s="1"/>
  <c r="C13" i="4" s="1"/>
  <c r="U2" i="6"/>
  <c r="AL2" i="6" s="1"/>
  <c r="AN2" i="6" s="1"/>
  <c r="H5" i="3"/>
  <c r="C10" i="2"/>
  <c r="O8" i="3"/>
  <c r="P8" i="3"/>
  <c r="Q8" i="3" s="1"/>
  <c r="I28" i="3"/>
  <c r="J28" i="3"/>
  <c r="P6" i="3"/>
  <c r="Q6" i="3" s="1"/>
  <c r="O6" i="3"/>
  <c r="I39" i="3"/>
  <c r="J39" i="3"/>
  <c r="I48" i="3"/>
  <c r="J48" i="3"/>
  <c r="I14" i="3"/>
  <c r="J14" i="3"/>
  <c r="I29" i="3"/>
  <c r="J29" i="3"/>
  <c r="I15" i="3"/>
  <c r="J15" i="3"/>
  <c r="I30" i="3"/>
  <c r="J30" i="3"/>
  <c r="F5" i="3"/>
  <c r="E5" i="3"/>
  <c r="N5" i="3"/>
  <c r="I42" i="3"/>
  <c r="J42" i="3"/>
  <c r="O5" i="3" l="1"/>
  <c r="P5" i="3"/>
  <c r="Q5" i="3" s="1"/>
  <c r="J5" i="3"/>
  <c r="I5" i="3"/>
</calcChain>
</file>

<file path=xl/sharedStrings.xml><?xml version="1.0" encoding="utf-8"?>
<sst xmlns="http://schemas.openxmlformats.org/spreadsheetml/2006/main" count="3867" uniqueCount="837">
  <si>
    <t>RETAIL SALES PERFORMANCE DASHBOARD</t>
  </si>
  <si>
    <t>Total Net Revenue</t>
  </si>
  <si>
    <t>Total Profit</t>
  </si>
  <si>
    <t>Completed Orders</t>
  </si>
  <si>
    <t>Average Order Value</t>
  </si>
  <si>
    <t>Profit Margin</t>
  </si>
  <si>
    <t>Data Quality Score</t>
  </si>
  <si>
    <t>Month</t>
  </si>
  <si>
    <t>Net Revenue</t>
  </si>
  <si>
    <t>Profit</t>
  </si>
  <si>
    <t>Region</t>
  </si>
  <si>
    <t>Orders</t>
  </si>
  <si>
    <t>Bucharest</t>
  </si>
  <si>
    <t>North</t>
  </si>
  <si>
    <t>South</t>
  </si>
  <si>
    <t>East</t>
  </si>
  <si>
    <t>West</t>
  </si>
  <si>
    <t>Category</t>
  </si>
  <si>
    <t>Margin</t>
  </si>
  <si>
    <t>Accessories</t>
  </si>
  <si>
    <t>Electronics</t>
  </si>
  <si>
    <t>Furniture</t>
  </si>
  <si>
    <t>Units Sold</t>
  </si>
  <si>
    <t>Average Discount</t>
  </si>
  <si>
    <t>Return Rate</t>
  </si>
  <si>
    <t>Cancellation Rate</t>
  </si>
  <si>
    <t>Revenue / Customer</t>
  </si>
  <si>
    <t>Profit / Order</t>
  </si>
  <si>
    <t>FILTERED SALES DASHBOARD</t>
  </si>
  <si>
    <t>Filter</t>
  </si>
  <si>
    <t>Selection</t>
  </si>
  <si>
    <t>All</t>
  </si>
  <si>
    <t>Channel</t>
  </si>
  <si>
    <t>Order Status</t>
  </si>
  <si>
    <t>Completed</t>
  </si>
  <si>
    <t>Filtered Revenue</t>
  </si>
  <si>
    <t>Filtered Profit</t>
  </si>
  <si>
    <t>Filtered Orders</t>
  </si>
  <si>
    <t>Revenue</t>
  </si>
  <si>
    <t>SALES TARGET VS ACTUAL ANALYSIS</t>
  </si>
  <si>
    <t>Revenue_Target</t>
  </si>
  <si>
    <t>Actual_Revenue</t>
  </si>
  <si>
    <t>Revenue_Variance</t>
  </si>
  <si>
    <t>Revenue_Achievement</t>
  </si>
  <si>
    <t>Profit_Target</t>
  </si>
  <si>
    <t>Actual_Profit</t>
  </si>
  <si>
    <t>Profit_Variance</t>
  </si>
  <si>
    <t>Profit_Achievement</t>
  </si>
  <si>
    <t>Revenue Target</t>
  </si>
  <si>
    <t>Actual Revenue</t>
  </si>
  <si>
    <t>Variance</t>
  </si>
  <si>
    <t>Achievement</t>
  </si>
  <si>
    <t>Status</t>
  </si>
  <si>
    <t>DATA QUALITY CHECKLIST</t>
  </si>
  <si>
    <t>Check</t>
  </si>
  <si>
    <t>Result</t>
  </si>
  <si>
    <t>Severity</t>
  </si>
  <si>
    <t>Meaning</t>
  </si>
  <si>
    <t>Missing Order IDs</t>
  </si>
  <si>
    <t>Critical</t>
  </si>
  <si>
    <t>Every order needs an ID</t>
  </si>
  <si>
    <t>Duplicate Order IDs</t>
  </si>
  <si>
    <t>Duplicate transactions may be counted twice</t>
  </si>
  <si>
    <t>Missing Customer IDs</t>
  </si>
  <si>
    <t>High</t>
  </si>
  <si>
    <t>Orders must link to customers</t>
  </si>
  <si>
    <t>Invalid Emails</t>
  </si>
  <si>
    <t>Medium</t>
  </si>
  <si>
    <t>Basic contact format check</t>
  </si>
  <si>
    <t>Unknown Products</t>
  </si>
  <si>
    <t>Product must exist in master data</t>
  </si>
  <si>
    <t>Price Mismatches</t>
  </si>
  <si>
    <t>Selling price differs from approved price</t>
  </si>
  <si>
    <t>Invalid Quantities</t>
  </si>
  <si>
    <t>Quantity must meet minimum</t>
  </si>
  <si>
    <t>High Discounts</t>
  </si>
  <si>
    <t>Discount exceeds normal threshold</t>
  </si>
  <si>
    <t>Loss-making Orders</t>
  </si>
  <si>
    <t>Order generated a negative profit</t>
  </si>
  <si>
    <t>Records Requiring Review</t>
  </si>
  <si>
    <t>Final validation did not pass</t>
  </si>
  <si>
    <t>DATA QUALITY ERROR REPORT</t>
  </si>
  <si>
    <t>Source_Row</t>
  </si>
  <si>
    <t>Order_ID</t>
  </si>
  <si>
    <t>Field_or_Rule</t>
  </si>
  <si>
    <t>Invalid_Value</t>
  </si>
  <si>
    <t>Error_Type</t>
  </si>
  <si>
    <t>Recommended_Action</t>
  </si>
  <si>
    <t>ORD-10010</t>
  </si>
  <si>
    <t>Customer_Email</t>
  </si>
  <si>
    <t>invalid-email</t>
  </si>
  <si>
    <t>Invalid email format</t>
  </si>
  <si>
    <t>Correct the email address</t>
  </si>
  <si>
    <t>Open</t>
  </si>
  <si>
    <t>ORD-10025</t>
  </si>
  <si>
    <t>Quantity</t>
  </si>
  <si>
    <t>0</t>
  </si>
  <si>
    <t>Invalid quantity</t>
  </si>
  <si>
    <t>Quantity must be greater than zero</t>
  </si>
  <si>
    <t>ORD-10049</t>
  </si>
  <si>
    <t>Product_ID</t>
  </si>
  <si>
    <t>UNKNOWN</t>
  </si>
  <si>
    <t>Unknown product</t>
  </si>
  <si>
    <t>Match against product master</t>
  </si>
  <si>
    <t>ORD-10073</t>
  </si>
  <si>
    <t>Missing region</t>
  </si>
  <si>
    <t>Select an approved region</t>
  </si>
  <si>
    <t>ORD-10096</t>
  </si>
  <si>
    <t>Discount_Rate</t>
  </si>
  <si>
    <t>1.25</t>
  </si>
  <si>
    <t>Discount outside approved range</t>
  </si>
  <si>
    <t>Use a value between 0% and 50%</t>
  </si>
  <si>
    <t>ORD-10120</t>
  </si>
  <si>
    <t>Unit_Price</t>
  </si>
  <si>
    <t>-50</t>
  </si>
  <si>
    <t>Negative price</t>
  </si>
  <si>
    <t>Price must be zero or positive</t>
  </si>
  <si>
    <t>ORD-10144</t>
  </si>
  <si>
    <t>Customer_ID</t>
  </si>
  <si>
    <t>Missing customer ID</t>
  </si>
  <si>
    <t>Identify the correct customer</t>
  </si>
  <si>
    <t>ORD-10168</t>
  </si>
  <si>
    <t>Order_Status</t>
  </si>
  <si>
    <t>Pending</t>
  </si>
  <si>
    <t>Unapproved order status</t>
  </si>
  <si>
    <t>Choose Completed, Returned or Cancelled</t>
  </si>
  <si>
    <t>ORD-10201</t>
  </si>
  <si>
    <t>Duplicate Order ID</t>
  </si>
  <si>
    <t>Verify against source row 202</t>
  </si>
  <si>
    <t>ORD-10226</t>
  </si>
  <si>
    <t>Product_Name</t>
  </si>
  <si>
    <t>Missing product name</t>
  </si>
  <si>
    <t>Populate from product master</t>
  </si>
  <si>
    <t>Missing Order ID</t>
  </si>
  <si>
    <t>Enter a unique order ID</t>
  </si>
  <si>
    <t>ORD-10281</t>
  </si>
  <si>
    <t>customer@</t>
  </si>
  <si>
    <t>Order_Date</t>
  </si>
  <si>
    <t>Sales_Channel</t>
  </si>
  <si>
    <t>Sales_Representative</t>
  </si>
  <si>
    <t>Unit_Cost</t>
  </si>
  <si>
    <t>Payment_Method</t>
  </si>
  <si>
    <t>Gross_Revenue</t>
  </si>
  <si>
    <t>Net_Revenue</t>
  </si>
  <si>
    <t>Total_Cost</t>
  </si>
  <si>
    <t>Profit_Margin</t>
  </si>
  <si>
    <t>Validation_Status</t>
  </si>
  <si>
    <t>Error_Details</t>
  </si>
  <si>
    <t>Order_Month</t>
  </si>
  <si>
    <t>Order_Quarter</t>
  </si>
  <si>
    <t>Customer_Segment</t>
  </si>
  <si>
    <t>Order_Value_Band</t>
  </si>
  <si>
    <t>Discount_Band</t>
  </si>
  <si>
    <t>Profit_Status</t>
  </si>
  <si>
    <t>Product_Lookup_Name</t>
  </si>
  <si>
    <t>Product_Lookup_Category</t>
  </si>
  <si>
    <t>Price_Check</t>
  </si>
  <si>
    <t>Email_Check</t>
  </si>
  <si>
    <t>Final_Record_Status</t>
  </si>
  <si>
    <t>Order_ID_Format_Check</t>
  </si>
  <si>
    <t>Customer_ID_Format_Check</t>
  </si>
  <si>
    <t>Customer_Master_Check</t>
  </si>
  <si>
    <t>Margin_Target_Check</t>
  </si>
  <si>
    <t>Date_Year_Check</t>
  </si>
  <si>
    <t>Complete_Check_Count</t>
  </si>
  <si>
    <t>ORD-10001</t>
  </si>
  <si>
    <t>C1029</t>
  </si>
  <si>
    <t>client36@example.com</t>
  </si>
  <si>
    <t>P1002</t>
  </si>
  <si>
    <t>Wireless Mouse</t>
  </si>
  <si>
    <t>Marketplace</t>
  </si>
  <si>
    <t>Ioana Pavel</t>
  </si>
  <si>
    <t>Card</t>
  </si>
  <si>
    <t>ORD-10002</t>
  </si>
  <si>
    <t>C1028</t>
  </si>
  <si>
    <t>client60@example.com</t>
  </si>
  <si>
    <t>P1010</t>
  </si>
  <si>
    <t>Headset</t>
  </si>
  <si>
    <t>Andrei Pop</t>
  </si>
  <si>
    <t>Bank Transfer</t>
  </si>
  <si>
    <t>ORD-10003</t>
  </si>
  <si>
    <t>C1036</t>
  </si>
  <si>
    <t>client2@example.com</t>
  </si>
  <si>
    <t>P1009</t>
  </si>
  <si>
    <t>Webcam</t>
  </si>
  <si>
    <t>Mihai Radu</t>
  </si>
  <si>
    <t>Cash</t>
  </si>
  <si>
    <t>Returned</t>
  </si>
  <si>
    <t>ORD-10004</t>
  </si>
  <si>
    <t>C1012</t>
  </si>
  <si>
    <t>client98@example.com</t>
  </si>
  <si>
    <t>P1005</t>
  </si>
  <si>
    <t>24-inch Monitor</t>
  </si>
  <si>
    <t>Store</t>
  </si>
  <si>
    <t>Elena Stan</t>
  </si>
  <si>
    <t>ORD-10005</t>
  </si>
  <si>
    <t>C1011</t>
  </si>
  <si>
    <t>client142@example.com</t>
  </si>
  <si>
    <t>P1001</t>
  </si>
  <si>
    <t>Laptop Stand</t>
  </si>
  <si>
    <t>ORD-10006</t>
  </si>
  <si>
    <t>C1085</t>
  </si>
  <si>
    <t>client59@example.com</t>
  </si>
  <si>
    <t>Online</t>
  </si>
  <si>
    <t>Maria Ionescu</t>
  </si>
  <si>
    <t>ORD-10007</t>
  </si>
  <si>
    <t>C1021</t>
  </si>
  <si>
    <t>client95@example.com</t>
  </si>
  <si>
    <t>P1007</t>
  </si>
  <si>
    <t>Office Chair</t>
  </si>
  <si>
    <t>ORD-10008</t>
  </si>
  <si>
    <t>C1032</t>
  </si>
  <si>
    <t>client42@example.com</t>
  </si>
  <si>
    <t>Cancelled</t>
  </si>
  <si>
    <t>ORD-10009</t>
  </si>
  <si>
    <t>C1052</t>
  </si>
  <si>
    <t>client69@example.com</t>
  </si>
  <si>
    <t>P1006</t>
  </si>
  <si>
    <t>27-inch Monitor</t>
  </si>
  <si>
    <t>C1059</t>
  </si>
  <si>
    <t>P1004</t>
  </si>
  <si>
    <t>USB-C Hub</t>
  </si>
  <si>
    <t>ORD-10011</t>
  </si>
  <si>
    <t>ORD-10012</t>
  </si>
  <si>
    <t>C1055</t>
  </si>
  <si>
    <t>client153@example.com</t>
  </si>
  <si>
    <t>Online Wallet</t>
  </si>
  <si>
    <t>ORD-10013</t>
  </si>
  <si>
    <t>C1093</t>
  </si>
  <si>
    <t>client30@example.com</t>
  </si>
  <si>
    <t>ORD-10014</t>
  </si>
  <si>
    <t>C1123</t>
  </si>
  <si>
    <t>client68@example.com</t>
  </si>
  <si>
    <t>ORD-10015</t>
  </si>
  <si>
    <t>C1020</t>
  </si>
  <si>
    <t>client96@example.com</t>
  </si>
  <si>
    <t>ORD-10016</t>
  </si>
  <si>
    <t>C1119</t>
  </si>
  <si>
    <t>client93@example.com</t>
  </si>
  <si>
    <t>ORD-10017</t>
  </si>
  <si>
    <t>C1105</t>
  </si>
  <si>
    <t>client18@example.com</t>
  </si>
  <si>
    <t>ORD-10018</t>
  </si>
  <si>
    <t>client55@example.com</t>
  </si>
  <si>
    <t>ORD-10019</t>
  </si>
  <si>
    <t>C1116</t>
  </si>
  <si>
    <t>client133@example.com</t>
  </si>
  <si>
    <t>ORD-10020</t>
  </si>
  <si>
    <t>C1030</t>
  </si>
  <si>
    <t>client151@example.com</t>
  </si>
  <si>
    <t>ORD-10021</t>
  </si>
  <si>
    <t>C1066</t>
  </si>
  <si>
    <t>client61@example.com</t>
  </si>
  <si>
    <t>ORD-10022</t>
  </si>
  <si>
    <t>C1061</t>
  </si>
  <si>
    <t>client63@example.com</t>
  </si>
  <si>
    <t>ORD-10023</t>
  </si>
  <si>
    <t>C1053</t>
  </si>
  <si>
    <t>client120@example.com</t>
  </si>
  <si>
    <t>ORD-10024</t>
  </si>
  <si>
    <t>C1025</t>
  </si>
  <si>
    <t>client138@example.com</t>
  </si>
  <si>
    <t>C1104</t>
  </si>
  <si>
    <t>client141@example.com</t>
  </si>
  <si>
    <t>ORD-10026</t>
  </si>
  <si>
    <t>C1062</t>
  </si>
  <si>
    <t>ORD-10027</t>
  </si>
  <si>
    <t>client179@example.com</t>
  </si>
  <si>
    <t>ORD-10028</t>
  </si>
  <si>
    <t>C1095</t>
  </si>
  <si>
    <t>client139@example.com</t>
  </si>
  <si>
    <t>ORD-10029</t>
  </si>
  <si>
    <t>client15@example.com</t>
  </si>
  <si>
    <t>ORD-10030</t>
  </si>
  <si>
    <t>C1016</t>
  </si>
  <si>
    <t>client146@example.com</t>
  </si>
  <si>
    <t>ORD-10031</t>
  </si>
  <si>
    <t>C1073</t>
  </si>
  <si>
    <t>client134@example.com</t>
  </si>
  <si>
    <t>ORD-10032</t>
  </si>
  <si>
    <t>C1083</t>
  </si>
  <si>
    <t>client77@example.com</t>
  </si>
  <si>
    <t>ORD-10033</t>
  </si>
  <si>
    <t>C1069</t>
  </si>
  <si>
    <t>P1008</t>
  </si>
  <si>
    <t>Standing Desk</t>
  </si>
  <si>
    <t>ORD-10034</t>
  </si>
  <si>
    <t>C1057</t>
  </si>
  <si>
    <t>client140@example.com</t>
  </si>
  <si>
    <t>ORD-10035</t>
  </si>
  <si>
    <t>C1034</t>
  </si>
  <si>
    <t>ORD-10036</t>
  </si>
  <si>
    <t>C1044</t>
  </si>
  <si>
    <t>client53@example.com</t>
  </si>
  <si>
    <t>ORD-10037</t>
  </si>
  <si>
    <t>C1006</t>
  </si>
  <si>
    <t>client1@example.com</t>
  </si>
  <si>
    <t>ORD-10038</t>
  </si>
  <si>
    <t>C1002</t>
  </si>
  <si>
    <t>client29@example.com</t>
  </si>
  <si>
    <t>ORD-10039</t>
  </si>
  <si>
    <t>C1017</t>
  </si>
  <si>
    <t>client11@example.com</t>
  </si>
  <si>
    <t>ORD-10040</t>
  </si>
  <si>
    <t>C1046</t>
  </si>
  <si>
    <t>client144@example.com</t>
  </si>
  <si>
    <t>ORD-10041</t>
  </si>
  <si>
    <t>client86@example.com</t>
  </si>
  <si>
    <t>P1003</t>
  </si>
  <si>
    <t>Mechanical Keyboard</t>
  </si>
  <si>
    <t>ORD-10042</t>
  </si>
  <si>
    <t>C1110</t>
  </si>
  <si>
    <t>client121@example.com</t>
  </si>
  <si>
    <t>ORD-10043</t>
  </si>
  <si>
    <t>client103@example.com</t>
  </si>
  <si>
    <t>ORD-10044</t>
  </si>
  <si>
    <t>C1108</t>
  </si>
  <si>
    <t>ORD-10045</t>
  </si>
  <si>
    <t>C1077</t>
  </si>
  <si>
    <t>client112@example.com</t>
  </si>
  <si>
    <t>ORD-10046</t>
  </si>
  <si>
    <t>client66@example.com</t>
  </si>
  <si>
    <t>ORD-10047</t>
  </si>
  <si>
    <t>client172@example.com</t>
  </si>
  <si>
    <t>ORD-10048</t>
  </si>
  <si>
    <t>client108@example.com</t>
  </si>
  <si>
    <t>ORD-10050</t>
  </si>
  <si>
    <t>C1027</t>
  </si>
  <si>
    <t>client111@example.com</t>
  </si>
  <si>
    <t>ORD-10051</t>
  </si>
  <si>
    <t>client44@example.com</t>
  </si>
  <si>
    <t>ORD-10052</t>
  </si>
  <si>
    <t>client51@example.com</t>
  </si>
  <si>
    <t>ORD-10053</t>
  </si>
  <si>
    <t>C1114</t>
  </si>
  <si>
    <t>client162@example.com</t>
  </si>
  <si>
    <t>ORD-10054</t>
  </si>
  <si>
    <t>C1001</t>
  </si>
  <si>
    <t>client28@example.com</t>
  </si>
  <si>
    <t>ORD-10055</t>
  </si>
  <si>
    <t>C1018</t>
  </si>
  <si>
    <t>client119@example.com</t>
  </si>
  <si>
    <t>ORD-10056</t>
  </si>
  <si>
    <t>C1107</t>
  </si>
  <si>
    <t>ORD-10057</t>
  </si>
  <si>
    <t>C1063</t>
  </si>
  <si>
    <t>client161@example.com</t>
  </si>
  <si>
    <t>ORD-10058</t>
  </si>
  <si>
    <t>C1115</t>
  </si>
  <si>
    <t>ORD-10059</t>
  </si>
  <si>
    <t>C1009</t>
  </si>
  <si>
    <t>client107@example.com</t>
  </si>
  <si>
    <t>ORD-10060</t>
  </si>
  <si>
    <t>client150@example.com</t>
  </si>
  <si>
    <t>ORD-10061</t>
  </si>
  <si>
    <t>ORD-10062</t>
  </si>
  <si>
    <t>ORD-10063</t>
  </si>
  <si>
    <t>C1076</t>
  </si>
  <si>
    <t>client145@example.com</t>
  </si>
  <si>
    <t>ORD-10064</t>
  </si>
  <si>
    <t>C1042</t>
  </si>
  <si>
    <t>ORD-10065</t>
  </si>
  <si>
    <t>C1003</t>
  </si>
  <si>
    <t>ORD-10066</t>
  </si>
  <si>
    <t>C1080</t>
  </si>
  <si>
    <t>client40@example.com</t>
  </si>
  <si>
    <t>ORD-10067</t>
  </si>
  <si>
    <t>C1099</t>
  </si>
  <si>
    <t>ORD-10068</t>
  </si>
  <si>
    <t>client80@example.com</t>
  </si>
  <si>
    <t>ORD-10069</t>
  </si>
  <si>
    <t>client27@example.com</t>
  </si>
  <si>
    <t>ORD-10070</t>
  </si>
  <si>
    <t>ORD-10071</t>
  </si>
  <si>
    <t>C1082</t>
  </si>
  <si>
    <t>client118@example.com</t>
  </si>
  <si>
    <t>ORD-10072</t>
  </si>
  <si>
    <t>C1106</t>
  </si>
  <si>
    <t>client152@example.com</t>
  </si>
  <si>
    <t>C1079</t>
  </si>
  <si>
    <t>ORD-10074</t>
  </si>
  <si>
    <t>C1103</t>
  </si>
  <si>
    <t>client67@example.com</t>
  </si>
  <si>
    <t>ORD-10075</t>
  </si>
  <si>
    <t>C1031</t>
  </si>
  <si>
    <t>client105@example.com</t>
  </si>
  <si>
    <t>ORD-10076</t>
  </si>
  <si>
    <t>client104@example.com</t>
  </si>
  <si>
    <t>ORD-10077</t>
  </si>
  <si>
    <t>C1096</t>
  </si>
  <si>
    <t>ORD-10078</t>
  </si>
  <si>
    <t>client81@example.com</t>
  </si>
  <si>
    <t>ORD-10079</t>
  </si>
  <si>
    <t>ORD-10080</t>
  </si>
  <si>
    <t>C1039</t>
  </si>
  <si>
    <t>client4@example.com</t>
  </si>
  <si>
    <t>ORD-10081</t>
  </si>
  <si>
    <t>client126@example.com</t>
  </si>
  <si>
    <t>ORD-10082</t>
  </si>
  <si>
    <t>C1124</t>
  </si>
  <si>
    <t>client14@example.com</t>
  </si>
  <si>
    <t>ORD-10083</t>
  </si>
  <si>
    <t>C1088</t>
  </si>
  <si>
    <t>ORD-10084</t>
  </si>
  <si>
    <t>C1078</t>
  </si>
  <si>
    <t>ORD-10085</t>
  </si>
  <si>
    <t>C1040</t>
  </si>
  <si>
    <t>ORD-10086</t>
  </si>
  <si>
    <t>client41@example.com</t>
  </si>
  <si>
    <t>ORD-10087</t>
  </si>
  <si>
    <t>ORD-10088</t>
  </si>
  <si>
    <t>ORD-10089</t>
  </si>
  <si>
    <t>C1117</t>
  </si>
  <si>
    <t>ORD-10090</t>
  </si>
  <si>
    <t>client32@example.com</t>
  </si>
  <si>
    <t>ORD-10091</t>
  </si>
  <si>
    <t>client154@example.com</t>
  </si>
  <si>
    <t>ORD-10092</t>
  </si>
  <si>
    <t>client6@example.com</t>
  </si>
  <si>
    <t>ORD-10093</t>
  </si>
  <si>
    <t>C1024</t>
  </si>
  <si>
    <t>ORD-10094</t>
  </si>
  <si>
    <t>C1086</t>
  </si>
  <si>
    <t>ORD-10095</t>
  </si>
  <si>
    <t>client23@example.com</t>
  </si>
  <si>
    <t>C1060</t>
  </si>
  <si>
    <t>client106@example.com</t>
  </si>
  <si>
    <t>ORD-10097</t>
  </si>
  <si>
    <t>ORD-10098</t>
  </si>
  <si>
    <t>client62@example.com</t>
  </si>
  <si>
    <t>ORD-10099</t>
  </si>
  <si>
    <t>client31@example.com</t>
  </si>
  <si>
    <t>ORD-10100</t>
  </si>
  <si>
    <t>C1071</t>
  </si>
  <si>
    <t>client38@example.com</t>
  </si>
  <si>
    <t>ORD-10101</t>
  </si>
  <si>
    <t>C1035</t>
  </si>
  <si>
    <t>ORD-10102</t>
  </si>
  <si>
    <t>C1043</t>
  </si>
  <si>
    <t>ORD-10103</t>
  </si>
  <si>
    <t>ORD-10104</t>
  </si>
  <si>
    <t>client10@example.com</t>
  </si>
  <si>
    <t>ORD-10105</t>
  </si>
  <si>
    <t>client37@example.com</t>
  </si>
  <si>
    <t>ORD-10106</t>
  </si>
  <si>
    <t>C1051</t>
  </si>
  <si>
    <t>client167@example.com</t>
  </si>
  <si>
    <t>ORD-10107</t>
  </si>
  <si>
    <t>C1005</t>
  </si>
  <si>
    <t>client159@example.com</t>
  </si>
  <si>
    <t>ORD-10108</t>
  </si>
  <si>
    <t>C1112</t>
  </si>
  <si>
    <t>client26@example.com</t>
  </si>
  <si>
    <t>ORD-10109</t>
  </si>
  <si>
    <t>C1048</t>
  </si>
  <si>
    <t>ORD-10110</t>
  </si>
  <si>
    <t>client157@example.com</t>
  </si>
  <si>
    <t>ORD-10111</t>
  </si>
  <si>
    <t>C1033</t>
  </si>
  <si>
    <t>ORD-10112</t>
  </si>
  <si>
    <t>client89@example.com</t>
  </si>
  <si>
    <t>ORD-10113</t>
  </si>
  <si>
    <t>C1014</t>
  </si>
  <si>
    <t>ORD-10114</t>
  </si>
  <si>
    <t>ORD-10115</t>
  </si>
  <si>
    <t>ORD-10116</t>
  </si>
  <si>
    <t>C1047</t>
  </si>
  <si>
    <t>client34@example.com</t>
  </si>
  <si>
    <t>ORD-10117</t>
  </si>
  <si>
    <t>C1068</t>
  </si>
  <si>
    <t>client129@example.com</t>
  </si>
  <si>
    <t>ORD-10118</t>
  </si>
  <si>
    <t>C1019</t>
  </si>
  <si>
    <t>client58@example.com</t>
  </si>
  <si>
    <t>ORD-10119</t>
  </si>
  <si>
    <t>ORD-10121</t>
  </si>
  <si>
    <t>C1015</t>
  </si>
  <si>
    <t>ORD-10122</t>
  </si>
  <si>
    <t>C1050</t>
  </si>
  <si>
    <t>client117@example.com</t>
  </si>
  <si>
    <t>ORD-10123</t>
  </si>
  <si>
    <t>ORD-10124</t>
  </si>
  <si>
    <t>ORD-10125</t>
  </si>
  <si>
    <t>C1122</t>
  </si>
  <si>
    <t>ORD-10126</t>
  </si>
  <si>
    <t>ORD-10127</t>
  </si>
  <si>
    <t>ORD-10128</t>
  </si>
  <si>
    <t>ORD-10129</t>
  </si>
  <si>
    <t>ORD-10130</t>
  </si>
  <si>
    <t>client158@example.com</t>
  </si>
  <si>
    <t>ORD-10131</t>
  </si>
  <si>
    <t>C1109</t>
  </si>
  <si>
    <t>ORD-10132</t>
  </si>
  <si>
    <t>client17@example.com</t>
  </si>
  <si>
    <t>ORD-10133</t>
  </si>
  <si>
    <t>C1065</t>
  </si>
  <si>
    <t>client155@example.com</t>
  </si>
  <si>
    <t>ORD-10134</t>
  </si>
  <si>
    <t>ORD-10135</t>
  </si>
  <si>
    <t>ORD-10136</t>
  </si>
  <si>
    <t>ORD-10137</t>
  </si>
  <si>
    <t>ORD-10138</t>
  </si>
  <si>
    <t>client124@example.com</t>
  </si>
  <si>
    <t>ORD-10139</t>
  </si>
  <si>
    <t>ORD-10140</t>
  </si>
  <si>
    <t>client70@example.com</t>
  </si>
  <si>
    <t>ORD-10141</t>
  </si>
  <si>
    <t>ORD-10142</t>
  </si>
  <si>
    <t>ORD-10143</t>
  </si>
  <si>
    <t>C1087</t>
  </si>
  <si>
    <t>client21@example.com</t>
  </si>
  <si>
    <t>client132@example.com</t>
  </si>
  <si>
    <t>ORD-10145</t>
  </si>
  <si>
    <t>client171@example.com</t>
  </si>
  <si>
    <t>ORD-10146</t>
  </si>
  <si>
    <t>ORD-10147</t>
  </si>
  <si>
    <t>C1023</t>
  </si>
  <si>
    <t>ORD-10148</t>
  </si>
  <si>
    <t>ORD-10149</t>
  </si>
  <si>
    <t>C1038</t>
  </si>
  <si>
    <t>ORD-10150</t>
  </si>
  <si>
    <t>C1056</t>
  </si>
  <si>
    <t>ORD-10151</t>
  </si>
  <si>
    <t>client57@example.com</t>
  </si>
  <si>
    <t>ORD-10152</t>
  </si>
  <si>
    <t>C1094</t>
  </si>
  <si>
    <t>client166@example.com</t>
  </si>
  <si>
    <t>ORD-10153</t>
  </si>
  <si>
    <t>C1098</t>
  </si>
  <si>
    <t>client168@example.com</t>
  </si>
  <si>
    <t>ORD-10154</t>
  </si>
  <si>
    <t>client163@example.com</t>
  </si>
  <si>
    <t>ORD-10155</t>
  </si>
  <si>
    <t>client71@example.com</t>
  </si>
  <si>
    <t>ORD-10156</t>
  </si>
  <si>
    <t>client74@example.com</t>
  </si>
  <si>
    <t>ORD-10157</t>
  </si>
  <si>
    <t>C1058</t>
  </si>
  <si>
    <t>client147@example.com</t>
  </si>
  <si>
    <t>ORD-10158</t>
  </si>
  <si>
    <t>client88@example.com</t>
  </si>
  <si>
    <t>ORD-10159</t>
  </si>
  <si>
    <t>C1067</t>
  </si>
  <si>
    <t>ORD-10160</t>
  </si>
  <si>
    <t>C1007</t>
  </si>
  <si>
    <t>ORD-10161</t>
  </si>
  <si>
    <t>client169@example.com</t>
  </si>
  <si>
    <t>ORD-10162</t>
  </si>
  <si>
    <t>ORD-10163</t>
  </si>
  <si>
    <t>client33@example.com</t>
  </si>
  <si>
    <t>ORD-10164</t>
  </si>
  <si>
    <t>client125@example.com</t>
  </si>
  <si>
    <t>ORD-10165</t>
  </si>
  <si>
    <t>client135@example.com</t>
  </si>
  <si>
    <t>ORD-10166</t>
  </si>
  <si>
    <t>client178@example.com</t>
  </si>
  <si>
    <t>ORD-10167</t>
  </si>
  <si>
    <t>C1125</t>
  </si>
  <si>
    <t>client114@example.com</t>
  </si>
  <si>
    <t>client174@example.com</t>
  </si>
  <si>
    <t>ORD-10169</t>
  </si>
  <si>
    <t>client52@example.com</t>
  </si>
  <si>
    <t>ORD-10170</t>
  </si>
  <si>
    <t>ORD-10171</t>
  </si>
  <si>
    <t>ORD-10172</t>
  </si>
  <si>
    <t>ORD-10173</t>
  </si>
  <si>
    <t>ORD-10174</t>
  </si>
  <si>
    <t>client56@example.com</t>
  </si>
  <si>
    <t>ORD-10175</t>
  </si>
  <si>
    <t>ORD-10176</t>
  </si>
  <si>
    <t>ORD-10177</t>
  </si>
  <si>
    <t>ORD-10178</t>
  </si>
  <si>
    <t>ORD-10179</t>
  </si>
  <si>
    <t>C1101</t>
  </si>
  <si>
    <t>ORD-10180</t>
  </si>
  <si>
    <t>client165@example.com</t>
  </si>
  <si>
    <t>ORD-10181</t>
  </si>
  <si>
    <t>client76@example.com</t>
  </si>
  <si>
    <t>ORD-10182</t>
  </si>
  <si>
    <t>client65@example.com</t>
  </si>
  <si>
    <t>ORD-10183</t>
  </si>
  <si>
    <t>ORD-10184</t>
  </si>
  <si>
    <t>ORD-10185</t>
  </si>
  <si>
    <t>ORD-10186</t>
  </si>
  <si>
    <t>C1089</t>
  </si>
  <si>
    <t>ORD-10187</t>
  </si>
  <si>
    <t>C1010</t>
  </si>
  <si>
    <t>ORD-10188</t>
  </si>
  <si>
    <t>ORD-10189</t>
  </si>
  <si>
    <t>client116@example.com</t>
  </si>
  <si>
    <t>ORD-10190</t>
  </si>
  <si>
    <t>C1041</t>
  </si>
  <si>
    <t>ORD-10191</t>
  </si>
  <si>
    <t>ORD-10192</t>
  </si>
  <si>
    <t>client35@example.com</t>
  </si>
  <si>
    <t>ORD-10193</t>
  </si>
  <si>
    <t>C1091</t>
  </si>
  <si>
    <t>ORD-10194</t>
  </si>
  <si>
    <t>ORD-10195</t>
  </si>
  <si>
    <t>ORD-10196</t>
  </si>
  <si>
    <t>C1092</t>
  </si>
  <si>
    <t>client123@example.com</t>
  </si>
  <si>
    <t>ORD-10197</t>
  </si>
  <si>
    <t>client175@example.com</t>
  </si>
  <si>
    <t>ORD-10198</t>
  </si>
  <si>
    <t>ORD-10199</t>
  </si>
  <si>
    <t>ORD-10200</t>
  </si>
  <si>
    <t>C1022</t>
  </si>
  <si>
    <t>ORD-10203</t>
  </si>
  <si>
    <t>client113@example.com</t>
  </si>
  <si>
    <t>ORD-10204</t>
  </si>
  <si>
    <t>ORD-10205</t>
  </si>
  <si>
    <t>client64@example.com</t>
  </si>
  <si>
    <t>ORD-10206</t>
  </si>
  <si>
    <t>client84@example.com</t>
  </si>
  <si>
    <t>ORD-10207</t>
  </si>
  <si>
    <t>C1113</t>
  </si>
  <si>
    <t>client79@example.com</t>
  </si>
  <si>
    <t>ORD-10208</t>
  </si>
  <si>
    <t>client13@example.com</t>
  </si>
  <si>
    <t>ORD-10209</t>
  </si>
  <si>
    <t>ORD-10210</t>
  </si>
  <si>
    <t>ORD-10211</t>
  </si>
  <si>
    <t>ORD-10212</t>
  </si>
  <si>
    <t>ORD-10213</t>
  </si>
  <si>
    <t>client156@example.com</t>
  </si>
  <si>
    <t>ORD-10214</t>
  </si>
  <si>
    <t>client87@example.com</t>
  </si>
  <si>
    <t>ORD-10215</t>
  </si>
  <si>
    <t>client173@example.com</t>
  </si>
  <si>
    <t>ORD-10216</t>
  </si>
  <si>
    <t>client149@example.com</t>
  </si>
  <si>
    <t>ORD-10217</t>
  </si>
  <si>
    <t>C1100</t>
  </si>
  <si>
    <t>ORD-10218</t>
  </si>
  <si>
    <t>ORD-10219</t>
  </si>
  <si>
    <t>client16@example.com</t>
  </si>
  <si>
    <t>ORD-10220</t>
  </si>
  <si>
    <t>client137@example.com</t>
  </si>
  <si>
    <t>ORD-10221</t>
  </si>
  <si>
    <t>C1072</t>
  </si>
  <si>
    <t>ORD-10222</t>
  </si>
  <si>
    <t>C1120</t>
  </si>
  <si>
    <t>ORD-10223</t>
  </si>
  <si>
    <t>C1037</t>
  </si>
  <si>
    <t>ORD-10224</t>
  </si>
  <si>
    <t>C1090</t>
  </si>
  <si>
    <t>ORD-10225</t>
  </si>
  <si>
    <t>ORD-10227</t>
  </si>
  <si>
    <t>C1008</t>
  </si>
  <si>
    <t>ORD-10228</t>
  </si>
  <si>
    <t>client127@example.com</t>
  </si>
  <si>
    <t>ORD-10229</t>
  </si>
  <si>
    <t>ORD-10230</t>
  </si>
  <si>
    <t>ORD-10231</t>
  </si>
  <si>
    <t>ORD-10232</t>
  </si>
  <si>
    <t>client25@example.com</t>
  </si>
  <si>
    <t>ORD-10233</t>
  </si>
  <si>
    <t>ORD-10234</t>
  </si>
  <si>
    <t>ORD-10235</t>
  </si>
  <si>
    <t>ORD-10236</t>
  </si>
  <si>
    <t>ORD-10237</t>
  </si>
  <si>
    <t>C1097</t>
  </si>
  <si>
    <t>ORD-10238</t>
  </si>
  <si>
    <t>client130@example.com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</si>
  <si>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</si>
  <si>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</si>
  <si>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</si>
  <si>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</si>
  <si>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</si>
  <si>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</si>
  <si>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</si>
  <si>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</si>
  <si>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client5@example.com</t>
  </si>
  <si>
    <t>ORD-10247</t>
  </si>
  <si>
    <t>ORD-10248</t>
  </si>
  <si>
    <t>ORD-10249</t>
  </si>
  <si>
    <t>ORD-10250</t>
  </si>
  <si>
    <t>client45@example.com</t>
  </si>
  <si>
    <t>ORD-10251</t>
  </si>
  <si>
    <t>ORD-10252</t>
  </si>
  <si>
    <t>ORD-10253</t>
  </si>
  <si>
    <t>ORD-10254</t>
  </si>
  <si>
    <t>ORD-10255</t>
  </si>
  <si>
    <t>ORD-10256</t>
  </si>
  <si>
    <t>ORD-10257</t>
  </si>
  <si>
    <t>C1049</t>
  </si>
  <si>
    <t>ORD-10258</t>
  </si>
  <si>
    <t>C1013</t>
  </si>
  <si>
    <t>ORD-10259</t>
  </si>
  <si>
    <t>ORD-10260</t>
  </si>
  <si>
    <t>ORD-10262</t>
  </si>
  <si>
    <t>ORD-10263</t>
  </si>
  <si>
    <t>client39@example.com</t>
  </si>
  <si>
    <t>ORD-10264</t>
  </si>
  <si>
    <t>ORD-10265</t>
  </si>
  <si>
    <t>client136@example.com</t>
  </si>
  <si>
    <t>ORD-10266</t>
  </si>
  <si>
    <t>ORD-10267</t>
  </si>
  <si>
    <t>C1102</t>
  </si>
  <si>
    <t>client102@example.com</t>
  </si>
  <si>
    <t>ORD-10268</t>
  </si>
  <si>
    <t>ORD-10269</t>
  </si>
  <si>
    <t>client180@example.com</t>
  </si>
  <si>
    <t>ORD-10270</t>
  </si>
  <si>
    <t>ORD-10271</t>
  </si>
  <si>
    <t>client9@example.com</t>
  </si>
  <si>
    <t>ORD-10272</t>
  </si>
  <si>
    <t>ORD-10273</t>
  </si>
  <si>
    <t>client177@example.com</t>
  </si>
  <si>
    <t>ORD-10274</t>
  </si>
  <si>
    <t>ORD-10275</t>
  </si>
  <si>
    <t>client97@example.com</t>
  </si>
  <si>
    <t>ORD-10276</t>
  </si>
  <si>
    <t>client22@example.com</t>
  </si>
  <si>
    <t>ORD-10277</t>
  </si>
  <si>
    <t>ORD-10278</t>
  </si>
  <si>
    <t>client143@example.com</t>
  </si>
  <si>
    <t>ORD-10279</t>
  </si>
  <si>
    <t>ORD-10280</t>
  </si>
  <si>
    <t>C1074</t>
  </si>
  <si>
    <t>ORD-10282</t>
  </si>
  <si>
    <t>C1121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</si>
  <si>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</si>
  <si>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</si>
  <si>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</si>
  <si>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</si>
  <si>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</si>
  <si>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</si>
  <si>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</si>
  <si>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</si>
  <si>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C1118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</si>
  <si>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</si>
  <si>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</si>
  <si>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</si>
  <si>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</si>
  <si>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</si>
  <si>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</si>
  <si>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</si>
  <si>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</si>
  <si>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</si>
  <si>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</si>
  <si>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MASTER DATA TABLES</t>
  </si>
  <si>
    <t>Customer_Name</t>
  </si>
  <si>
    <t>Email</t>
  </si>
  <si>
    <t>Nova Office</t>
  </si>
  <si>
    <t>contact@novaoffice.ro</t>
  </si>
  <si>
    <t>Techline SRL</t>
  </si>
  <si>
    <t>office@techline.ro</t>
  </si>
  <si>
    <t>Digital Point</t>
  </si>
  <si>
    <t>sales@digitalpoint.ro</t>
  </si>
  <si>
    <t>C1004</t>
  </si>
  <si>
    <t>West Retail</t>
  </si>
  <si>
    <t>contact@westretail.ro</t>
  </si>
  <si>
    <t>East Business</t>
  </si>
  <si>
    <t>office@eastbusiness.ro</t>
  </si>
  <si>
    <t>Smart Work</t>
  </si>
  <si>
    <t>hello@smartwork.ro</t>
  </si>
  <si>
    <t>Office Pro</t>
  </si>
  <si>
    <t>orders@officepro.ro</t>
  </si>
  <si>
    <t>Retail Hub</t>
  </si>
  <si>
    <t>contact@retailhub.ro</t>
  </si>
  <si>
    <t>Modern Desk</t>
  </si>
  <si>
    <t>office@moderndesk.ro</t>
  </si>
  <si>
    <t>Electro Market</t>
  </si>
  <si>
    <t>sales@electromarket.ro</t>
  </si>
  <si>
    <t>Regions</t>
  </si>
  <si>
    <t>Sales_Channels</t>
  </si>
  <si>
    <t>Payment_Methods</t>
  </si>
  <si>
    <t>Order_Statuses</t>
  </si>
  <si>
    <t>Sales_Reps</t>
  </si>
  <si>
    <t>Categories</t>
  </si>
  <si>
    <t>PROJECT SETTINGS</t>
  </si>
  <si>
    <t>Setting</t>
  </si>
  <si>
    <t>Value</t>
  </si>
  <si>
    <t>Purpose</t>
  </si>
  <si>
    <t>Used In</t>
  </si>
  <si>
    <t>Reporting Year</t>
  </si>
  <si>
    <t>Year included in reports</t>
  </si>
  <si>
    <t>Dashboard and validations</t>
  </si>
  <si>
    <t>Currency</t>
  </si>
  <si>
    <t>RON</t>
  </si>
  <si>
    <t>Display currency</t>
  </si>
  <si>
    <t>Financial reports</t>
  </si>
  <si>
    <t>Maximum Discount</t>
  </si>
  <si>
    <t>Highest approved discount</t>
  </si>
  <si>
    <t>Clean_Data validation</t>
  </si>
  <si>
    <t>High Discount Threshold</t>
  </si>
  <si>
    <t>Flags unusually high discounts</t>
  </si>
  <si>
    <t>Clean_Data and checklist</t>
  </si>
  <si>
    <t>Large Order Threshold</t>
  </si>
  <si>
    <t>Classifies large orders</t>
  </si>
  <si>
    <t>Clean_Data segmentation</t>
  </si>
  <si>
    <t>Medium Order Threshold</t>
  </si>
  <si>
    <t>Classifies medium orders</t>
  </si>
  <si>
    <t>Target Profit Margin</t>
  </si>
  <si>
    <t>Desired minimum margin</t>
  </si>
  <si>
    <t>Checklist and dashboard</t>
  </si>
  <si>
    <t>Minimum Quantity</t>
  </si>
  <si>
    <t>Lowest accepted quantity</t>
  </si>
  <si>
    <t>Validation</t>
  </si>
  <si>
    <t>Order ID Prefix</t>
  </si>
  <si>
    <t>ORD-</t>
  </si>
  <si>
    <t>Required order ID pattern</t>
  </si>
  <si>
    <t>Customer ID Prefix</t>
  </si>
  <si>
    <t>C</t>
  </si>
  <si>
    <t>Required customer ID pattern</t>
  </si>
  <si>
    <t>Channels</t>
  </si>
  <si>
    <t>Statuses</t>
  </si>
  <si>
    <t>DATA QUALITY CONTROL CENTER</t>
  </si>
  <si>
    <t>Metric</t>
  </si>
  <si>
    <t>Validation Rule</t>
  </si>
  <si>
    <t>Field</t>
  </si>
  <si>
    <t>Expected Condition</t>
  </si>
  <si>
    <t>Total records</t>
  </si>
  <si>
    <t>Valid records</t>
  </si>
  <si>
    <t>Records with errors</t>
  </si>
  <si>
    <t>Data quality score</t>
  </si>
  <si>
    <t>Duplicate order IDs</t>
  </si>
  <si>
    <t>Missing customer IDs</t>
  </si>
  <si>
    <t>Invalid emails</t>
  </si>
  <si>
    <t>Unknown products</t>
  </si>
  <si>
    <t>Invalid quantities</t>
  </si>
  <si>
    <t>Invalid discounts</t>
  </si>
  <si>
    <t>Missing Order Dates</t>
  </si>
  <si>
    <t>Every transaction requires a valid order date</t>
  </si>
  <si>
    <t>Invalid Unit Prices</t>
  </si>
  <si>
    <t>Unit price must be greater than zero</t>
  </si>
  <si>
    <t>Invalid Revenue</t>
  </si>
  <si>
    <t>Gross and net revenue cannot be negative</t>
  </si>
  <si>
    <t>Quality Metric</t>
  </si>
  <si>
    <t>Total Records</t>
  </si>
  <si>
    <t>Checks Passed</t>
  </si>
  <si>
    <t>Checks Failed</t>
  </si>
  <si>
    <t>Quality Score (%)</t>
  </si>
  <si>
    <t>Overall Status</t>
  </si>
  <si>
    <t>Last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</si>
</sst>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"/>
    <numFmt numFmtId="165" formatCode="#,##0.00\ &quot;RON&quot;"/>
    <numFmt numFmtId="166" formatCode="0.0%"/>
    <numFmt numFmtId="167" formatCode="mmm"/>
    <numFmt numFmtId="168" formatCode="#,##0\ &quot;RON&quot;"/>
    <numFmt numFmtId="169" formatCode="dd\-mmm\-yyyy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color rgb="FF17365D"/>
      <name val="Carlito"/>
    </font>
    <font>
      <b/>
      <sz val="13"/>
      <color rgb="FF17365D"/>
      <name val="Carlito"/>
    </font>
    <font>
      <sz val="11"/>
      <color rgb="FF7F6000"/>
      <name val="Carlito"/>
    </font>
    <font>
      <b/>
      <sz val="11"/>
      <name val="Carlito"/>
    </font>
    <font>
      <i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8FC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8FC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3F8F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4" borderId="0" xfId="0" applyFont="1" applyFill="1" applyBorder="1"/>
    <xf numFmtId="0" fontId="0" fillId="0" borderId="0" xfId="0" applyBorder="1"/>
    <xf numFmtId="0" fontId="1" fillId="7" borderId="0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6" fillId="13" borderId="0" xfId="0" applyFont="1" applyFill="1" applyBorder="1"/>
    <xf numFmtId="167" fontId="0" fillId="0" borderId="0" xfId="0" applyNumberFormat="1" applyBorder="1"/>
    <xf numFmtId="168" fontId="0" fillId="0" borderId="0" xfId="0" applyNumberFormat="1" applyBorder="1"/>
    <xf numFmtId="166" fontId="0" fillId="0" borderId="0" xfId="0" applyNumberFormat="1" applyBorder="1"/>
    <xf numFmtId="165" fontId="0" fillId="0" borderId="0" xfId="0" applyNumberFormat="1" applyBorder="1"/>
    <xf numFmtId="164" fontId="0" fillId="0" borderId="0" xfId="0" applyNumberFormat="1" applyBorder="1"/>
    <xf numFmtId="9" fontId="0" fillId="0" borderId="0" xfId="0" applyNumberFormat="1" applyBorder="1"/>
    <xf numFmtId="49" fontId="0" fillId="0" borderId="0" xfId="0" applyNumberFormat="1" applyBorder="1"/>
    <xf numFmtId="9" fontId="6" fillId="13" borderId="0" xfId="0" applyNumberFormat="1" applyFont="1" applyFill="1" applyBorder="1"/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7" fillId="16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8" fillId="0" borderId="0" xfId="0" applyNumberFormat="1" applyFont="1" applyFill="1" applyBorder="1" applyAlignment="1">
      <alignment horizontal="center"/>
    </xf>
    <xf numFmtId="169" fontId="8" fillId="0" borderId="0" xfId="0" applyNumberFormat="1" applyFont="1" applyFill="1" applyBorder="1" applyAlignment="1">
      <alignment horizontal="center"/>
    </xf>
    <xf numFmtId="166" fontId="5" fillId="9" borderId="1" xfId="0" applyNumberFormat="1" applyFont="1" applyFill="1" applyAlignment="1">
      <alignment horizontal="center"/>
    </xf>
    <xf numFmtId="1" fontId="5" fillId="9" borderId="1" xfId="0" applyNumberFormat="1" applyFont="1" applyFill="1" applyAlignment="1">
      <alignment horizontal="center"/>
    </xf>
    <xf numFmtId="0" fontId="3" fillId="8" borderId="1" xfId="0" applyFont="1" applyFill="1"/>
    <xf numFmtId="0" fontId="3" fillId="4" borderId="1" xfId="0" applyFont="1" applyFill="1" applyAlignment="1">
      <alignment horizontal="center"/>
    </xf>
    <xf numFmtId="165" fontId="5" fillId="9" borderId="1" xfId="0" applyNumberFormat="1" applyFont="1" applyFill="1" applyAlignment="1">
      <alignment horizontal="center"/>
    </xf>
    <xf numFmtId="166" fontId="4" fillId="5" borderId="1" xfId="0" applyNumberFormat="1" applyFont="1" applyFill="1" applyAlignment="1">
      <alignment horizontal="center"/>
    </xf>
    <xf numFmtId="165" fontId="4" fillId="5" borderId="1" xfId="0" applyNumberFormat="1" applyFont="1" applyFill="1" applyAlignment="1">
      <alignment horizontal="center"/>
    </xf>
    <xf numFmtId="0" fontId="2" fillId="3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/>
    </xf>
    <xf numFmtId="165" fontId="5" fillId="15" borderId="1" xfId="0" applyNumberFormat="1" applyFont="1" applyFill="1" applyAlignment="1">
      <alignment horizontal="center" vertical="center"/>
    </xf>
    <xf numFmtId="0" fontId="0" fillId="0" borderId="1" xfId="0"/>
    <xf numFmtId="0" fontId="5" fillId="15" borderId="1" xfId="0" applyFont="1" applyFill="1" applyAlignment="1">
      <alignment horizontal="center" vertical="center"/>
    </xf>
    <xf numFmtId="0" fontId="2" fillId="11" borderId="1" xfId="0" applyFont="1" applyFill="1" applyAlignment="1">
      <alignment horizontal="center" vertical="center"/>
    </xf>
    <xf numFmtId="0" fontId="3" fillId="14" borderId="1" xfId="0" applyFont="1" applyFill="1"/>
    <xf numFmtId="166" fontId="5" fillId="15" borderId="1" xfId="0" applyNumberFormat="1" applyFont="1" applyFill="1" applyAlignment="1">
      <alignment horizontal="center" vertical="center"/>
    </xf>
    <xf numFmtId="0" fontId="2" fillId="6" borderId="1" xfId="0" applyFont="1" applyFill="1" applyAlignment="1">
      <alignment horizontal="center" vertical="center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8" formatCode="#,##0\ &quot;RON&quot;"/>
    </dxf>
    <dxf>
      <numFmt numFmtId="168" formatCode="#,##0\ &quot;RON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8" formatCode="#,##0\ &quot;RON&quot;"/>
    </dxf>
    <dxf>
      <numFmt numFmtId="168" formatCode="#,##0\ &quot;RON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6" formatCode="0.0%"/>
    </dxf>
    <dxf>
      <numFmt numFmtId="168" formatCode="#,##0\ &quot;RON&quot;"/>
    </dxf>
    <dxf>
      <numFmt numFmtId="168" formatCode="#,##0\ &quot;RON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8" formatCode="#,##0\ &quot;RON&quot;"/>
    </dxf>
    <dxf>
      <numFmt numFmtId="168" formatCode="#,##0\ &quot;RON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numFmt numFmtId="168" formatCode="#,##0\ &quot;RON&quot;"/>
    </dxf>
    <dxf>
      <numFmt numFmtId="168" formatCode="#,##0\ &quot;RON&quot;"/>
    </dxf>
    <dxf>
      <numFmt numFmtId="167" formatCode="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Monthly Revenue and Profit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Revenue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Dashboard!$A$14:$A$25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Dashboard!$B$14:$B$25</c:f>
              <c:numCache>
                <c:formatCode>#,##0\ "RON"</c:formatCode>
                <c:ptCount val="12"/>
                <c:pt idx="0">
                  <c:v>47265.25</c:v>
                </c:pt>
                <c:pt idx="1">
                  <c:v>43138.25</c:v>
                </c:pt>
                <c:pt idx="2">
                  <c:v>31816</c:v>
                </c:pt>
                <c:pt idx="3">
                  <c:v>61868.75</c:v>
                </c:pt>
                <c:pt idx="4">
                  <c:v>52849.75</c:v>
                </c:pt>
                <c:pt idx="5">
                  <c:v>57249.25</c:v>
                </c:pt>
                <c:pt idx="6">
                  <c:v>29954.75</c:v>
                </c:pt>
                <c:pt idx="7">
                  <c:v>63109.5</c:v>
                </c:pt>
                <c:pt idx="8">
                  <c:v>73064.25</c:v>
                </c:pt>
                <c:pt idx="9">
                  <c:v>46952.25</c:v>
                </c:pt>
                <c:pt idx="10">
                  <c:v>90837.75</c:v>
                </c:pt>
                <c:pt idx="11">
                  <c:v>63654.5</c:v>
                </c:pt>
              </c:numCache>
            </c:numRef>
          </c:val>
          <c:smooth val="0"/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Dashboard!$A$14:$A$25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Dashboard!$C$14:$C$25</c:f>
              <c:numCache>
                <c:formatCode>#,##0\ "RON"</c:formatCode>
                <c:ptCount val="12"/>
                <c:pt idx="0">
                  <c:v>12056.25</c:v>
                </c:pt>
                <c:pt idx="1">
                  <c:v>11242.25</c:v>
                </c:pt>
                <c:pt idx="2">
                  <c:v>9222</c:v>
                </c:pt>
                <c:pt idx="3">
                  <c:v>15412.75</c:v>
                </c:pt>
                <c:pt idx="4">
                  <c:v>14995.75</c:v>
                </c:pt>
                <c:pt idx="5">
                  <c:v>16863.25</c:v>
                </c:pt>
                <c:pt idx="6">
                  <c:v>6969.75</c:v>
                </c:pt>
                <c:pt idx="7">
                  <c:v>18403.5</c:v>
                </c:pt>
                <c:pt idx="8">
                  <c:v>19409.25</c:v>
                </c:pt>
                <c:pt idx="9">
                  <c:v>10678.25</c:v>
                </c:pt>
                <c:pt idx="10">
                  <c:v>20538.75</c:v>
                </c:pt>
                <c:pt idx="11">
                  <c:v>15116.5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32704"/>
        <c:axId val="203838592"/>
      </c:lineChart>
      <c:dateAx>
        <c:axId val="20383270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838592"/>
        <c:crosses val="autoZero"/>
        <c:auto val="1"/>
        <c:lblOffset val="100"/>
        <c:baseTimeUnit val="months"/>
      </c:dateAx>
      <c:valAx>
        <c:axId val="20383859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83270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Performance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Revenue</c:v>
          </c:tx>
          <c:spPr>
            <a:ln>
              <a:prstDash val="solid"/>
            </a:ln>
          </c:spPr>
          <c:invertIfNegative val="1"/>
          <c:cat>
            <c:strRef>
              <c:f>Dashboard!$F$14:$F$18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Dashboard!$G$14:$G$18</c:f>
              <c:numCache>
                <c:formatCode>#,##0\ "RON"</c:formatCode>
                <c:ptCount val="5"/>
                <c:pt idx="0">
                  <c:v>84871</c:v>
                </c:pt>
                <c:pt idx="1">
                  <c:v>121630.25</c:v>
                </c:pt>
                <c:pt idx="2">
                  <c:v>194550.75</c:v>
                </c:pt>
                <c:pt idx="3">
                  <c:v>147815.75</c:v>
                </c:pt>
                <c:pt idx="4">
                  <c:v>112892.5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Dashboard!$F$14:$F$18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Dashboard!$H$14:$H$18</c:f>
              <c:numCache>
                <c:formatCode>#,##0\ "RON"</c:formatCode>
                <c:ptCount val="5"/>
                <c:pt idx="0">
                  <c:v>22597</c:v>
                </c:pt>
                <c:pt idx="1">
                  <c:v>32267.25</c:v>
                </c:pt>
                <c:pt idx="2">
                  <c:v>49004.75</c:v>
                </c:pt>
                <c:pt idx="3">
                  <c:v>36950.75</c:v>
                </c:pt>
                <c:pt idx="4">
                  <c:v>30088.5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59840"/>
        <c:axId val="203861376"/>
      </c:barChart>
      <c:catAx>
        <c:axId val="20385984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861376"/>
        <c:crosses val="autoZero"/>
        <c:auto val="1"/>
        <c:lblAlgn val="ctr"/>
        <c:lblOffset val="100"/>
        <c:noMultiLvlLbl val="0"/>
      </c:catAx>
      <c:valAx>
        <c:axId val="20386137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85984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Revenue and Profit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Filtered_Dashboard!$A$15:$A$19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Filtered_Dashboard!$B$15:$B$19</c:f>
              <c:numCache>
                <c:formatCode>#,##0\ "RON"</c:formatCode>
                <c:ptCount val="5"/>
                <c:pt idx="0">
                  <c:v>84871</c:v>
                </c:pt>
                <c:pt idx="1">
                  <c:v>121630.25</c:v>
                </c:pt>
                <c:pt idx="2">
                  <c:v>194550.75</c:v>
                </c:pt>
                <c:pt idx="3">
                  <c:v>147815.75</c:v>
                </c:pt>
                <c:pt idx="4">
                  <c:v>112892.5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Filtered_Dashboard!$A$15:$A$19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Filtered_Dashboard!$C$15:$C$19</c:f>
              <c:numCache>
                <c:formatCode>#,##0\ "RON"</c:formatCode>
                <c:ptCount val="5"/>
                <c:pt idx="0">
                  <c:v>22597</c:v>
                </c:pt>
                <c:pt idx="1">
                  <c:v>32267.25</c:v>
                </c:pt>
                <c:pt idx="2">
                  <c:v>49004.75</c:v>
                </c:pt>
                <c:pt idx="3">
                  <c:v>36950.75</c:v>
                </c:pt>
                <c:pt idx="4">
                  <c:v>30088.5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82560"/>
        <c:axId val="203684096"/>
      </c:barChart>
      <c:catAx>
        <c:axId val="20368256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684096"/>
        <c:crosses val="autoZero"/>
        <c:auto val="1"/>
        <c:lblAlgn val="ctr"/>
        <c:lblOffset val="100"/>
        <c:noMultiLvlLbl val="0"/>
      </c:catAx>
      <c:valAx>
        <c:axId val="20368409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68256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Revenue and Profit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Filtered_Dashboard!$F$15:$F$17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Filtered_Dashboard!$G$15:$G$17</c:f>
              <c:numCache>
                <c:formatCode>#,##0\ "RON"</c:formatCode>
                <c:ptCount val="3"/>
                <c:pt idx="0">
                  <c:v>66527</c:v>
                </c:pt>
                <c:pt idx="1">
                  <c:v>257639.75</c:v>
                </c:pt>
                <c:pt idx="2">
                  <c:v>337593.5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Filtered_Dashboard!$F$15:$F$17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Filtered_Dashboard!$H$15:$H$17</c:f>
              <c:numCache>
                <c:formatCode>#,##0\ "RON"</c:formatCode>
                <c:ptCount val="3"/>
                <c:pt idx="0">
                  <c:v>25449</c:v>
                </c:pt>
                <c:pt idx="1">
                  <c:v>67695.75</c:v>
                </c:pt>
                <c:pt idx="2">
                  <c:v>77763.5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719424"/>
        <c:axId val="203720960"/>
      </c:barChart>
      <c:catAx>
        <c:axId val="20371942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720960"/>
        <c:crosses val="autoZero"/>
        <c:auto val="1"/>
        <c:lblAlgn val="ctr"/>
        <c:lblOffset val="100"/>
        <c:noMultiLvlLbl val="0"/>
      </c:catAx>
      <c:valAx>
        <c:axId val="20372096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371942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Revenue Target vs Actual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Target</c:v>
          </c:tx>
          <c:spPr>
            <a:ln>
              <a:prstDash val="solid"/>
            </a:ln>
          </c:spPr>
          <c:invertIfNegative val="1"/>
          <c:cat>
            <c:strRef>
              <c:f>Target_vs_Actual!$L$5:$L$9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Target_vs_Actual!$M$5:$M$9</c:f>
              <c:numCache>
                <c:formatCode>#,##0\ "RON"</c:formatCode>
                <c:ptCount val="5"/>
                <c:pt idx="0">
                  <c:v>137100</c:v>
                </c:pt>
                <c:pt idx="1">
                  <c:v>144900</c:v>
                </c:pt>
                <c:pt idx="2">
                  <c:v>152700</c:v>
                </c:pt>
                <c:pt idx="3">
                  <c:v>160500</c:v>
                </c:pt>
                <c:pt idx="4">
                  <c:v>168300</c:v>
                </c:pt>
              </c:numCache>
            </c:numRef>
          </c:val>
        </c:ser>
        <c:ser>
          <c:idx val="1"/>
          <c:order val="1"/>
          <c:tx>
            <c:v>Actual Revenue</c:v>
          </c:tx>
          <c:spPr>
            <a:ln>
              <a:prstDash val="solid"/>
            </a:ln>
          </c:spPr>
          <c:invertIfNegative val="1"/>
          <c:cat>
            <c:strRef>
              <c:f>Target_vs_Actual!$L$5:$L$9</c:f>
              <c:strCache>
                <c:ptCount val="5"/>
                <c:pt idx="0">
                  <c:v>Bucharest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Target_vs_Actual!$N$5:$N$9</c:f>
              <c:numCache>
                <c:formatCode>#,##0\ "RON"</c:formatCode>
                <c:ptCount val="5"/>
                <c:pt idx="0">
                  <c:v>84871</c:v>
                </c:pt>
                <c:pt idx="1">
                  <c:v>121630.25</c:v>
                </c:pt>
                <c:pt idx="2">
                  <c:v>194550.75</c:v>
                </c:pt>
                <c:pt idx="3">
                  <c:v>147815.75</c:v>
                </c:pt>
                <c:pt idx="4">
                  <c:v>112892.5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73312"/>
        <c:axId val="204174848"/>
      </c:barChart>
      <c:catAx>
        <c:axId val="2041733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4174848"/>
        <c:crosses val="autoZero"/>
        <c:auto val="1"/>
        <c:lblAlgn val="ctr"/>
        <c:lblOffset val="100"/>
        <c:noMultiLvlLbl val="0"/>
      </c:catAx>
      <c:valAx>
        <c:axId val="20417484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2041733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8" name="Table8" displayName="Table8" ref="A13:D25" totalsRowShown="0" headerRowDxfId="29">
  <autoFilter ref="A13:D25"/>
  <tableColumns count="4">
    <tableColumn id="1" name="Month" dataDxfId="32"/>
    <tableColumn id="2" name="Net Revenue" dataDxfId="31">
      <calculatedColumnFormula>SUMIFS(Clean_Data!$R$2:$R$301,Clean_Data!$B$2:$B$301,"&gt;="&amp;A14,Clean_Data!$B$2:$B$301,"&lt;"&amp;EDATE(A14,1),Clean_Data!$V$2:$V$301,"VALID",Clean_Data!$P$2:$P$301,"Completed")</calculatedColumnFormula>
    </tableColumn>
    <tableColumn id="3" name="Profit" dataDxfId="30">
      <calculatedColumnFormula>SUMIFS(Clean_Data!$T$2:$T$301,Clean_Data!$B$2:$B$301,"&gt;="&amp;A14,Clean_Data!$B$2:$B$301,"&lt;"&amp;EDATE(A14,1),Clean_Data!$V$2:$V$301,"VALID",Clean_Data!$P$2:$P$301,"Completed")</calculatedColumnFormula>
    </tableColumn>
    <tableColumn id="4" name="Completed Orders">
      <calculatedColumnFormula>COUNTIFS(Clean_Data!$B$2:$B$301,"&gt;="&amp;A14,Clean_Data!$B$2:$B$301,"&lt;"&amp;EDATE(A14,1),Clean_Data!$V$2:$V$301,"VALID",Clean_Data!$P$2:$P$301,"Completed")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F13:I18" totalsRowShown="0" headerRowDxfId="26">
  <autoFilter ref="F13:I18"/>
  <tableColumns count="4">
    <tableColumn id="1" name="Region"/>
    <tableColumn id="2" name="Net Revenue" dataDxfId="28">
      <calculatedColumnFormula>SUMIFS(Clean_Data!$R$2:$R$301,Clean_Data!$H$2:$H$301,F14,Clean_Data!$V$2:$V$301,"VALID",Clean_Data!$P$2:$P$301,"Completed")</calculatedColumnFormula>
    </tableColumn>
    <tableColumn id="3" name="Profit" dataDxfId="27">
      <calculatedColumnFormula>SUMIFS(Clean_Data!$T$2:$T$301,Clean_Data!$H$2:$H$301,F14,Clean_Data!$V$2:$V$301,"VALID",Clean_Data!$P$2:$P$301,"Completed")</calculatedColumnFormula>
    </tableColumn>
    <tableColumn id="4" name="Orders">
      <calculatedColumnFormula>COUNTIFS(Clean_Data!$H$2:$H$301,F14,Clean_Data!$V$2:$V$301,"VALID",Clean_Data!$P$2:$P$301,"Completed")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Table10" displayName="Table10" ref="F21:I24" totalsRowShown="0" headerRowDxfId="22">
  <autoFilter ref="F21:I24"/>
  <tableColumns count="4">
    <tableColumn id="1" name="Category"/>
    <tableColumn id="2" name="Net Revenue" dataDxfId="25">
      <calculatedColumnFormula>SUMIFS(Clean_Data!$R$2:$R$301,Clean_Data!$G$2:$G$301,F22,Clean_Data!$V$2:$V$301,"VALID",Clean_Data!$P$2:$P$301,"Completed")</calculatedColumnFormula>
    </tableColumn>
    <tableColumn id="3" name="Profit" dataDxfId="24">
      <calculatedColumnFormula>SUMIFS(Clean_Data!$T$2:$T$301,Clean_Data!$G$2:$G$301,F22,Clean_Data!$V$2:$V$301,"VALID",Clean_Data!$P$2:$P$301,"Completed")</calculatedColumnFormula>
    </tableColumn>
    <tableColumn id="4" name="Margin" dataDxfId="23">
      <calculatedColumnFormula>IFERROR(H22/G22,0)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e11" displayName="Table11" ref="A14:D19" totalsRowShown="0" headerRowDxfId="19">
  <autoFilter ref="A14:D19"/>
  <tableColumns count="4">
    <tableColumn id="1" name="Region"/>
    <tableColumn id="2" name="Revenue" dataDxfId="21"/>
    <tableColumn id="3" name="Profit" dataDxfId="20"/>
    <tableColumn id="4" name="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Table12" displayName="Table12" ref="F14:I17" totalsRowShown="0" headerRowDxfId="16">
  <autoFilter ref="F14:I17"/>
  <tableColumns count="4">
    <tableColumn id="1" name="Category"/>
    <tableColumn id="2" name="Revenue" dataDxfId="18"/>
    <tableColumn id="3" name="Profit" dataDxfId="17"/>
    <tableColumn id="4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" name="TargetActualTable" displayName="TargetActualTable" ref="A4:J64">
  <tableColumns count="10">
    <tableColumn id="1" name="Month"/>
    <tableColumn id="2" name="Region"/>
    <tableColumn id="3" name="Revenue_Target"/>
    <tableColumn id="4" name="Actual_Revenue"/>
    <tableColumn id="5" name="Revenue_Variance"/>
    <tableColumn id="6" name="Revenue_Achievement"/>
    <tableColumn id="7" name="Profit_Target"/>
    <tableColumn id="8" name="Actual_Profit"/>
    <tableColumn id="9" name="Profit_Variance"/>
    <tableColumn id="10" name="Profit_Achieve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:E17" totalsRowShown="0" headerRowDxfId="33" dataDxfId="34">
  <autoFilter ref="A4:E17"/>
  <tableColumns count="5">
    <tableColumn id="1" name="Check"/>
    <tableColumn id="2" name="Result" dataDxfId="38"/>
    <tableColumn id="3" name="Status" dataDxfId="37">
      <calculatedColumnFormula>IF(B5=0,"PASS","CHECK")</calculatedColumnFormula>
    </tableColumn>
    <tableColumn id="4" name="Severity" dataDxfId="36"/>
    <tableColumn id="5" name="Meaning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ErrorReportTable" displayName="ErrorReportTable" ref="A4:H16">
  <tableColumns count="8">
    <tableColumn id="1" name="Source_Row"/>
    <tableColumn id="2" name="Order_ID"/>
    <tableColumn id="3" name="Field_or_Rule"/>
    <tableColumn id="4" name="Invalid_Value"/>
    <tableColumn id="5" name="Error_Type"/>
    <tableColumn id="6" name="Severity"/>
    <tableColumn id="7" name="Recommended_Action"/>
    <tableColumn id="8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CleanSalesTable" displayName="CleanSalesTable" ref="A1:W301">
  <autoFilter ref="A1:W301"/>
  <tableColumns count="23">
    <tableColumn id="1" name="Order_ID"/>
    <tableColumn id="2" name="Order_Date"/>
    <tableColumn id="3" name="Customer_ID"/>
    <tableColumn id="4" name="Customer_Email"/>
    <tableColumn id="5" name="Product_ID"/>
    <tableColumn id="6" name="Product_Name"/>
    <tableColumn id="7" name="Category"/>
    <tableColumn id="8" name="Region"/>
    <tableColumn id="9" name="Sales_Channel"/>
    <tableColumn id="10" name="Sales_Representative"/>
    <tableColumn id="11" name="Quantity"/>
    <tableColumn id="12" name="Unit_Price"/>
    <tableColumn id="13" name="Unit_Cost"/>
    <tableColumn id="14" name="Discount_Rate"/>
    <tableColumn id="15" name="Payment_Method"/>
    <tableColumn id="16" name="Order_Status"/>
    <tableColumn id="17" name="Gross_Revenue"/>
    <tableColumn id="18" name="Net_Revenue"/>
    <tableColumn id="19" name="Total_Cost"/>
    <tableColumn id="20" name="Profit"/>
    <tableColumn id="21" name="Profit_Margin"/>
    <tableColumn id="22" name="Validation_Status"/>
    <tableColumn id="23" name="Error_Detail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RawSalesTable" displayName="RawSalesTable" ref="A1:P301">
  <autoFilter ref="A1:P301"/>
  <tableColumns count="16">
    <tableColumn id="1" name="Order_ID"/>
    <tableColumn id="2" name="Order_Date"/>
    <tableColumn id="3" name="Customer_ID"/>
    <tableColumn id="4" name="Customer_Email"/>
    <tableColumn id="5" name="Product_ID"/>
    <tableColumn id="6" name="Product_Name"/>
    <tableColumn id="7" name="Category"/>
    <tableColumn id="8" name="Region"/>
    <tableColumn id="9" name="Sales_Channel"/>
    <tableColumn id="10" name="Sales_Representative"/>
    <tableColumn id="11" name="Quantity"/>
    <tableColumn id="12" name="Unit_Price"/>
    <tableColumn id="13" name="Unit_Cost"/>
    <tableColumn id="14" name="Discount_Rate"/>
    <tableColumn id="15" name="Payment_Method"/>
    <tableColumn id="16" name="Order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5" name="ProductsMasterTable" displayName="ProductsMasterTable" ref="A4:E14">
  <autoFilter ref="A4:E14"/>
  <tableColumns count="5">
    <tableColumn id="1" name="Product_ID"/>
    <tableColumn id="2" name="Product_Name"/>
    <tableColumn id="3" name="Category"/>
    <tableColumn id="4" name="Unit_Price"/>
    <tableColumn id="5" name="Unit_Cos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6" name="CustomersMasterTable" displayName="CustomersMasterTable" ref="G4:J14">
  <autoFilter ref="G4:J14"/>
  <tableColumns count="4">
    <tableColumn id="1" name="Customer_ID"/>
    <tableColumn id="2" name="Customer_Name"/>
    <tableColumn id="3" name="Email"/>
    <tableColumn id="4" name="Reg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Table15" displayName="Table15" ref="A1:E11" totalsRowShown="0" headerRowDxfId="1">
  <autoFilter ref="A1:E11"/>
  <tableColumns count="5">
    <tableColumn id="1" name="Product_ID"/>
    <tableColumn id="2" name="Product_Name"/>
    <tableColumn id="3" name="Category"/>
    <tableColumn id="4" name="Unit_Price"/>
    <tableColumn id="5" name="Unit_Cos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Table16" displayName="Table16" ref="G1:K6" totalsRowShown="0" headerRowDxfId="0">
  <autoFilter ref="G1:K6"/>
  <tableColumns count="5">
    <tableColumn id="1" name="Regions"/>
    <tableColumn id="2" name="Channels"/>
    <tableColumn id="3" name="Sales_Reps"/>
    <tableColumn id="4" name="Payment_Methods"/>
    <tableColumn id="5" name="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F21" sqref="F21:I24"/>
    </sheetView>
  </sheetViews>
  <sheetFormatPr defaultRowHeight="14.25"/>
  <cols>
    <col min="1" max="1" width="14" style="4" customWidth="1"/>
    <col min="2" max="2" width="60" style="4" customWidth="1"/>
    <col min="3" max="3" width="14" style="4" customWidth="1"/>
    <col min="4" max="4" width="19.125" style="4" customWidth="1"/>
    <col min="5" max="6" width="14" style="4" customWidth="1"/>
    <col min="7" max="7" width="14.5" style="4" customWidth="1"/>
    <col min="8" max="12" width="14" style="4" customWidth="1"/>
  </cols>
  <sheetData>
    <row r="1" spans="1:12" ht="14.2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 ht="15">
      <c r="A4" s="28" t="s">
        <v>1</v>
      </c>
      <c r="B4" s="28"/>
      <c r="C4" s="28"/>
      <c r="E4" s="28" t="s">
        <v>2</v>
      </c>
      <c r="F4" s="28"/>
      <c r="G4" s="28"/>
      <c r="I4" s="28" t="s">
        <v>3</v>
      </c>
      <c r="J4" s="28"/>
      <c r="K4" s="28"/>
    </row>
    <row r="5" spans="1:12" ht="14.25" customHeight="1">
      <c r="A5" s="31">
        <f>SUMIFS(Clean_Data!R2:R301,Clean_Data!V2:V301,"VALID",Clean_Data!P2:P301,"Completed")</f>
        <v>661760.25</v>
      </c>
      <c r="B5" s="31"/>
      <c r="C5" s="31"/>
      <c r="E5" s="31">
        <f>SUMIFS(Clean_Data!T2:T301,Clean_Data!V2:V301,"VALID",Clean_Data!P2:P301,"Completed")</f>
        <v>170908.25</v>
      </c>
      <c r="F5" s="31"/>
      <c r="G5" s="31"/>
      <c r="I5" s="33">
        <f>COUNTIFS(Clean_Data!V2:V301,"VALID",Clean_Data!P2:P301,"Completed")</f>
        <v>204</v>
      </c>
      <c r="J5" s="33"/>
      <c r="K5" s="33"/>
    </row>
    <row r="6" spans="1:12">
      <c r="A6" s="31"/>
      <c r="B6" s="31"/>
      <c r="C6" s="31"/>
      <c r="E6" s="31"/>
      <c r="F6" s="31"/>
      <c r="G6" s="31"/>
      <c r="I6" s="33"/>
      <c r="J6" s="33"/>
      <c r="K6" s="33"/>
    </row>
    <row r="8" spans="1:12" ht="15">
      <c r="A8" s="28" t="s">
        <v>4</v>
      </c>
      <c r="B8" s="28"/>
      <c r="C8" s="28"/>
      <c r="E8" s="28" t="s">
        <v>5</v>
      </c>
      <c r="F8" s="28"/>
      <c r="G8" s="28"/>
      <c r="I8" s="28" t="s">
        <v>6</v>
      </c>
      <c r="J8" s="28"/>
      <c r="K8" s="28"/>
    </row>
    <row r="9" spans="1:12" ht="14.25" customHeight="1">
      <c r="A9" s="31">
        <f>IFERROR(A5/I5,0)</f>
        <v>3243.9227941176468</v>
      </c>
      <c r="B9" s="31"/>
      <c r="C9" s="31"/>
      <c r="E9" s="30">
        <f>IFERROR(E5/A5,0)</f>
        <v>0.2582630945270587</v>
      </c>
      <c r="F9" s="30"/>
      <c r="G9" s="30"/>
      <c r="I9" s="30">
        <f>Data_Validation!B7</f>
        <v>0.97</v>
      </c>
      <c r="J9" s="30"/>
      <c r="K9" s="30"/>
    </row>
    <row r="10" spans="1:12">
      <c r="A10" s="31"/>
      <c r="B10" s="31"/>
      <c r="C10" s="31"/>
      <c r="E10" s="30"/>
      <c r="F10" s="30"/>
      <c r="G10" s="30"/>
      <c r="I10" s="30"/>
      <c r="J10" s="30"/>
      <c r="K10" s="30"/>
    </row>
    <row r="13" spans="1:12" ht="30">
      <c r="A13" s="1" t="s">
        <v>7</v>
      </c>
      <c r="B13" s="1" t="s">
        <v>8</v>
      </c>
      <c r="C13" s="1" t="s">
        <v>9</v>
      </c>
      <c r="D13" s="1" t="s">
        <v>3</v>
      </c>
      <c r="F13" s="1" t="s">
        <v>10</v>
      </c>
      <c r="G13" s="1" t="s">
        <v>8</v>
      </c>
      <c r="H13" s="1" t="s">
        <v>9</v>
      </c>
      <c r="I13" s="1" t="s">
        <v>11</v>
      </c>
    </row>
    <row r="14" spans="1:12">
      <c r="A14" s="9">
        <v>45658</v>
      </c>
      <c r="B14" s="10">
        <f>SUMIFS(Clean_Data!$R$2:$R$301,Clean_Data!$B$2:$B$301,"&gt;="&amp;A14,Clean_Data!$B$2:$B$301,"&lt;"&amp;EDATE(A14,1),Clean_Data!$V$2:$V$301,"VALID",Clean_Data!$P$2:$P$301,"Completed")</f>
        <v>47265.25</v>
      </c>
      <c r="C14" s="10">
        <f>SUMIFS(Clean_Data!$T$2:$T$301,Clean_Data!$B$2:$B$301,"&gt;="&amp;A14,Clean_Data!$B$2:$B$301,"&lt;"&amp;EDATE(A14,1),Clean_Data!$V$2:$V$301,"VALID",Clean_Data!$P$2:$P$301,"Completed")</f>
        <v>12056.25</v>
      </c>
      <c r="D14">
        <f>COUNTIFS(Clean_Data!$B$2:$B$301,"&gt;="&amp;A14,Clean_Data!$B$2:$B$301,"&lt;"&amp;EDATE(A14,1),Clean_Data!$V$2:$V$301,"VALID",Clean_Data!$P$2:$P$301,"Completed")</f>
        <v>16</v>
      </c>
      <c r="F14" t="s">
        <v>12</v>
      </c>
      <c r="G14" s="10">
        <f>SUMIFS(Clean_Data!$R$2:$R$301,Clean_Data!$H$2:$H$301,F14,Clean_Data!$V$2:$V$301,"VALID",Clean_Data!$P$2:$P$301,"Completed")</f>
        <v>84871</v>
      </c>
      <c r="H14" s="10">
        <f>SUMIFS(Clean_Data!$T$2:$T$301,Clean_Data!$H$2:$H$301,F14,Clean_Data!$V$2:$V$301,"VALID",Clean_Data!$P$2:$P$301,"Completed")</f>
        <v>22597</v>
      </c>
      <c r="I14">
        <f>COUNTIFS(Clean_Data!$H$2:$H$301,F14,Clean_Data!$V$2:$V$301,"VALID",Clean_Data!$P$2:$P$301,"Completed")</f>
        <v>36</v>
      </c>
    </row>
    <row r="15" spans="1:12">
      <c r="A15" s="9">
        <v>45689</v>
      </c>
      <c r="B15" s="10">
        <f>SUMIFS(Clean_Data!$R$2:$R$301,Clean_Data!$B$2:$B$301,"&gt;="&amp;A15,Clean_Data!$B$2:$B$301,"&lt;"&amp;EDATE(A15,1),Clean_Data!$V$2:$V$301,"VALID",Clean_Data!$P$2:$P$301,"Completed")</f>
        <v>43138.25</v>
      </c>
      <c r="C15" s="10">
        <f>SUMIFS(Clean_Data!$T$2:$T$301,Clean_Data!$B$2:$B$301,"&gt;="&amp;A15,Clean_Data!$B$2:$B$301,"&lt;"&amp;EDATE(A15,1),Clean_Data!$V$2:$V$301,"VALID",Clean_Data!$P$2:$P$301,"Completed")</f>
        <v>11242.25</v>
      </c>
      <c r="D15">
        <f>COUNTIFS(Clean_Data!$B$2:$B$301,"&gt;="&amp;A15,Clean_Data!$B$2:$B$301,"&lt;"&amp;EDATE(A15,1),Clean_Data!$V$2:$V$301,"VALID",Clean_Data!$P$2:$P$301,"Completed")</f>
        <v>12</v>
      </c>
      <c r="F15" t="s">
        <v>13</v>
      </c>
      <c r="G15" s="10">
        <f>SUMIFS(Clean_Data!$R$2:$R$301,Clean_Data!$H$2:$H$301,F15,Clean_Data!$V$2:$V$301,"VALID",Clean_Data!$P$2:$P$301,"Completed")</f>
        <v>121630.25</v>
      </c>
      <c r="H15" s="10">
        <f>SUMIFS(Clean_Data!$T$2:$T$301,Clean_Data!$H$2:$H$301,F15,Clean_Data!$V$2:$V$301,"VALID",Clean_Data!$P$2:$P$301,"Completed")</f>
        <v>32267.25</v>
      </c>
      <c r="I15">
        <f>COUNTIFS(Clean_Data!$H$2:$H$301,F15,Clean_Data!$V$2:$V$301,"VALID",Clean_Data!$P$2:$P$301,"Completed")</f>
        <v>36</v>
      </c>
    </row>
    <row r="16" spans="1:12">
      <c r="A16" s="9">
        <v>45717</v>
      </c>
      <c r="B16" s="10">
        <f>SUMIFS(Clean_Data!$R$2:$R$301,Clean_Data!$B$2:$B$301,"&gt;="&amp;A16,Clean_Data!$B$2:$B$301,"&lt;"&amp;EDATE(A16,1),Clean_Data!$V$2:$V$301,"VALID",Clean_Data!$P$2:$P$301,"Completed")</f>
        <v>31816</v>
      </c>
      <c r="C16" s="10">
        <f>SUMIFS(Clean_Data!$T$2:$T$301,Clean_Data!$B$2:$B$301,"&gt;="&amp;A16,Clean_Data!$B$2:$B$301,"&lt;"&amp;EDATE(A16,1),Clean_Data!$V$2:$V$301,"VALID",Clean_Data!$P$2:$P$301,"Completed")</f>
        <v>9222</v>
      </c>
      <c r="D16">
        <f>COUNTIFS(Clean_Data!$B$2:$B$301,"&gt;="&amp;A16,Clean_Data!$B$2:$B$301,"&lt;"&amp;EDATE(A16,1),Clean_Data!$V$2:$V$301,"VALID",Clean_Data!$P$2:$P$301,"Completed")</f>
        <v>13</v>
      </c>
      <c r="F16" t="s">
        <v>14</v>
      </c>
      <c r="G16" s="10">
        <f>SUMIFS(Clean_Data!$R$2:$R$301,Clean_Data!$H$2:$H$301,F16,Clean_Data!$V$2:$V$301,"VALID",Clean_Data!$P$2:$P$301,"Completed")</f>
        <v>194550.75</v>
      </c>
      <c r="H16" s="10">
        <f>SUMIFS(Clean_Data!$T$2:$T$301,Clean_Data!$H$2:$H$301,F16,Clean_Data!$V$2:$V$301,"VALID",Clean_Data!$P$2:$P$301,"Completed")</f>
        <v>49004.75</v>
      </c>
      <c r="I16">
        <f>COUNTIFS(Clean_Data!$H$2:$H$301,F16,Clean_Data!$V$2:$V$301,"VALID",Clean_Data!$P$2:$P$301,"Completed")</f>
        <v>46</v>
      </c>
    </row>
    <row r="17" spans="1:9">
      <c r="A17" s="9">
        <v>45748</v>
      </c>
      <c r="B17" s="10">
        <f>SUMIFS(Clean_Data!$R$2:$R$301,Clean_Data!$B$2:$B$301,"&gt;="&amp;A17,Clean_Data!$B$2:$B$301,"&lt;"&amp;EDATE(A17,1),Clean_Data!$V$2:$V$301,"VALID",Clean_Data!$P$2:$P$301,"Completed")</f>
        <v>61868.75</v>
      </c>
      <c r="C17" s="10">
        <f>SUMIFS(Clean_Data!$T$2:$T$301,Clean_Data!$B$2:$B$301,"&gt;="&amp;A17,Clean_Data!$B$2:$B$301,"&lt;"&amp;EDATE(A17,1),Clean_Data!$V$2:$V$301,"VALID",Clean_Data!$P$2:$P$301,"Completed")</f>
        <v>15412.75</v>
      </c>
      <c r="D17">
        <f>COUNTIFS(Clean_Data!$B$2:$B$301,"&gt;="&amp;A17,Clean_Data!$B$2:$B$301,"&lt;"&amp;EDATE(A17,1),Clean_Data!$V$2:$V$301,"VALID",Clean_Data!$P$2:$P$301,"Completed")</f>
        <v>13</v>
      </c>
      <c r="F17" t="s">
        <v>15</v>
      </c>
      <c r="G17" s="10">
        <f>SUMIFS(Clean_Data!$R$2:$R$301,Clean_Data!$H$2:$H$301,F17,Clean_Data!$V$2:$V$301,"VALID",Clean_Data!$P$2:$P$301,"Completed")</f>
        <v>147815.75</v>
      </c>
      <c r="H17" s="10">
        <f>SUMIFS(Clean_Data!$T$2:$T$301,Clean_Data!$H$2:$H$301,F17,Clean_Data!$V$2:$V$301,"VALID",Clean_Data!$P$2:$P$301,"Completed")</f>
        <v>36950.75</v>
      </c>
      <c r="I17">
        <f>COUNTIFS(Clean_Data!$H$2:$H$301,F17,Clean_Data!$V$2:$V$301,"VALID",Clean_Data!$P$2:$P$301,"Completed")</f>
        <v>41</v>
      </c>
    </row>
    <row r="18" spans="1:9">
      <c r="A18" s="9">
        <v>45778</v>
      </c>
      <c r="B18" s="10">
        <f>SUMIFS(Clean_Data!$R$2:$R$301,Clean_Data!$B$2:$B$301,"&gt;="&amp;A18,Clean_Data!$B$2:$B$301,"&lt;"&amp;EDATE(A18,1),Clean_Data!$V$2:$V$301,"VALID",Clean_Data!$P$2:$P$301,"Completed")</f>
        <v>52849.75</v>
      </c>
      <c r="C18" s="10">
        <f>SUMIFS(Clean_Data!$T$2:$T$301,Clean_Data!$B$2:$B$301,"&gt;="&amp;A18,Clean_Data!$B$2:$B$301,"&lt;"&amp;EDATE(A18,1),Clean_Data!$V$2:$V$301,"VALID",Clean_Data!$P$2:$P$301,"Completed")</f>
        <v>14995.75</v>
      </c>
      <c r="D18">
        <f>COUNTIFS(Clean_Data!$B$2:$B$301,"&gt;="&amp;A18,Clean_Data!$B$2:$B$301,"&lt;"&amp;EDATE(A18,1),Clean_Data!$V$2:$V$301,"VALID",Clean_Data!$P$2:$P$301,"Completed")</f>
        <v>15</v>
      </c>
      <c r="F18" t="s">
        <v>16</v>
      </c>
      <c r="G18" s="10">
        <f>SUMIFS(Clean_Data!$R$2:$R$301,Clean_Data!$H$2:$H$301,F18,Clean_Data!$V$2:$V$301,"VALID",Clean_Data!$P$2:$P$301,"Completed")</f>
        <v>112892.5</v>
      </c>
      <c r="H18" s="10">
        <f>SUMIFS(Clean_Data!$T$2:$T$301,Clean_Data!$H$2:$H$301,F18,Clean_Data!$V$2:$V$301,"VALID",Clean_Data!$P$2:$P$301,"Completed")</f>
        <v>30088.5</v>
      </c>
      <c r="I18">
        <f>COUNTIFS(Clean_Data!$H$2:$H$301,F18,Clean_Data!$V$2:$V$301,"VALID",Clean_Data!$P$2:$P$301,"Completed")</f>
        <v>45</v>
      </c>
    </row>
    <row r="19" spans="1:9">
      <c r="A19" s="9">
        <v>45809</v>
      </c>
      <c r="B19" s="10">
        <f>SUMIFS(Clean_Data!$R$2:$R$301,Clean_Data!$B$2:$B$301,"&gt;="&amp;A19,Clean_Data!$B$2:$B$301,"&lt;"&amp;EDATE(A19,1),Clean_Data!$V$2:$V$301,"VALID",Clean_Data!$P$2:$P$301,"Completed")</f>
        <v>57249.25</v>
      </c>
      <c r="C19" s="10">
        <f>SUMIFS(Clean_Data!$T$2:$T$301,Clean_Data!$B$2:$B$301,"&gt;="&amp;A19,Clean_Data!$B$2:$B$301,"&lt;"&amp;EDATE(A19,1),Clean_Data!$V$2:$V$301,"VALID",Clean_Data!$P$2:$P$301,"Completed")</f>
        <v>16863.25</v>
      </c>
      <c r="D19">
        <f>COUNTIFS(Clean_Data!$B$2:$B$301,"&gt;="&amp;A19,Clean_Data!$B$2:$B$301,"&lt;"&amp;EDATE(A19,1),Clean_Data!$V$2:$V$301,"VALID",Clean_Data!$P$2:$P$301,"Completed")</f>
        <v>23</v>
      </c>
    </row>
    <row r="20" spans="1:9">
      <c r="A20" s="9">
        <v>45839</v>
      </c>
      <c r="B20" s="10">
        <f>SUMIFS(Clean_Data!$R$2:$R$301,Clean_Data!$B$2:$B$301,"&gt;="&amp;A20,Clean_Data!$B$2:$B$301,"&lt;"&amp;EDATE(A20,1),Clean_Data!$V$2:$V$301,"VALID",Clean_Data!$P$2:$P$301,"Completed")</f>
        <v>29954.75</v>
      </c>
      <c r="C20" s="10">
        <f>SUMIFS(Clean_Data!$T$2:$T$301,Clean_Data!$B$2:$B$301,"&gt;="&amp;A20,Clean_Data!$B$2:$B$301,"&lt;"&amp;EDATE(A20,1),Clean_Data!$V$2:$V$301,"VALID",Clean_Data!$P$2:$P$301,"Completed")</f>
        <v>6969.75</v>
      </c>
      <c r="D20">
        <f>COUNTIFS(Clean_Data!$B$2:$B$301,"&gt;="&amp;A20,Clean_Data!$B$2:$B$301,"&lt;"&amp;EDATE(A20,1),Clean_Data!$V$2:$V$301,"VALID",Clean_Data!$P$2:$P$301,"Completed")</f>
        <v>14</v>
      </c>
    </row>
    <row r="21" spans="1:9" ht="15">
      <c r="A21" s="9">
        <v>45870</v>
      </c>
      <c r="B21" s="10">
        <f>SUMIFS(Clean_Data!$R$2:$R$301,Clean_Data!$B$2:$B$301,"&gt;="&amp;A21,Clean_Data!$B$2:$B$301,"&lt;"&amp;EDATE(A21,1),Clean_Data!$V$2:$V$301,"VALID",Clean_Data!$P$2:$P$301,"Completed")</f>
        <v>63109.5</v>
      </c>
      <c r="C21" s="10">
        <f>SUMIFS(Clean_Data!$T$2:$T$301,Clean_Data!$B$2:$B$301,"&gt;="&amp;A21,Clean_Data!$B$2:$B$301,"&lt;"&amp;EDATE(A21,1),Clean_Data!$V$2:$V$301,"VALID",Clean_Data!$P$2:$P$301,"Completed")</f>
        <v>18403.5</v>
      </c>
      <c r="D21">
        <f>COUNTIFS(Clean_Data!$B$2:$B$301,"&gt;="&amp;A21,Clean_Data!$B$2:$B$301,"&lt;"&amp;EDATE(A21,1),Clean_Data!$V$2:$V$301,"VALID",Clean_Data!$P$2:$P$301,"Completed")</f>
        <v>25</v>
      </c>
      <c r="F21" s="1" t="s">
        <v>17</v>
      </c>
      <c r="G21" s="1" t="s">
        <v>8</v>
      </c>
      <c r="H21" s="1" t="s">
        <v>9</v>
      </c>
      <c r="I21" s="1" t="s">
        <v>18</v>
      </c>
    </row>
    <row r="22" spans="1:9">
      <c r="A22" s="9">
        <v>45901</v>
      </c>
      <c r="B22" s="10">
        <f>SUMIFS(Clean_Data!$R$2:$R$301,Clean_Data!$B$2:$B$301,"&gt;="&amp;A22,Clean_Data!$B$2:$B$301,"&lt;"&amp;EDATE(A22,1),Clean_Data!$V$2:$V$301,"VALID",Clean_Data!$P$2:$P$301,"Completed")</f>
        <v>73064.25</v>
      </c>
      <c r="C22" s="10">
        <f>SUMIFS(Clean_Data!$T$2:$T$301,Clean_Data!$B$2:$B$301,"&gt;="&amp;A22,Clean_Data!$B$2:$B$301,"&lt;"&amp;EDATE(A22,1),Clean_Data!$V$2:$V$301,"VALID",Clean_Data!$P$2:$P$301,"Completed")</f>
        <v>19409.25</v>
      </c>
      <c r="D22">
        <f>COUNTIFS(Clean_Data!$B$2:$B$301,"&gt;="&amp;A22,Clean_Data!$B$2:$B$301,"&lt;"&amp;EDATE(A22,1),Clean_Data!$V$2:$V$301,"VALID",Clean_Data!$P$2:$P$301,"Completed")</f>
        <v>17</v>
      </c>
      <c r="F22" t="s">
        <v>19</v>
      </c>
      <c r="G22" s="10">
        <f>SUMIFS(Clean_Data!$R$2:$R$301,Clean_Data!$G$2:$G$301,F22,Clean_Data!$V$2:$V$301,"VALID",Clean_Data!$P$2:$P$301,"Completed")</f>
        <v>66527</v>
      </c>
      <c r="H22" s="10">
        <f>SUMIFS(Clean_Data!$T$2:$T$301,Clean_Data!$G$2:$G$301,F22,Clean_Data!$V$2:$V$301,"VALID",Clean_Data!$P$2:$P$301,"Completed")</f>
        <v>25449</v>
      </c>
      <c r="I22" s="11">
        <f>IFERROR(H22/G22,0)</f>
        <v>0.38253641378688352</v>
      </c>
    </row>
    <row r="23" spans="1:9">
      <c r="A23" s="9">
        <v>45931</v>
      </c>
      <c r="B23" s="10">
        <f>SUMIFS(Clean_Data!$R$2:$R$301,Clean_Data!$B$2:$B$301,"&gt;="&amp;A23,Clean_Data!$B$2:$B$301,"&lt;"&amp;EDATE(A23,1),Clean_Data!$V$2:$V$301,"VALID",Clean_Data!$P$2:$P$301,"Completed")</f>
        <v>46952.25</v>
      </c>
      <c r="C23" s="10">
        <f>SUMIFS(Clean_Data!$T$2:$T$301,Clean_Data!$B$2:$B$301,"&gt;="&amp;A23,Clean_Data!$B$2:$B$301,"&lt;"&amp;EDATE(A23,1),Clean_Data!$V$2:$V$301,"VALID",Clean_Data!$P$2:$P$301,"Completed")</f>
        <v>10678.25</v>
      </c>
      <c r="D23">
        <f>COUNTIFS(Clean_Data!$B$2:$B$301,"&gt;="&amp;A23,Clean_Data!$B$2:$B$301,"&lt;"&amp;EDATE(A23,1),Clean_Data!$V$2:$V$301,"VALID",Clean_Data!$P$2:$P$301,"Completed")</f>
        <v>16</v>
      </c>
      <c r="F23" t="s">
        <v>20</v>
      </c>
      <c r="G23" s="10">
        <f>SUMIFS(Clean_Data!$R$2:$R$301,Clean_Data!$G$2:$G$301,F23,Clean_Data!$V$2:$V$301,"VALID",Clean_Data!$P$2:$P$301,"Completed")</f>
        <v>257639.75</v>
      </c>
      <c r="H23" s="10">
        <f>SUMIFS(Clean_Data!$T$2:$T$301,Clean_Data!$G$2:$G$301,F23,Clean_Data!$V$2:$V$301,"VALID",Clean_Data!$P$2:$P$301,"Completed")</f>
        <v>67695.75</v>
      </c>
      <c r="I23" s="11">
        <f>IFERROR(H23/G23,0)</f>
        <v>0.26275351532517788</v>
      </c>
    </row>
    <row r="24" spans="1:9">
      <c r="A24" s="9">
        <v>45962</v>
      </c>
      <c r="B24" s="10">
        <f>SUMIFS(Clean_Data!$R$2:$R$301,Clean_Data!$B$2:$B$301,"&gt;="&amp;A24,Clean_Data!$B$2:$B$301,"&lt;"&amp;EDATE(A24,1),Clean_Data!$V$2:$V$301,"VALID",Clean_Data!$P$2:$P$301,"Completed")</f>
        <v>90837.75</v>
      </c>
      <c r="C24" s="10">
        <f>SUMIFS(Clean_Data!$T$2:$T$301,Clean_Data!$B$2:$B$301,"&gt;="&amp;A24,Clean_Data!$B$2:$B$301,"&lt;"&amp;EDATE(A24,1),Clean_Data!$V$2:$V$301,"VALID",Clean_Data!$P$2:$P$301,"Completed")</f>
        <v>20538.75</v>
      </c>
      <c r="D24">
        <f>COUNTIFS(Clean_Data!$B$2:$B$301,"&gt;="&amp;A24,Clean_Data!$B$2:$B$301,"&lt;"&amp;EDATE(A24,1),Clean_Data!$V$2:$V$301,"VALID",Clean_Data!$P$2:$P$301,"Completed")</f>
        <v>17</v>
      </c>
      <c r="F24" t="s">
        <v>21</v>
      </c>
      <c r="G24" s="10">
        <f>SUMIFS(Clean_Data!$R$2:$R$301,Clean_Data!$G$2:$G$301,F24,Clean_Data!$V$2:$V$301,"VALID",Clean_Data!$P$2:$P$301,"Completed")</f>
        <v>337593.5</v>
      </c>
      <c r="H24" s="10">
        <f>SUMIFS(Clean_Data!$T$2:$T$301,Clean_Data!$G$2:$G$301,F24,Clean_Data!$V$2:$V$301,"VALID",Clean_Data!$P$2:$P$301,"Completed")</f>
        <v>77763.5</v>
      </c>
      <c r="I24" s="11">
        <f>IFERROR(H24/G24,0)</f>
        <v>0.23034655584304792</v>
      </c>
    </row>
    <row r="25" spans="1:9">
      <c r="A25" s="9">
        <v>45992</v>
      </c>
      <c r="B25" s="10">
        <f>SUMIFS(Clean_Data!$R$2:$R$301,Clean_Data!$B$2:$B$301,"&gt;="&amp;A25,Clean_Data!$B$2:$B$301,"&lt;"&amp;EDATE(A25,1),Clean_Data!$V$2:$V$301,"VALID",Clean_Data!$P$2:$P$301,"Completed")</f>
        <v>63654.5</v>
      </c>
      <c r="C25" s="10">
        <f>SUMIFS(Clean_Data!$T$2:$T$301,Clean_Data!$B$2:$B$301,"&gt;="&amp;A25,Clean_Data!$B$2:$B$301,"&lt;"&amp;EDATE(A25,1),Clean_Data!$V$2:$V$301,"VALID",Clean_Data!$P$2:$P$301,"Completed")</f>
        <v>15116.5</v>
      </c>
      <c r="D25">
        <f>COUNTIFS(Clean_Data!$B$2:$B$301,"&gt;="&amp;A25,Clean_Data!$B$2:$B$301,"&lt;"&amp;EDATE(A25,1),Clean_Data!$V$2:$V$301,"VALID",Clean_Data!$P$2:$P$301,"Completed")</f>
        <v>23</v>
      </c>
    </row>
    <row r="47" spans="1:11" ht="15">
      <c r="A47" s="27" t="s">
        <v>22</v>
      </c>
      <c r="B47" s="27"/>
      <c r="C47" s="27"/>
      <c r="E47" s="27" t="s">
        <v>23</v>
      </c>
      <c r="F47" s="27"/>
      <c r="G47" s="27"/>
      <c r="I47" s="27" t="s">
        <v>24</v>
      </c>
      <c r="J47" s="27"/>
      <c r="K47" s="27"/>
    </row>
    <row r="48" spans="1:11" ht="14.25" customHeight="1">
      <c r="A48" s="26">
        <f>SUMIFS(Clean_Data!K2:K301,Clean_Data!V2:V301,"VALID",Clean_Data!P2:P301,"Completed")</f>
        <v>1322</v>
      </c>
      <c r="B48" s="26"/>
      <c r="C48" s="26"/>
      <c r="E48" s="25">
        <f>IFERROR(SUMIFS(Clean_Data!N2:N301,Clean_Data!V2:V301,"VALID",Clean_Data!P2:P301,"Completed")/COUNTIFS(Clean_Data!V2:V301,"VALID",Clean_Data!P2:P301,"Completed"),0)</f>
        <v>8.0392156862745132E-2</v>
      </c>
      <c r="F48" s="25"/>
      <c r="G48" s="25"/>
      <c r="I48" s="25">
        <f>IFERROR(COUNTIFS(Clean_Data!V2:V301,"VALID",Clean_Data!P2:P301,"Returned")/COUNTIF(Clean_Data!V2:V301,"VALID"),0)</f>
        <v>0.15120274914089346</v>
      </c>
      <c r="J48" s="25"/>
      <c r="K48" s="25"/>
    </row>
    <row r="49" spans="1:11">
      <c r="A49" s="26"/>
      <c r="B49" s="26"/>
      <c r="C49" s="26"/>
      <c r="E49" s="25"/>
      <c r="F49" s="25"/>
      <c r="G49" s="25"/>
      <c r="I49" s="25"/>
      <c r="J49" s="25"/>
      <c r="K49" s="25"/>
    </row>
    <row r="51" spans="1:11" ht="15">
      <c r="A51" s="27" t="s">
        <v>25</v>
      </c>
      <c r="B51" s="27"/>
      <c r="C51" s="27"/>
      <c r="E51" s="27" t="s">
        <v>26</v>
      </c>
      <c r="F51" s="27"/>
      <c r="G51" s="27"/>
      <c r="I51" s="27" t="s">
        <v>27</v>
      </c>
      <c r="J51" s="27"/>
      <c r="K51" s="27"/>
    </row>
    <row r="52" spans="1:11" ht="14.25" customHeight="1">
      <c r="A52" s="25">
        <f>IFERROR(COUNTIFS(Clean_Data!V2:V301,"VALID",Clean_Data!P2:P301,"Cancelled")/COUNTIF(Clean_Data!V2:V301,"VALID"),0)</f>
        <v>0.14776632302405499</v>
      </c>
      <c r="B52" s="25"/>
      <c r="C52" s="25"/>
      <c r="E52" s="29">
        <f>IFERROR(SUMIFS(Clean_Data!R2:R301,Clean_Data!V2:V301,"VALID",Clean_Data!P2:P301,"Completed")/SUMPRODUCT((Clean_Data!V2:V301="VALID")*(Clean_Data!P2:P301="Completed")/COUNTIFS(Clean_Data!C2:C301,Clean_Data!C2:C301,Clean_Data!V2:V301,"VALID",Clean_Data!P2:P301,"Completed")),0)</f>
        <v>0</v>
      </c>
      <c r="F52" s="29"/>
      <c r="G52" s="29"/>
      <c r="I52" s="29">
        <f>IFERROR(SUMIFS(Clean_Data!T2:T301,Clean_Data!V2:V301,"VALID",Clean_Data!P2:P301,"Completed")/COUNTIFS(Clean_Data!V2:V301,"VALID",Clean_Data!P2:P301,"Completed"),0)</f>
        <v>837.7855392156863</v>
      </c>
      <c r="J52" s="29"/>
      <c r="K52" s="29"/>
    </row>
    <row r="53" spans="1:11">
      <c r="A53" s="25"/>
      <c r="B53" s="25"/>
      <c r="C53" s="25"/>
      <c r="E53" s="29"/>
      <c r="F53" s="29"/>
      <c r="G53" s="29"/>
      <c r="I53" s="29"/>
      <c r="J53" s="29"/>
      <c r="K53" s="29"/>
    </row>
  </sheetData>
  <mergeCells count="25">
    <mergeCell ref="E5:G6"/>
    <mergeCell ref="A1:L2"/>
    <mergeCell ref="I8:K8"/>
    <mergeCell ref="I47:K47"/>
    <mergeCell ref="I4:K4"/>
    <mergeCell ref="A4:C4"/>
    <mergeCell ref="E9:G10"/>
    <mergeCell ref="A47:C47"/>
    <mergeCell ref="A5:C6"/>
    <mergeCell ref="E8:G8"/>
    <mergeCell ref="I5:K6"/>
    <mergeCell ref="E47:G47"/>
    <mergeCell ref="E4:G4"/>
    <mergeCell ref="I52:K53"/>
    <mergeCell ref="E48:G49"/>
    <mergeCell ref="E51:G51"/>
    <mergeCell ref="A52:C53"/>
    <mergeCell ref="E52:G53"/>
    <mergeCell ref="I48:K49"/>
    <mergeCell ref="A48:C49"/>
    <mergeCell ref="I51:K51"/>
    <mergeCell ref="A8:C8"/>
    <mergeCell ref="A51:C51"/>
    <mergeCell ref="I9:K10"/>
    <mergeCell ref="A9:C10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A4" sqref="A4:F6"/>
    </sheetView>
  </sheetViews>
  <sheetFormatPr defaultRowHeight="14.25"/>
  <cols>
    <col min="1" max="12" width="14" style="4" customWidth="1"/>
  </cols>
  <sheetData>
    <row r="1" spans="1:12">
      <c r="A1" s="37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4" spans="1:12" ht="15">
      <c r="A4" s="7" t="s">
        <v>29</v>
      </c>
      <c r="B4" s="7" t="s">
        <v>30</v>
      </c>
      <c r="C4" s="7"/>
      <c r="D4" s="7" t="s">
        <v>29</v>
      </c>
      <c r="E4" s="7" t="s">
        <v>30</v>
      </c>
      <c r="F4" s="7"/>
    </row>
    <row r="5" spans="1:12">
      <c r="A5" t="s">
        <v>10</v>
      </c>
      <c r="B5" s="8" t="s">
        <v>31</v>
      </c>
      <c r="D5" t="s">
        <v>17</v>
      </c>
      <c r="E5" s="8" t="s">
        <v>31</v>
      </c>
    </row>
    <row r="6" spans="1:12">
      <c r="A6" t="s">
        <v>32</v>
      </c>
      <c r="B6" s="8" t="s">
        <v>31</v>
      </c>
      <c r="D6" t="s">
        <v>33</v>
      </c>
      <c r="E6" s="8" t="s">
        <v>34</v>
      </c>
    </row>
    <row r="9" spans="1:12" ht="15">
      <c r="A9" s="38" t="s">
        <v>35</v>
      </c>
      <c r="B9" s="35"/>
      <c r="C9" s="38" t="s">
        <v>36</v>
      </c>
      <c r="D9" s="35"/>
      <c r="E9" s="38" t="s">
        <v>37</v>
      </c>
      <c r="F9" s="35"/>
      <c r="G9" s="38" t="s">
        <v>22</v>
      </c>
      <c r="H9" s="35"/>
      <c r="I9" s="38" t="s">
        <v>4</v>
      </c>
      <c r="J9" s="35"/>
      <c r="K9" s="38" t="s">
        <v>23</v>
      </c>
      <c r="L9" s="35"/>
    </row>
    <row r="10" spans="1:12">
      <c r="A10" s="34">
        <f>SUMPRODUCT(((Clean_Data!H2:H301=$B$5)+($B$5="All"))*((Clean_Data!G2:G301=$E$5)+($E$5="All"))*((Clean_Data!I2:I301=$B$6)+($B$6="All"))*((Clean_Data!P2:P301=$E$6)+($E$6="All"))*(Clean_Data!AH2:AH301="READY FOR REPORTING")*Clean_Data!R2:R301)</f>
        <v>661760.25</v>
      </c>
      <c r="B10" s="35"/>
      <c r="C10" s="34">
        <f>SUMPRODUCT(((Clean_Data!H2:H301=$B$5)+($B$5="All"))*((Clean_Data!G2:G301=$E$5)+($E$5="All"))*((Clean_Data!I2:I301=$B$6)+($B$6="All"))*((Clean_Data!P2:P301=$E$6)+($E$6="All"))*(Clean_Data!AH2:AH301="READY FOR REPORTING")*Clean_Data!T2:T301)</f>
        <v>170908.25</v>
      </c>
      <c r="D10" s="35"/>
      <c r="E10" s="36">
        <f>SUMPRODUCT(--((Clean_Data!H2:H301=$B$5)+($B$5="All")),--((Clean_Data!G2:G301=$E$5)+($E$5="All")),--((Clean_Data!I2:I301=$B$6)+($B$6="All")),--((Clean_Data!P2:P301=$E$6)+($E$6="All")),--(Clean_Data!AH2:AH301="READY FOR REPORTING"))</f>
        <v>204</v>
      </c>
      <c r="F10" s="35"/>
      <c r="G10" s="36">
        <f>SUMPRODUCT(((Clean_Data!H2:H301=$B$5)+($B$5="All"))*((Clean_Data!G2:G301=$E$5)+($E$5="All"))*((Clean_Data!I2:I301=$B$6)+($B$6="All"))*((Clean_Data!P2:P301=$E$6)+($E$6="All"))*(Clean_Data!AH2:AH301="READY FOR REPORTING")*Clean_Data!K2:K301)</f>
        <v>1322</v>
      </c>
      <c r="H10" s="35"/>
      <c r="I10" s="34">
        <f>IFERROR(A10/E10,0)</f>
        <v>3243.9227941176468</v>
      </c>
      <c r="J10" s="35"/>
      <c r="K10" s="39">
        <f>IFERROR(SUMPRODUCT(((Clean_Data!H2:H301=$B$5)+($B$5="All"))*((Clean_Data!G2:G301=$E$5)+($E$5="All"))*((Clean_Data!I2:I301=$B$6)+($B$6="All"))*((Clean_Data!P2:P301=$E$6)+($E$6="All"))*(Clean_Data!AH2:AH301="READY FOR REPORTING")*Clean_Data!N2:N301)/E10,0)</f>
        <v>8.0392156862745132E-2</v>
      </c>
      <c r="L10" s="35"/>
    </row>
    <row r="11" spans="1:1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4" spans="1:12" ht="15">
      <c r="A14" s="7" t="s">
        <v>10</v>
      </c>
      <c r="B14" s="7" t="s">
        <v>38</v>
      </c>
      <c r="C14" s="7" t="s">
        <v>9</v>
      </c>
      <c r="D14" s="7" t="s">
        <v>11</v>
      </c>
      <c r="F14" s="7" t="s">
        <v>17</v>
      </c>
      <c r="G14" s="7" t="s">
        <v>38</v>
      </c>
      <c r="H14" s="7" t="s">
        <v>9</v>
      </c>
      <c r="I14" s="7" t="s">
        <v>11</v>
      </c>
    </row>
    <row r="15" spans="1:12">
      <c r="A15" t="s">
        <v>12</v>
      </c>
      <c r="B15" s="10">
        <f>SUMIFS(Clean_Data!R2:R301,Clean_Data!H2:H301,A15,Clean_Data!AH2:AH301,"READY FOR REPORTING",Clean_Data!P2:P301,$E$6)</f>
        <v>84871</v>
      </c>
      <c r="C15" s="10">
        <f>SUMIFS(Clean_Data!T2:T301,Clean_Data!H2:H301,A15,Clean_Data!AH2:AH301,"READY FOR REPORTING",Clean_Data!P2:P301,$E$6)</f>
        <v>22597</v>
      </c>
      <c r="D15">
        <f>COUNTIFS(Clean_Data!H2:H301,A15,Clean_Data!AH2:AH301,"READY FOR REPORTING",Clean_Data!P2:P301,$E$6)</f>
        <v>36</v>
      </c>
      <c r="F15" t="s">
        <v>19</v>
      </c>
      <c r="G15" s="10">
        <f>SUMIFS(Clean_Data!R2:R301,Clean_Data!G2:G301,F15,Clean_Data!AH2:AH301,"READY FOR REPORTING",Clean_Data!P2:P301,$E$6)</f>
        <v>66527</v>
      </c>
      <c r="H15" s="10">
        <f>SUMIFS(Clean_Data!T2:T301,Clean_Data!G2:G301,F15,Clean_Data!AH2:AH301,"READY FOR REPORTING",Clean_Data!P2:P301,$E$6)</f>
        <v>25449</v>
      </c>
      <c r="I15">
        <f>COUNTIFS(Clean_Data!G2:G301,F15,Clean_Data!AH2:AH301,"READY FOR REPORTING",Clean_Data!P2:P301,$E$6)</f>
        <v>72</v>
      </c>
    </row>
    <row r="16" spans="1:12">
      <c r="A16" t="s">
        <v>13</v>
      </c>
      <c r="B16" s="10">
        <f>SUMIFS(Clean_Data!R2:R301,Clean_Data!H2:H301,A16,Clean_Data!AH2:AH301,"READY FOR REPORTING",Clean_Data!P2:P301,$E$6)</f>
        <v>121630.25</v>
      </c>
      <c r="C16" s="10">
        <f>SUMIFS(Clean_Data!T2:T301,Clean_Data!H2:H301,A16,Clean_Data!AH2:AH301,"READY FOR REPORTING",Clean_Data!P2:P301,$E$6)</f>
        <v>32267.25</v>
      </c>
      <c r="D16">
        <f>COUNTIFS(Clean_Data!H2:H301,A16,Clean_Data!AH2:AH301,"READY FOR REPORTING",Clean_Data!P2:P301,$E$6)</f>
        <v>36</v>
      </c>
      <c r="F16" t="s">
        <v>20</v>
      </c>
      <c r="G16" s="10">
        <f>SUMIFS(Clean_Data!R2:R301,Clean_Data!G2:G301,F16,Clean_Data!AH2:AH301,"READY FOR REPORTING",Clean_Data!P2:P301,$E$6)</f>
        <v>257639.75</v>
      </c>
      <c r="H16" s="10">
        <f>SUMIFS(Clean_Data!T2:T301,Clean_Data!G2:G301,F16,Clean_Data!AH2:AH301,"READY FOR REPORTING",Clean_Data!P2:P301,$E$6)</f>
        <v>67695.75</v>
      </c>
      <c r="I16">
        <f>COUNTIFS(Clean_Data!G2:G301,F16,Clean_Data!AH2:AH301,"READY FOR REPORTING",Clean_Data!P2:P301,$E$6)</f>
        <v>82</v>
      </c>
    </row>
    <row r="17" spans="1:9">
      <c r="A17" t="s">
        <v>14</v>
      </c>
      <c r="B17" s="10">
        <f>SUMIFS(Clean_Data!R2:R301,Clean_Data!H2:H301,A17,Clean_Data!AH2:AH301,"READY FOR REPORTING",Clean_Data!P2:P301,$E$6)</f>
        <v>194550.75</v>
      </c>
      <c r="C17" s="10">
        <f>SUMIFS(Clean_Data!T2:T301,Clean_Data!H2:H301,A17,Clean_Data!AH2:AH301,"READY FOR REPORTING",Clean_Data!P2:P301,$E$6)</f>
        <v>49004.75</v>
      </c>
      <c r="D17">
        <f>COUNTIFS(Clean_Data!H2:H301,A17,Clean_Data!AH2:AH301,"READY FOR REPORTING",Clean_Data!P2:P301,$E$6)</f>
        <v>46</v>
      </c>
      <c r="F17" t="s">
        <v>21</v>
      </c>
      <c r="G17" s="10">
        <f>SUMIFS(Clean_Data!R2:R301,Clean_Data!G2:G301,F17,Clean_Data!AH2:AH301,"READY FOR REPORTING",Clean_Data!P2:P301,$E$6)</f>
        <v>337593.5</v>
      </c>
      <c r="H17" s="10">
        <f>SUMIFS(Clean_Data!T2:T301,Clean_Data!G2:G301,F17,Clean_Data!AH2:AH301,"READY FOR REPORTING",Clean_Data!P2:P301,$E$6)</f>
        <v>77763.5</v>
      </c>
      <c r="I17">
        <f>COUNTIFS(Clean_Data!G2:G301,F17,Clean_Data!AH2:AH301,"READY FOR REPORTING",Clean_Data!P2:P301,$E$6)</f>
        <v>50</v>
      </c>
    </row>
    <row r="18" spans="1:9">
      <c r="A18" t="s">
        <v>15</v>
      </c>
      <c r="B18" s="10">
        <f>SUMIFS(Clean_Data!R2:R301,Clean_Data!H2:H301,A18,Clean_Data!AH2:AH301,"READY FOR REPORTING",Clean_Data!P2:P301,$E$6)</f>
        <v>147815.75</v>
      </c>
      <c r="C18" s="10">
        <f>SUMIFS(Clean_Data!T2:T301,Clean_Data!H2:H301,A18,Clean_Data!AH2:AH301,"READY FOR REPORTING",Clean_Data!P2:P301,$E$6)</f>
        <v>36950.75</v>
      </c>
      <c r="D18">
        <f>COUNTIFS(Clean_Data!H2:H301,A18,Clean_Data!AH2:AH301,"READY FOR REPORTING",Clean_Data!P2:P301,$E$6)</f>
        <v>41</v>
      </c>
    </row>
    <row r="19" spans="1:9">
      <c r="A19" t="s">
        <v>16</v>
      </c>
      <c r="B19" s="10">
        <f>SUMIFS(Clean_Data!R2:R301,Clean_Data!H2:H301,A19,Clean_Data!AH2:AH301,"READY FOR REPORTING",Clean_Data!P2:P301,$E$6)</f>
        <v>112892.5</v>
      </c>
      <c r="C19" s="10">
        <f>SUMIFS(Clean_Data!T2:T301,Clean_Data!H2:H301,A19,Clean_Data!AH2:AH301,"READY FOR REPORTING",Clean_Data!P2:P301,$E$6)</f>
        <v>30088.5</v>
      </c>
      <c r="D19">
        <f>COUNTIFS(Clean_Data!H2:H301,A19,Clean_Data!AH2:AH301,"READY FOR REPORTING",Clean_Data!P2:P301,$E$6)</f>
        <v>45</v>
      </c>
    </row>
  </sheetData>
  <mergeCells count="13">
    <mergeCell ref="C10:D11"/>
    <mergeCell ref="E10:F11"/>
    <mergeCell ref="I10:J11"/>
    <mergeCell ref="A1:L2"/>
    <mergeCell ref="K9:L9"/>
    <mergeCell ref="A10:B11"/>
    <mergeCell ref="G10:H11"/>
    <mergeCell ref="K10:L11"/>
    <mergeCell ref="C9:D9"/>
    <mergeCell ref="A9:B9"/>
    <mergeCell ref="G9:H9"/>
    <mergeCell ref="E9:F9"/>
    <mergeCell ref="I9:J9"/>
  </mergeCells>
  <dataValidations count="4">
    <dataValidation type="list" sqref="B5">
      <formula1>"All,Bucharest,North,South,East,West"</formula1>
    </dataValidation>
    <dataValidation type="list" sqref="E5">
      <formula1>"All,Accessories,Electronics,Furniture"</formula1>
    </dataValidation>
    <dataValidation type="list" sqref="B6">
      <formula1>"All,Online,Store,Marketplace"</formula1>
    </dataValidation>
    <dataValidation type="list" sqref="E6">
      <formula1>"All,Completed,Returned,Cancelled"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activeCell="I18" sqref="I18"/>
    </sheetView>
  </sheetViews>
  <sheetFormatPr defaultRowHeight="14.25"/>
  <cols>
    <col min="1" max="1" width="40" style="4" customWidth="1"/>
    <col min="2" max="2" width="8.25" style="4" customWidth="1"/>
    <col min="3" max="3" width="15.25" style="4" customWidth="1"/>
    <col min="4" max="4" width="15.375" style="4" customWidth="1"/>
    <col min="5" max="5" width="17.125" style="4" customWidth="1"/>
    <col min="6" max="6" width="20.5" style="4" customWidth="1"/>
    <col min="7" max="7" width="12.875" style="4" customWidth="1"/>
    <col min="8" max="8" width="13" style="4" customWidth="1"/>
    <col min="9" max="9" width="14.75" style="4" customWidth="1"/>
    <col min="10" max="10" width="18.25" style="4" customWidth="1"/>
  </cols>
  <sheetData>
    <row r="1" spans="1:17">
      <c r="A1" s="40" t="s">
        <v>39</v>
      </c>
      <c r="B1" s="35"/>
      <c r="C1" s="35"/>
      <c r="D1" s="35"/>
      <c r="E1" s="35"/>
      <c r="F1" s="35"/>
      <c r="G1" s="35"/>
      <c r="H1" s="35"/>
      <c r="I1" s="35"/>
      <c r="J1" s="35"/>
    </row>
    <row r="2" spans="1:17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7" ht="30">
      <c r="A4" s="5" t="s">
        <v>7</v>
      </c>
      <c r="B4" s="5" t="s">
        <v>10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L4" s="5" t="s">
        <v>10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</row>
    <row r="5" spans="1:17">
      <c r="A5" s="9">
        <v>45658</v>
      </c>
      <c r="B5" t="s">
        <v>12</v>
      </c>
      <c r="C5" s="12">
        <v>8950</v>
      </c>
      <c r="D5" s="12">
        <f>SUMIFS(Clean_Data!$R$2:$R$301,Clean_Data!$B$2:$B$301,"&gt;="&amp;A5,Clean_Data!$B$2:$B$301,"&lt;"&amp;EDATE(A5,1),Clean_Data!$H$2:$H$301,B5,Clean_Data!$V$2:$V$301,"VALID",Clean_Data!$P$2:$P$301,"Completed")</f>
        <v>16815.75</v>
      </c>
      <c r="E5" s="12">
        <f t="shared" ref="E5:E36" si="0">D5-C5</f>
        <v>7865.75</v>
      </c>
      <c r="F5" s="11">
        <f t="shared" ref="F5:F36" si="1">IFERROR(D5/C5,0)</f>
        <v>1.878854748603352</v>
      </c>
      <c r="G5" s="12">
        <v>1969</v>
      </c>
      <c r="H5" s="12">
        <f>SUMIFS(Clean_Data!$T$2:$T$301,Clean_Data!$B$2:$B$301,"&gt;="&amp;A5,Clean_Data!$B$2:$B$301,"&lt;"&amp;EDATE(A5,1),Clean_Data!$H$2:$H$301,B5,Clean_Data!$V$2:$V$301,"VALID",Clean_Data!$P$2:$P$301,"Completed")</f>
        <v>4279.75</v>
      </c>
      <c r="I5" s="12">
        <f t="shared" ref="I5:I36" si="2">H5-G5</f>
        <v>2310.75</v>
      </c>
      <c r="J5" s="11">
        <f t="shared" ref="J5:J36" si="3">IFERROR(H5/G5,0)</f>
        <v>2.1735652615540886</v>
      </c>
      <c r="L5" t="s">
        <v>12</v>
      </c>
      <c r="M5" s="10">
        <f>SUMIF($B$5:$B$64,L5,$C$5:$C$64)</f>
        <v>137100</v>
      </c>
      <c r="N5" s="10">
        <f>SUMIF($B$5:$B$64,L5,$D$5:$D$64)</f>
        <v>84871</v>
      </c>
      <c r="O5" s="10">
        <f>N5-M5</f>
        <v>-52229</v>
      </c>
      <c r="P5" s="11">
        <f>IFERROR(N5/M5,0)</f>
        <v>0.61904449307075127</v>
      </c>
      <c r="Q5" t="str">
        <f>IF(P5&gt;=1,"Target Met","Below Target")</f>
        <v>Below Target</v>
      </c>
    </row>
    <row r="6" spans="1:17">
      <c r="A6" s="9">
        <v>45658</v>
      </c>
      <c r="B6" t="s">
        <v>13</v>
      </c>
      <c r="C6" s="12">
        <v>9600</v>
      </c>
      <c r="D6" s="12">
        <f>SUMIFS(Clean_Data!$R$2:$R$301,Clean_Data!$B$2:$B$301,"&gt;="&amp;A6,Clean_Data!$B$2:$B$301,"&lt;"&amp;EDATE(A6,1),Clean_Data!$H$2:$H$301,B6,Clean_Data!$V$2:$V$301,"VALID",Clean_Data!$P$2:$P$301,"Completed")</f>
        <v>4947.5</v>
      </c>
      <c r="E6" s="12">
        <f t="shared" si="0"/>
        <v>-4652.5</v>
      </c>
      <c r="F6" s="11">
        <f t="shared" si="1"/>
        <v>0.51536458333333335</v>
      </c>
      <c r="G6" s="12">
        <v>2160</v>
      </c>
      <c r="H6" s="12">
        <f>SUMIFS(Clean_Data!$T$2:$T$301,Clean_Data!$B$2:$B$301,"&gt;="&amp;A6,Clean_Data!$B$2:$B$301,"&lt;"&amp;EDATE(A6,1),Clean_Data!$H$2:$H$301,B6,Clean_Data!$V$2:$V$301,"VALID",Clean_Data!$P$2:$P$301,"Completed")</f>
        <v>1844.5</v>
      </c>
      <c r="I6" s="12">
        <f t="shared" si="2"/>
        <v>-315.5</v>
      </c>
      <c r="J6" s="11">
        <f t="shared" si="3"/>
        <v>0.85393518518518519</v>
      </c>
      <c r="L6" t="s">
        <v>13</v>
      </c>
      <c r="M6" s="10">
        <f>SUMIF($B$5:$B$64,L6,$C$5:$C$64)</f>
        <v>144900</v>
      </c>
      <c r="N6" s="10">
        <f>SUMIF($B$5:$B$64,L6,$D$5:$D$64)</f>
        <v>121630.25</v>
      </c>
      <c r="O6" s="10">
        <f>N6-M6</f>
        <v>-23269.75</v>
      </c>
      <c r="P6" s="11">
        <f>IFERROR(N6/M6,0)</f>
        <v>0.83940821256038645</v>
      </c>
      <c r="Q6" t="str">
        <f>IF(P6&gt;=1,"Target Met","Below Target")</f>
        <v>Below Target</v>
      </c>
    </row>
    <row r="7" spans="1:17">
      <c r="A7" s="9">
        <v>45658</v>
      </c>
      <c r="B7" t="s">
        <v>14</v>
      </c>
      <c r="C7" s="12">
        <v>10250</v>
      </c>
      <c r="D7" s="12">
        <f>SUMIFS(Clean_Data!$R$2:$R$301,Clean_Data!$B$2:$B$301,"&gt;="&amp;A7,Clean_Data!$B$2:$B$301,"&lt;"&amp;EDATE(A7,1),Clean_Data!$H$2:$H$301,B7,Clean_Data!$V$2:$V$301,"VALID",Clean_Data!$P$2:$P$301,"Completed")</f>
        <v>11497.5</v>
      </c>
      <c r="E7" s="12">
        <f t="shared" si="0"/>
        <v>1247.5</v>
      </c>
      <c r="F7" s="11">
        <f t="shared" si="1"/>
        <v>1.1217073170731708</v>
      </c>
      <c r="G7" s="12">
        <v>2357.5</v>
      </c>
      <c r="H7" s="12">
        <f>SUMIFS(Clean_Data!$T$2:$T$301,Clean_Data!$B$2:$B$301,"&gt;="&amp;A7,Clean_Data!$B$2:$B$301,"&lt;"&amp;EDATE(A7,1),Clean_Data!$H$2:$H$301,B7,Clean_Data!$V$2:$V$301,"VALID",Clean_Data!$P$2:$P$301,"Completed")</f>
        <v>2157.5</v>
      </c>
      <c r="I7" s="12">
        <f t="shared" si="2"/>
        <v>-200</v>
      </c>
      <c r="J7" s="11">
        <f t="shared" si="3"/>
        <v>0.91516436903499465</v>
      </c>
      <c r="L7" t="s">
        <v>14</v>
      </c>
      <c r="M7" s="10">
        <f>SUMIF($B$5:$B$64,L7,$C$5:$C$64)</f>
        <v>152700</v>
      </c>
      <c r="N7" s="10">
        <f>SUMIF($B$5:$B$64,L7,$D$5:$D$64)</f>
        <v>194550.75</v>
      </c>
      <c r="O7" s="10">
        <f>N7-M7</f>
        <v>41850.75</v>
      </c>
      <c r="P7" s="11">
        <f>IFERROR(N7/M7,0)</f>
        <v>1.2740717092337916</v>
      </c>
      <c r="Q7" t="str">
        <f>IF(P7&gt;=1,"Target Met","Below Target")</f>
        <v>Target Met</v>
      </c>
    </row>
    <row r="8" spans="1:17">
      <c r="A8" s="9">
        <v>45658</v>
      </c>
      <c r="B8" t="s">
        <v>15</v>
      </c>
      <c r="C8" s="12">
        <v>10900</v>
      </c>
      <c r="D8" s="12">
        <f>SUMIFS(Clean_Data!$R$2:$R$301,Clean_Data!$B$2:$B$301,"&gt;="&amp;A8,Clean_Data!$B$2:$B$301,"&lt;"&amp;EDATE(A8,1),Clean_Data!$H$2:$H$301,B8,Clean_Data!$V$2:$V$301,"VALID",Clean_Data!$P$2:$P$301,"Completed")</f>
        <v>14004.5</v>
      </c>
      <c r="E8" s="12">
        <f t="shared" si="0"/>
        <v>3104.5</v>
      </c>
      <c r="F8" s="11">
        <f t="shared" si="1"/>
        <v>1.284816513761468</v>
      </c>
      <c r="G8" s="12">
        <v>2561.5</v>
      </c>
      <c r="H8" s="12">
        <f>SUMIFS(Clean_Data!$T$2:$T$301,Clean_Data!$B$2:$B$301,"&gt;="&amp;A8,Clean_Data!$B$2:$B$301,"&lt;"&amp;EDATE(A8,1),Clean_Data!$H$2:$H$301,B8,Clean_Data!$V$2:$V$301,"VALID",Clean_Data!$P$2:$P$301,"Completed")</f>
        <v>3774.5</v>
      </c>
      <c r="I8" s="12">
        <f t="shared" si="2"/>
        <v>1213</v>
      </c>
      <c r="J8" s="11">
        <f t="shared" si="3"/>
        <v>1.4735506539137224</v>
      </c>
      <c r="L8" t="s">
        <v>15</v>
      </c>
      <c r="M8" s="10">
        <f>SUMIF($B$5:$B$64,L8,$C$5:$C$64)</f>
        <v>160500</v>
      </c>
      <c r="N8" s="10">
        <f>SUMIF($B$5:$B$64,L8,$D$5:$D$64)</f>
        <v>147815.75</v>
      </c>
      <c r="O8" s="10">
        <f>N8-M8</f>
        <v>-12684.25</v>
      </c>
      <c r="P8" s="11">
        <f>IFERROR(N8/M8,0)</f>
        <v>0.92097040498442373</v>
      </c>
      <c r="Q8" t="str">
        <f>IF(P8&gt;=1,"Target Met","Below Target")</f>
        <v>Below Target</v>
      </c>
    </row>
    <row r="9" spans="1:17">
      <c r="A9" s="9">
        <v>45658</v>
      </c>
      <c r="B9" t="s">
        <v>16</v>
      </c>
      <c r="C9" s="12">
        <v>11550</v>
      </c>
      <c r="D9" s="12">
        <f>SUMIFS(Clean_Data!$R$2:$R$301,Clean_Data!$B$2:$B$301,"&gt;="&amp;A9,Clean_Data!$B$2:$B$301,"&lt;"&amp;EDATE(A9,1),Clean_Data!$H$2:$H$301,B9,Clean_Data!$V$2:$V$301,"VALID",Clean_Data!$P$2:$P$301,"Completed")</f>
        <v>0</v>
      </c>
      <c r="E9" s="12">
        <f t="shared" si="0"/>
        <v>-11550</v>
      </c>
      <c r="F9" s="11">
        <f t="shared" si="1"/>
        <v>0</v>
      </c>
      <c r="G9" s="12">
        <v>2772</v>
      </c>
      <c r="H9" s="12">
        <f>SUMIFS(Clean_Data!$T$2:$T$301,Clean_Data!$B$2:$B$301,"&gt;="&amp;A9,Clean_Data!$B$2:$B$301,"&lt;"&amp;EDATE(A9,1),Clean_Data!$H$2:$H$301,B9,Clean_Data!$V$2:$V$301,"VALID",Clean_Data!$P$2:$P$301,"Completed")</f>
        <v>0</v>
      </c>
      <c r="I9" s="12">
        <f t="shared" si="2"/>
        <v>-2772</v>
      </c>
      <c r="J9" s="11">
        <f t="shared" si="3"/>
        <v>0</v>
      </c>
      <c r="L9" t="s">
        <v>16</v>
      </c>
      <c r="M9" s="10">
        <f>SUMIF($B$5:$B$64,L9,$C$5:$C$64)</f>
        <v>168300</v>
      </c>
      <c r="N9" s="10">
        <f>SUMIF($B$5:$B$64,L9,$D$5:$D$64)</f>
        <v>112892.5</v>
      </c>
      <c r="O9" s="10">
        <f>N9-M9</f>
        <v>-55407.5</v>
      </c>
      <c r="P9" s="11">
        <f>IFERROR(N9/M9,0)</f>
        <v>0.67078134284016633</v>
      </c>
      <c r="Q9" t="str">
        <f>IF(P9&gt;=1,"Target Met","Below Target")</f>
        <v>Below Target</v>
      </c>
    </row>
    <row r="10" spans="1:17">
      <c r="A10" s="9">
        <v>45689</v>
      </c>
      <c r="B10" t="s">
        <v>12</v>
      </c>
      <c r="C10" s="12">
        <v>9400</v>
      </c>
      <c r="D10" s="12">
        <f>SUMIFS(Clean_Data!$R$2:$R$301,Clean_Data!$B$2:$B$301,"&gt;="&amp;A10,Clean_Data!$B$2:$B$301,"&lt;"&amp;EDATE(A10,1),Clean_Data!$H$2:$H$301,B10,Clean_Data!$V$2:$V$301,"VALID",Clean_Data!$P$2:$P$301,"Completed")</f>
        <v>3024</v>
      </c>
      <c r="E10" s="12">
        <f t="shared" si="0"/>
        <v>-6376</v>
      </c>
      <c r="F10" s="11">
        <f t="shared" si="1"/>
        <v>0.32170212765957445</v>
      </c>
      <c r="G10" s="12">
        <v>2068</v>
      </c>
      <c r="H10" s="12">
        <f>SUMIFS(Clean_Data!$T$2:$T$301,Clean_Data!$B$2:$B$301,"&gt;="&amp;A10,Clean_Data!$B$2:$B$301,"&lt;"&amp;EDATE(A10,1),Clean_Data!$H$2:$H$301,B10,Clean_Data!$V$2:$V$301,"VALID",Clean_Data!$P$2:$P$301,"Completed")</f>
        <v>664</v>
      </c>
      <c r="I10" s="12">
        <f t="shared" si="2"/>
        <v>-1404</v>
      </c>
      <c r="J10" s="11">
        <f t="shared" si="3"/>
        <v>0.32108317214700194</v>
      </c>
    </row>
    <row r="11" spans="1:17">
      <c r="A11" s="9">
        <v>45689</v>
      </c>
      <c r="B11" t="s">
        <v>13</v>
      </c>
      <c r="C11" s="12">
        <v>10050</v>
      </c>
      <c r="D11" s="12">
        <f>SUMIFS(Clean_Data!$R$2:$R$301,Clean_Data!$B$2:$B$301,"&gt;="&amp;A11,Clean_Data!$B$2:$B$301,"&lt;"&amp;EDATE(A11,1),Clean_Data!$H$2:$H$301,B11,Clean_Data!$V$2:$V$301,"VALID",Clean_Data!$P$2:$P$301,"Completed")</f>
        <v>26663</v>
      </c>
      <c r="E11" s="12">
        <f t="shared" si="0"/>
        <v>16613</v>
      </c>
      <c r="F11" s="11">
        <f t="shared" si="1"/>
        <v>2.6530348258706469</v>
      </c>
      <c r="G11" s="12">
        <v>2261.25</v>
      </c>
      <c r="H11" s="12">
        <f>SUMIFS(Clean_Data!$T$2:$T$301,Clean_Data!$B$2:$B$301,"&gt;="&amp;A11,Clean_Data!$B$2:$B$301,"&lt;"&amp;EDATE(A11,1),Clean_Data!$H$2:$H$301,B11,Clean_Data!$V$2:$V$301,"VALID",Clean_Data!$P$2:$P$301,"Completed")</f>
        <v>7098</v>
      </c>
      <c r="I11" s="12">
        <f t="shared" si="2"/>
        <v>4836.75</v>
      </c>
      <c r="J11" s="11">
        <f t="shared" si="3"/>
        <v>3.1389718076285242</v>
      </c>
    </row>
    <row r="12" spans="1:17">
      <c r="A12" s="9">
        <v>45689</v>
      </c>
      <c r="B12" t="s">
        <v>14</v>
      </c>
      <c r="C12" s="12">
        <v>10700</v>
      </c>
      <c r="D12" s="12">
        <f>SUMIFS(Clean_Data!$R$2:$R$301,Clean_Data!$B$2:$B$301,"&gt;="&amp;A12,Clean_Data!$B$2:$B$301,"&lt;"&amp;EDATE(A12,1),Clean_Data!$H$2:$H$301,B12,Clean_Data!$V$2:$V$301,"VALID",Clean_Data!$P$2:$P$301,"Completed")</f>
        <v>12053.25</v>
      </c>
      <c r="E12" s="12">
        <f t="shared" si="0"/>
        <v>1353.25</v>
      </c>
      <c r="F12" s="11">
        <f t="shared" si="1"/>
        <v>1.1264719626168225</v>
      </c>
      <c r="G12" s="12">
        <v>2461</v>
      </c>
      <c r="H12" s="12">
        <f>SUMIFS(Clean_Data!$T$2:$T$301,Clean_Data!$B$2:$B$301,"&gt;="&amp;A12,Clean_Data!$B$2:$B$301,"&lt;"&amp;EDATE(A12,1),Clean_Data!$H$2:$H$301,B12,Clean_Data!$V$2:$V$301,"VALID",Clean_Data!$P$2:$P$301,"Completed")</f>
        <v>2967.25</v>
      </c>
      <c r="I12" s="12">
        <f t="shared" si="2"/>
        <v>506.25</v>
      </c>
      <c r="J12" s="11">
        <f t="shared" si="3"/>
        <v>1.2057090613571719</v>
      </c>
    </row>
    <row r="13" spans="1:17">
      <c r="A13" s="9">
        <v>45689</v>
      </c>
      <c r="B13" t="s">
        <v>15</v>
      </c>
      <c r="C13" s="12">
        <v>11350</v>
      </c>
      <c r="D13" s="12">
        <f>SUMIFS(Clean_Data!$R$2:$R$301,Clean_Data!$B$2:$B$301,"&gt;="&amp;A13,Clean_Data!$B$2:$B$301,"&lt;"&amp;EDATE(A13,1),Clean_Data!$H$2:$H$301,B13,Clean_Data!$V$2:$V$301,"VALID",Clean_Data!$P$2:$P$301,"Completed")</f>
        <v>0</v>
      </c>
      <c r="E13" s="12">
        <f t="shared" si="0"/>
        <v>-11350</v>
      </c>
      <c r="F13" s="11">
        <f t="shared" si="1"/>
        <v>0</v>
      </c>
      <c r="G13" s="12">
        <v>2667.25</v>
      </c>
      <c r="H13" s="12">
        <f>SUMIFS(Clean_Data!$T$2:$T$301,Clean_Data!$B$2:$B$301,"&gt;="&amp;A13,Clean_Data!$B$2:$B$301,"&lt;"&amp;EDATE(A13,1),Clean_Data!$H$2:$H$301,B13,Clean_Data!$V$2:$V$301,"VALID",Clean_Data!$P$2:$P$301,"Completed")</f>
        <v>0</v>
      </c>
      <c r="I13" s="12">
        <f t="shared" si="2"/>
        <v>-2667.25</v>
      </c>
      <c r="J13" s="11">
        <f t="shared" si="3"/>
        <v>0</v>
      </c>
    </row>
    <row r="14" spans="1:17">
      <c r="A14" s="9">
        <v>45689</v>
      </c>
      <c r="B14" t="s">
        <v>16</v>
      </c>
      <c r="C14" s="12">
        <v>12000</v>
      </c>
      <c r="D14" s="12">
        <f>SUMIFS(Clean_Data!$R$2:$R$301,Clean_Data!$B$2:$B$301,"&gt;="&amp;A14,Clean_Data!$B$2:$B$301,"&lt;"&amp;EDATE(A14,1),Clean_Data!$H$2:$H$301,B14,Clean_Data!$V$2:$V$301,"VALID",Clean_Data!$P$2:$P$301,"Completed")</f>
        <v>1398</v>
      </c>
      <c r="E14" s="12">
        <f t="shared" si="0"/>
        <v>-10602</v>
      </c>
      <c r="F14" s="11">
        <f t="shared" si="1"/>
        <v>0.11650000000000001</v>
      </c>
      <c r="G14" s="12">
        <v>2880</v>
      </c>
      <c r="H14" s="12">
        <f>SUMIFS(Clean_Data!$T$2:$T$301,Clean_Data!$B$2:$B$301,"&gt;="&amp;A14,Clean_Data!$B$2:$B$301,"&lt;"&amp;EDATE(A14,1),Clean_Data!$H$2:$H$301,B14,Clean_Data!$V$2:$V$301,"VALID",Clean_Data!$P$2:$P$301,"Completed")</f>
        <v>513</v>
      </c>
      <c r="I14" s="12">
        <f t="shared" si="2"/>
        <v>-2367</v>
      </c>
      <c r="J14" s="11">
        <f t="shared" si="3"/>
        <v>0.17812500000000001</v>
      </c>
    </row>
    <row r="15" spans="1:17">
      <c r="A15" s="9">
        <v>45717</v>
      </c>
      <c r="B15" t="s">
        <v>12</v>
      </c>
      <c r="C15" s="12">
        <v>9850</v>
      </c>
      <c r="D15" s="12">
        <f>SUMIFS(Clean_Data!$R$2:$R$301,Clean_Data!$B$2:$B$301,"&gt;="&amp;A15,Clean_Data!$B$2:$B$301,"&lt;"&amp;EDATE(A15,1),Clean_Data!$H$2:$H$301,B15,Clean_Data!$V$2:$V$301,"VALID",Clean_Data!$P$2:$P$301,"Completed")</f>
        <v>5823</v>
      </c>
      <c r="E15" s="12">
        <f t="shared" si="0"/>
        <v>-4027</v>
      </c>
      <c r="F15" s="11">
        <f t="shared" si="1"/>
        <v>0.59116751269035528</v>
      </c>
      <c r="G15" s="12">
        <v>2167</v>
      </c>
      <c r="H15" s="12">
        <f>SUMIFS(Clean_Data!$T$2:$T$301,Clean_Data!$B$2:$B$301,"&gt;="&amp;A15,Clean_Data!$B$2:$B$301,"&lt;"&amp;EDATE(A15,1),Clean_Data!$H$2:$H$301,B15,Clean_Data!$V$2:$V$301,"VALID",Clean_Data!$P$2:$P$301,"Completed")</f>
        <v>1581</v>
      </c>
      <c r="I15" s="12">
        <f t="shared" si="2"/>
        <v>-586</v>
      </c>
      <c r="J15" s="11">
        <f t="shared" si="3"/>
        <v>0.72958006460544533</v>
      </c>
    </row>
    <row r="16" spans="1:17">
      <c r="A16" s="9">
        <v>45717</v>
      </c>
      <c r="B16" t="s">
        <v>13</v>
      </c>
      <c r="C16" s="12">
        <v>10500</v>
      </c>
      <c r="D16" s="12">
        <f>SUMIFS(Clean_Data!$R$2:$R$301,Clean_Data!$B$2:$B$301,"&gt;="&amp;A16,Clean_Data!$B$2:$B$301,"&lt;"&amp;EDATE(A16,1),Clean_Data!$H$2:$H$301,B16,Clean_Data!$V$2:$V$301,"VALID",Clean_Data!$P$2:$P$301,"Completed")</f>
        <v>19485.5</v>
      </c>
      <c r="E16" s="12">
        <f t="shared" si="0"/>
        <v>8985.5</v>
      </c>
      <c r="F16" s="11">
        <f t="shared" si="1"/>
        <v>1.8557619047619047</v>
      </c>
      <c r="G16" s="12">
        <v>2362.5</v>
      </c>
      <c r="H16" s="12">
        <f>SUMIFS(Clean_Data!$T$2:$T$301,Clean_Data!$B$2:$B$301,"&gt;="&amp;A16,Clean_Data!$B$2:$B$301,"&lt;"&amp;EDATE(A16,1),Clean_Data!$H$2:$H$301,B16,Clean_Data!$V$2:$V$301,"VALID",Clean_Data!$P$2:$P$301,"Completed")</f>
        <v>5013.5</v>
      </c>
      <c r="I16" s="12">
        <f t="shared" si="2"/>
        <v>2651</v>
      </c>
      <c r="J16" s="11">
        <f t="shared" si="3"/>
        <v>2.1221164021164021</v>
      </c>
    </row>
    <row r="17" spans="1:10">
      <c r="A17" s="9">
        <v>45717</v>
      </c>
      <c r="B17" t="s">
        <v>14</v>
      </c>
      <c r="C17" s="12">
        <v>11150</v>
      </c>
      <c r="D17" s="12">
        <f>SUMIFS(Clean_Data!$R$2:$R$301,Clean_Data!$B$2:$B$301,"&gt;="&amp;A17,Clean_Data!$B$2:$B$301,"&lt;"&amp;EDATE(A17,1),Clean_Data!$H$2:$H$301,B17,Clean_Data!$V$2:$V$301,"VALID",Clean_Data!$P$2:$P$301,"Completed")</f>
        <v>3309.5</v>
      </c>
      <c r="E17" s="12">
        <f t="shared" si="0"/>
        <v>-7840.5</v>
      </c>
      <c r="F17" s="11">
        <f t="shared" si="1"/>
        <v>0.29681614349775787</v>
      </c>
      <c r="G17" s="12">
        <v>2564.5</v>
      </c>
      <c r="H17" s="12">
        <f>SUMIFS(Clean_Data!$T$2:$T$301,Clean_Data!$B$2:$B$301,"&gt;="&amp;A17,Clean_Data!$B$2:$B$301,"&lt;"&amp;EDATE(A17,1),Clean_Data!$H$2:$H$301,B17,Clean_Data!$V$2:$V$301,"VALID",Clean_Data!$P$2:$P$301,"Completed")</f>
        <v>1424.5</v>
      </c>
      <c r="I17" s="12">
        <f t="shared" si="2"/>
        <v>-1140</v>
      </c>
      <c r="J17" s="11">
        <f t="shared" si="3"/>
        <v>0.55546890232014035</v>
      </c>
    </row>
    <row r="18" spans="1:10">
      <c r="A18" s="9">
        <v>45717</v>
      </c>
      <c r="B18" t="s">
        <v>15</v>
      </c>
      <c r="C18" s="12">
        <v>11800</v>
      </c>
      <c r="D18" s="12">
        <f>SUMIFS(Clean_Data!$R$2:$R$301,Clean_Data!$B$2:$B$301,"&gt;="&amp;A18,Clean_Data!$B$2:$B$301,"&lt;"&amp;EDATE(A18,1),Clean_Data!$H$2:$H$301,B18,Clean_Data!$V$2:$V$301,"VALID",Clean_Data!$P$2:$P$301,"Completed")</f>
        <v>0</v>
      </c>
      <c r="E18" s="12">
        <f t="shared" si="0"/>
        <v>-11800</v>
      </c>
      <c r="F18" s="11">
        <f t="shared" si="1"/>
        <v>0</v>
      </c>
      <c r="G18" s="12">
        <v>2773</v>
      </c>
      <c r="H18" s="12">
        <f>SUMIFS(Clean_Data!$T$2:$T$301,Clean_Data!$B$2:$B$301,"&gt;="&amp;A18,Clean_Data!$B$2:$B$301,"&lt;"&amp;EDATE(A18,1),Clean_Data!$H$2:$H$301,B18,Clean_Data!$V$2:$V$301,"VALID",Clean_Data!$P$2:$P$301,"Completed")</f>
        <v>0</v>
      </c>
      <c r="I18" s="12">
        <f t="shared" si="2"/>
        <v>-2773</v>
      </c>
      <c r="J18" s="11">
        <f t="shared" si="3"/>
        <v>0</v>
      </c>
    </row>
    <row r="19" spans="1:10">
      <c r="A19" s="9">
        <v>45717</v>
      </c>
      <c r="B19" t="s">
        <v>16</v>
      </c>
      <c r="C19" s="12">
        <v>12450</v>
      </c>
      <c r="D19" s="12">
        <f>SUMIFS(Clean_Data!$R$2:$R$301,Clean_Data!$B$2:$B$301,"&gt;="&amp;A19,Clean_Data!$B$2:$B$301,"&lt;"&amp;EDATE(A19,1),Clean_Data!$H$2:$H$301,B19,Clean_Data!$V$2:$V$301,"VALID",Clean_Data!$P$2:$P$301,"Completed")</f>
        <v>3198</v>
      </c>
      <c r="E19" s="12">
        <f t="shared" si="0"/>
        <v>-9252</v>
      </c>
      <c r="F19" s="11">
        <f t="shared" si="1"/>
        <v>0.25686746987951808</v>
      </c>
      <c r="G19" s="12">
        <v>2988</v>
      </c>
      <c r="H19" s="12">
        <f>SUMIFS(Clean_Data!$T$2:$T$301,Clean_Data!$B$2:$B$301,"&gt;="&amp;A19,Clean_Data!$B$2:$B$301,"&lt;"&amp;EDATE(A19,1),Clean_Data!$H$2:$H$301,B19,Clean_Data!$V$2:$V$301,"VALID",Clean_Data!$P$2:$P$301,"Completed")</f>
        <v>1203</v>
      </c>
      <c r="I19" s="12">
        <f t="shared" si="2"/>
        <v>-1785</v>
      </c>
      <c r="J19" s="11">
        <f t="shared" si="3"/>
        <v>0.40261044176706828</v>
      </c>
    </row>
    <row r="20" spans="1:10">
      <c r="A20" s="9">
        <v>45748</v>
      </c>
      <c r="B20" t="s">
        <v>12</v>
      </c>
      <c r="C20" s="12">
        <v>10300</v>
      </c>
      <c r="D20" s="12">
        <f>SUMIFS(Clean_Data!$R$2:$R$301,Clean_Data!$B$2:$B$301,"&gt;="&amp;A20,Clean_Data!$B$2:$B$301,"&lt;"&amp;EDATE(A20,1),Clean_Data!$H$2:$H$301,B20,Clean_Data!$V$2:$V$301,"VALID",Clean_Data!$P$2:$P$301,"Completed")</f>
        <v>9684</v>
      </c>
      <c r="E20" s="12">
        <f t="shared" si="0"/>
        <v>-616</v>
      </c>
      <c r="F20" s="11">
        <f t="shared" si="1"/>
        <v>0.94019417475728151</v>
      </c>
      <c r="G20" s="12">
        <v>2266</v>
      </c>
      <c r="H20" s="12">
        <f>SUMIFS(Clean_Data!$T$2:$T$301,Clean_Data!$B$2:$B$301,"&gt;="&amp;A20,Clean_Data!$B$2:$B$301,"&lt;"&amp;EDATE(A20,1),Clean_Data!$H$2:$H$301,B20,Clean_Data!$V$2:$V$301,"VALID",Clean_Data!$P$2:$P$301,"Completed")</f>
        <v>1834</v>
      </c>
      <c r="I20" s="12">
        <f t="shared" si="2"/>
        <v>-432</v>
      </c>
      <c r="J20" s="11">
        <f t="shared" si="3"/>
        <v>0.80935569285083853</v>
      </c>
    </row>
    <row r="21" spans="1:10">
      <c r="A21" s="9">
        <v>45748</v>
      </c>
      <c r="B21" t="s">
        <v>13</v>
      </c>
      <c r="C21" s="12">
        <v>10950</v>
      </c>
      <c r="D21" s="12">
        <f>SUMIFS(Clean_Data!$R$2:$R$301,Clean_Data!$B$2:$B$301,"&gt;="&amp;A21,Clean_Data!$B$2:$B$301,"&lt;"&amp;EDATE(A21,1),Clean_Data!$H$2:$H$301,B21,Clean_Data!$V$2:$V$301,"VALID",Clean_Data!$P$2:$P$301,"Completed")</f>
        <v>1248</v>
      </c>
      <c r="E21" s="12">
        <f t="shared" si="0"/>
        <v>-9702</v>
      </c>
      <c r="F21" s="11">
        <f t="shared" si="1"/>
        <v>0.11397260273972602</v>
      </c>
      <c r="G21" s="12">
        <v>2463.75</v>
      </c>
      <c r="H21" s="12">
        <f>SUMIFS(Clean_Data!$T$2:$T$301,Clean_Data!$B$2:$B$301,"&gt;="&amp;A21,Clean_Data!$B$2:$B$301,"&lt;"&amp;EDATE(A21,1),Clean_Data!$H$2:$H$301,B21,Clean_Data!$V$2:$V$301,"VALID",Clean_Data!$P$2:$P$301,"Completed")</f>
        <v>408</v>
      </c>
      <c r="I21" s="12">
        <f t="shared" si="2"/>
        <v>-2055.75</v>
      </c>
      <c r="J21" s="11">
        <f t="shared" si="3"/>
        <v>0.16560121765601218</v>
      </c>
    </row>
    <row r="22" spans="1:10">
      <c r="A22" s="9">
        <v>45748</v>
      </c>
      <c r="B22" t="s">
        <v>14</v>
      </c>
      <c r="C22" s="12">
        <v>11600</v>
      </c>
      <c r="D22" s="12">
        <f>SUMIFS(Clean_Data!$R$2:$R$301,Clean_Data!$B$2:$B$301,"&gt;="&amp;A22,Clean_Data!$B$2:$B$301,"&lt;"&amp;EDATE(A22,1),Clean_Data!$H$2:$H$301,B22,Clean_Data!$V$2:$V$301,"VALID",Clean_Data!$P$2:$P$301,"Completed")</f>
        <v>38565.75</v>
      </c>
      <c r="E22" s="12">
        <f t="shared" si="0"/>
        <v>26965.75</v>
      </c>
      <c r="F22" s="11">
        <f t="shared" si="1"/>
        <v>3.3246336206896552</v>
      </c>
      <c r="G22" s="12">
        <v>2668</v>
      </c>
      <c r="H22" s="12">
        <f>SUMIFS(Clean_Data!$T$2:$T$301,Clean_Data!$B$2:$B$301,"&gt;="&amp;A22,Clean_Data!$B$2:$B$301,"&lt;"&amp;EDATE(A22,1),Clean_Data!$H$2:$H$301,B22,Clean_Data!$V$2:$V$301,"VALID",Clean_Data!$P$2:$P$301,"Completed")</f>
        <v>9620.75</v>
      </c>
      <c r="I22" s="12">
        <f t="shared" si="2"/>
        <v>6952.75</v>
      </c>
      <c r="J22" s="11">
        <f t="shared" si="3"/>
        <v>3.6059782608695654</v>
      </c>
    </row>
    <row r="23" spans="1:10">
      <c r="A23" s="9">
        <v>45748</v>
      </c>
      <c r="B23" t="s">
        <v>15</v>
      </c>
      <c r="C23" s="12">
        <v>12250</v>
      </c>
      <c r="D23" s="12">
        <f>SUMIFS(Clean_Data!$R$2:$R$301,Clean_Data!$B$2:$B$301,"&gt;="&amp;A23,Clean_Data!$B$2:$B$301,"&lt;"&amp;EDATE(A23,1),Clean_Data!$H$2:$H$301,B23,Clean_Data!$V$2:$V$301,"VALID",Clean_Data!$P$2:$P$301,"Completed")</f>
        <v>10481</v>
      </c>
      <c r="E23" s="12">
        <f t="shared" si="0"/>
        <v>-1769</v>
      </c>
      <c r="F23" s="11">
        <f t="shared" si="1"/>
        <v>0.85559183673469386</v>
      </c>
      <c r="G23" s="12">
        <v>2878.75</v>
      </c>
      <c r="H23" s="12">
        <f>SUMIFS(Clean_Data!$T$2:$T$301,Clean_Data!$B$2:$B$301,"&gt;="&amp;A23,Clean_Data!$B$2:$B$301,"&lt;"&amp;EDATE(A23,1),Clean_Data!$H$2:$H$301,B23,Clean_Data!$V$2:$V$301,"VALID",Clean_Data!$P$2:$P$301,"Completed")</f>
        <v>2836</v>
      </c>
      <c r="I23" s="12">
        <f t="shared" si="2"/>
        <v>-42.75</v>
      </c>
      <c r="J23" s="11">
        <f t="shared" si="3"/>
        <v>0.98514980460269219</v>
      </c>
    </row>
    <row r="24" spans="1:10">
      <c r="A24" s="9">
        <v>45748</v>
      </c>
      <c r="B24" t="s">
        <v>16</v>
      </c>
      <c r="C24" s="12">
        <v>12900</v>
      </c>
      <c r="D24" s="12">
        <f>SUMIFS(Clean_Data!$R$2:$R$301,Clean_Data!$B$2:$B$301,"&gt;="&amp;A24,Clean_Data!$B$2:$B$301,"&lt;"&amp;EDATE(A24,1),Clean_Data!$H$2:$H$301,B24,Clean_Data!$V$2:$V$301,"VALID",Clean_Data!$P$2:$P$301,"Completed")</f>
        <v>1890</v>
      </c>
      <c r="E24" s="12">
        <f t="shared" si="0"/>
        <v>-11010</v>
      </c>
      <c r="F24" s="11">
        <f t="shared" si="1"/>
        <v>0.14651162790697675</v>
      </c>
      <c r="G24" s="12">
        <v>3096</v>
      </c>
      <c r="H24" s="12">
        <f>SUMIFS(Clean_Data!$T$2:$T$301,Clean_Data!$B$2:$B$301,"&gt;="&amp;A24,Clean_Data!$B$2:$B$301,"&lt;"&amp;EDATE(A24,1),Clean_Data!$H$2:$H$301,B24,Clean_Data!$V$2:$V$301,"VALID",Clean_Data!$P$2:$P$301,"Completed")</f>
        <v>714</v>
      </c>
      <c r="I24" s="12">
        <f t="shared" si="2"/>
        <v>-2382</v>
      </c>
      <c r="J24" s="11">
        <f t="shared" si="3"/>
        <v>0.23062015503875968</v>
      </c>
    </row>
    <row r="25" spans="1:10">
      <c r="A25" s="9">
        <v>45778</v>
      </c>
      <c r="B25" t="s">
        <v>12</v>
      </c>
      <c r="C25" s="12">
        <v>10750</v>
      </c>
      <c r="D25" s="12">
        <f>SUMIFS(Clean_Data!$R$2:$R$301,Clean_Data!$B$2:$B$301,"&gt;="&amp;A25,Clean_Data!$B$2:$B$301,"&lt;"&amp;EDATE(A25,1),Clean_Data!$H$2:$H$301,B25,Clean_Data!$V$2:$V$301,"VALID",Clean_Data!$P$2:$P$301,"Completed")</f>
        <v>7866</v>
      </c>
      <c r="E25" s="12">
        <f t="shared" si="0"/>
        <v>-2884</v>
      </c>
      <c r="F25" s="11">
        <f t="shared" si="1"/>
        <v>0.73172093023255813</v>
      </c>
      <c r="G25" s="12">
        <v>2365</v>
      </c>
      <c r="H25" s="12">
        <f>SUMIFS(Clean_Data!$T$2:$T$301,Clean_Data!$B$2:$B$301,"&gt;="&amp;A25,Clean_Data!$B$2:$B$301,"&lt;"&amp;EDATE(A25,1),Clean_Data!$H$2:$H$301,B25,Clean_Data!$V$2:$V$301,"VALID",Clean_Data!$P$2:$P$301,"Completed")</f>
        <v>2796</v>
      </c>
      <c r="I25" s="12">
        <f t="shared" si="2"/>
        <v>431</v>
      </c>
      <c r="J25" s="11">
        <f t="shared" si="3"/>
        <v>1.1822410147991544</v>
      </c>
    </row>
    <row r="26" spans="1:10">
      <c r="A26" s="9">
        <v>45778</v>
      </c>
      <c r="B26" t="s">
        <v>13</v>
      </c>
      <c r="C26" s="12">
        <v>11400</v>
      </c>
      <c r="D26" s="12">
        <f>SUMIFS(Clean_Data!$R$2:$R$301,Clean_Data!$B$2:$B$301,"&gt;="&amp;A26,Clean_Data!$B$2:$B$301,"&lt;"&amp;EDATE(A26,1),Clean_Data!$H$2:$H$301,B26,Clean_Data!$V$2:$V$301,"VALID",Clean_Data!$P$2:$P$301,"Completed")</f>
        <v>15194.25</v>
      </c>
      <c r="E26" s="12">
        <f t="shared" si="0"/>
        <v>3794.25</v>
      </c>
      <c r="F26" s="11">
        <f t="shared" si="1"/>
        <v>1.3328289473684209</v>
      </c>
      <c r="G26" s="12">
        <v>2565</v>
      </c>
      <c r="H26" s="12">
        <f>SUMIFS(Clean_Data!$T$2:$T$301,Clean_Data!$B$2:$B$301,"&gt;="&amp;A26,Clean_Data!$B$2:$B$301,"&lt;"&amp;EDATE(A26,1),Clean_Data!$H$2:$H$301,B26,Clean_Data!$V$2:$V$301,"VALID",Clean_Data!$P$2:$P$301,"Completed")</f>
        <v>4260.25</v>
      </c>
      <c r="I26" s="12">
        <f t="shared" si="2"/>
        <v>1695.25</v>
      </c>
      <c r="J26" s="11">
        <f t="shared" si="3"/>
        <v>1.660916179337232</v>
      </c>
    </row>
    <row r="27" spans="1:10">
      <c r="A27" s="9">
        <v>45778</v>
      </c>
      <c r="B27" t="s">
        <v>14</v>
      </c>
      <c r="C27" s="12">
        <v>12050</v>
      </c>
      <c r="D27" s="12">
        <f>SUMIFS(Clean_Data!$R$2:$R$301,Clean_Data!$B$2:$B$301,"&gt;="&amp;A27,Clean_Data!$B$2:$B$301,"&lt;"&amp;EDATE(A27,1),Clean_Data!$H$2:$H$301,B27,Clean_Data!$V$2:$V$301,"VALID",Clean_Data!$P$2:$P$301,"Completed")</f>
        <v>21060.5</v>
      </c>
      <c r="E27" s="12">
        <f t="shared" si="0"/>
        <v>9010.5</v>
      </c>
      <c r="F27" s="11">
        <f t="shared" si="1"/>
        <v>1.7477593360995851</v>
      </c>
      <c r="G27" s="12">
        <v>2771.5</v>
      </c>
      <c r="H27" s="12">
        <f>SUMIFS(Clean_Data!$T$2:$T$301,Clean_Data!$B$2:$B$301,"&gt;="&amp;A27,Clean_Data!$B$2:$B$301,"&lt;"&amp;EDATE(A27,1),Clean_Data!$H$2:$H$301,B27,Clean_Data!$V$2:$V$301,"VALID",Clean_Data!$P$2:$P$301,"Completed")</f>
        <v>5356.5</v>
      </c>
      <c r="I27" s="12">
        <f t="shared" si="2"/>
        <v>2585</v>
      </c>
      <c r="J27" s="11">
        <f t="shared" si="3"/>
        <v>1.9327079198989716</v>
      </c>
    </row>
    <row r="28" spans="1:10">
      <c r="A28" s="9">
        <v>45778</v>
      </c>
      <c r="B28" t="s">
        <v>15</v>
      </c>
      <c r="C28" s="12">
        <v>12700</v>
      </c>
      <c r="D28" s="12">
        <f>SUMIFS(Clean_Data!$R$2:$R$301,Clean_Data!$B$2:$B$301,"&gt;="&amp;A28,Clean_Data!$B$2:$B$301,"&lt;"&amp;EDATE(A28,1),Clean_Data!$H$2:$H$301,B28,Clean_Data!$V$2:$V$301,"VALID",Clean_Data!$P$2:$P$301,"Completed")</f>
        <v>552.5</v>
      </c>
      <c r="E28" s="12">
        <f t="shared" si="0"/>
        <v>-12147.5</v>
      </c>
      <c r="F28" s="11">
        <f t="shared" si="1"/>
        <v>4.3503937007874013E-2</v>
      </c>
      <c r="G28" s="12">
        <v>2984.5</v>
      </c>
      <c r="H28" s="12">
        <f>SUMIFS(Clean_Data!$T$2:$T$301,Clean_Data!$B$2:$B$301,"&gt;="&amp;A28,Clean_Data!$B$2:$B$301,"&lt;"&amp;EDATE(A28,1),Clean_Data!$H$2:$H$301,B28,Clean_Data!$V$2:$V$301,"VALID",Clean_Data!$P$2:$P$301,"Completed")</f>
        <v>244.5</v>
      </c>
      <c r="I28" s="12">
        <f t="shared" si="2"/>
        <v>-2740</v>
      </c>
      <c r="J28" s="11">
        <f t="shared" si="3"/>
        <v>8.1923270229519188E-2</v>
      </c>
    </row>
    <row r="29" spans="1:10">
      <c r="A29" s="9">
        <v>45778</v>
      </c>
      <c r="B29" t="s">
        <v>16</v>
      </c>
      <c r="C29" s="12">
        <v>13350</v>
      </c>
      <c r="D29" s="12">
        <f>SUMIFS(Clean_Data!$R$2:$R$301,Clean_Data!$B$2:$B$301,"&gt;="&amp;A29,Clean_Data!$B$2:$B$301,"&lt;"&amp;EDATE(A29,1),Clean_Data!$H$2:$H$301,B29,Clean_Data!$V$2:$V$301,"VALID",Clean_Data!$P$2:$P$301,"Completed")</f>
        <v>8176.5</v>
      </c>
      <c r="E29" s="12">
        <f t="shared" si="0"/>
        <v>-5173.5</v>
      </c>
      <c r="F29" s="11">
        <f t="shared" si="1"/>
        <v>0.61247191011235957</v>
      </c>
      <c r="G29" s="12">
        <v>3204</v>
      </c>
      <c r="H29" s="12">
        <f>SUMIFS(Clean_Data!$T$2:$T$301,Clean_Data!$B$2:$B$301,"&gt;="&amp;A29,Clean_Data!$B$2:$B$301,"&lt;"&amp;EDATE(A29,1),Clean_Data!$H$2:$H$301,B29,Clean_Data!$V$2:$V$301,"VALID",Clean_Data!$P$2:$P$301,"Completed")</f>
        <v>2338.5</v>
      </c>
      <c r="I29" s="12">
        <f t="shared" si="2"/>
        <v>-865.5</v>
      </c>
      <c r="J29" s="11">
        <f t="shared" si="3"/>
        <v>0.72986891385767794</v>
      </c>
    </row>
    <row r="30" spans="1:10">
      <c r="A30" s="9">
        <v>45809</v>
      </c>
      <c r="B30" t="s">
        <v>12</v>
      </c>
      <c r="C30" s="12">
        <v>11200</v>
      </c>
      <c r="D30" s="12">
        <f>SUMIFS(Clean_Data!$R$2:$R$301,Clean_Data!$B$2:$B$301,"&gt;="&amp;A30,Clean_Data!$B$2:$B$301,"&lt;"&amp;EDATE(A30,1),Clean_Data!$H$2:$H$301,B30,Clean_Data!$V$2:$V$301,"VALID",Clean_Data!$P$2:$P$301,"Completed")</f>
        <v>5378</v>
      </c>
      <c r="E30" s="12">
        <f t="shared" si="0"/>
        <v>-5822</v>
      </c>
      <c r="F30" s="11">
        <f t="shared" si="1"/>
        <v>0.48017857142857145</v>
      </c>
      <c r="G30" s="12">
        <v>2464</v>
      </c>
      <c r="H30" s="12">
        <f>SUMIFS(Clean_Data!$T$2:$T$301,Clean_Data!$B$2:$B$301,"&gt;="&amp;A30,Clean_Data!$B$2:$B$301,"&lt;"&amp;EDATE(A30,1),Clean_Data!$H$2:$H$301,B30,Clean_Data!$V$2:$V$301,"VALID",Clean_Data!$P$2:$P$301,"Completed")</f>
        <v>2162</v>
      </c>
      <c r="I30" s="12">
        <f t="shared" si="2"/>
        <v>-302</v>
      </c>
      <c r="J30" s="11">
        <f t="shared" si="3"/>
        <v>0.87743506493506496</v>
      </c>
    </row>
    <row r="31" spans="1:10">
      <c r="A31" s="9">
        <v>45809</v>
      </c>
      <c r="B31" t="s">
        <v>13</v>
      </c>
      <c r="C31" s="12">
        <v>11850</v>
      </c>
      <c r="D31" s="12">
        <f>SUMIFS(Clean_Data!$R$2:$R$301,Clean_Data!$B$2:$B$301,"&gt;="&amp;A31,Clean_Data!$B$2:$B$301,"&lt;"&amp;EDATE(A31,1),Clean_Data!$H$2:$H$301,B31,Clean_Data!$V$2:$V$301,"VALID",Clean_Data!$P$2:$P$301,"Completed")</f>
        <v>10179</v>
      </c>
      <c r="E31" s="12">
        <f t="shared" si="0"/>
        <v>-1671</v>
      </c>
      <c r="F31" s="11">
        <f t="shared" si="1"/>
        <v>0.85898734177215186</v>
      </c>
      <c r="G31" s="12">
        <v>2666.25</v>
      </c>
      <c r="H31" s="12">
        <f>SUMIFS(Clean_Data!$T$2:$T$301,Clean_Data!$B$2:$B$301,"&gt;="&amp;A31,Clean_Data!$B$2:$B$301,"&lt;"&amp;EDATE(A31,1),Clean_Data!$H$2:$H$301,B31,Clean_Data!$V$2:$V$301,"VALID",Clean_Data!$P$2:$P$301,"Completed")</f>
        <v>2623</v>
      </c>
      <c r="I31" s="12">
        <f t="shared" si="2"/>
        <v>-43.25</v>
      </c>
      <c r="J31" s="11">
        <f t="shared" si="3"/>
        <v>0.98377871542428508</v>
      </c>
    </row>
    <row r="32" spans="1:10">
      <c r="A32" s="9">
        <v>45809</v>
      </c>
      <c r="B32" t="s">
        <v>14</v>
      </c>
      <c r="C32" s="12">
        <v>12500</v>
      </c>
      <c r="D32" s="12">
        <f>SUMIFS(Clean_Data!$R$2:$R$301,Clean_Data!$B$2:$B$301,"&gt;="&amp;A32,Clean_Data!$B$2:$B$301,"&lt;"&amp;EDATE(A32,1),Clean_Data!$H$2:$H$301,B32,Clean_Data!$V$2:$V$301,"VALID",Clean_Data!$P$2:$P$301,"Completed")</f>
        <v>4761.5</v>
      </c>
      <c r="E32" s="12">
        <f t="shared" si="0"/>
        <v>-7738.5</v>
      </c>
      <c r="F32" s="11">
        <f t="shared" si="1"/>
        <v>0.38091999999999998</v>
      </c>
      <c r="G32" s="12">
        <v>2875</v>
      </c>
      <c r="H32" s="12">
        <f>SUMIFS(Clean_Data!$T$2:$T$301,Clean_Data!$B$2:$B$301,"&gt;="&amp;A32,Clean_Data!$B$2:$B$301,"&lt;"&amp;EDATE(A32,1),Clean_Data!$H$2:$H$301,B32,Clean_Data!$V$2:$V$301,"VALID",Clean_Data!$P$2:$P$301,"Completed")</f>
        <v>1631.5</v>
      </c>
      <c r="I32" s="12">
        <f t="shared" si="2"/>
        <v>-1243.5</v>
      </c>
      <c r="J32" s="11">
        <f t="shared" si="3"/>
        <v>0.56747826086956521</v>
      </c>
    </row>
    <row r="33" spans="1:10">
      <c r="A33" s="9">
        <v>45809</v>
      </c>
      <c r="B33" t="s">
        <v>15</v>
      </c>
      <c r="C33" s="12">
        <v>13150</v>
      </c>
      <c r="D33" s="12">
        <f>SUMIFS(Clean_Data!$R$2:$R$301,Clean_Data!$B$2:$B$301,"&gt;="&amp;A33,Clean_Data!$B$2:$B$301,"&lt;"&amp;EDATE(A33,1),Clean_Data!$H$2:$H$301,B33,Clean_Data!$V$2:$V$301,"VALID",Clean_Data!$P$2:$P$301,"Completed")</f>
        <v>27028</v>
      </c>
      <c r="E33" s="12">
        <f t="shared" si="0"/>
        <v>13878</v>
      </c>
      <c r="F33" s="11">
        <f t="shared" si="1"/>
        <v>2.0553612167300379</v>
      </c>
      <c r="G33" s="12">
        <v>3090.25</v>
      </c>
      <c r="H33" s="12">
        <f>SUMIFS(Clean_Data!$T$2:$T$301,Clean_Data!$B$2:$B$301,"&gt;="&amp;A33,Clean_Data!$B$2:$B$301,"&lt;"&amp;EDATE(A33,1),Clean_Data!$H$2:$H$301,B33,Clean_Data!$V$2:$V$301,"VALID",Clean_Data!$P$2:$P$301,"Completed")</f>
        <v>6728</v>
      </c>
      <c r="I33" s="12">
        <f t="shared" si="2"/>
        <v>3637.75</v>
      </c>
      <c r="J33" s="11">
        <f t="shared" si="3"/>
        <v>2.1771701318663537</v>
      </c>
    </row>
    <row r="34" spans="1:10">
      <c r="A34" s="9">
        <v>45809</v>
      </c>
      <c r="B34" t="s">
        <v>16</v>
      </c>
      <c r="C34" s="12">
        <v>13800</v>
      </c>
      <c r="D34" s="12">
        <f>SUMIFS(Clean_Data!$R$2:$R$301,Clean_Data!$B$2:$B$301,"&gt;="&amp;A34,Clean_Data!$B$2:$B$301,"&lt;"&amp;EDATE(A34,1),Clean_Data!$H$2:$H$301,B34,Clean_Data!$V$2:$V$301,"VALID",Clean_Data!$P$2:$P$301,"Completed")</f>
        <v>9902.75</v>
      </c>
      <c r="E34" s="12">
        <f t="shared" si="0"/>
        <v>-3897.25</v>
      </c>
      <c r="F34" s="11">
        <f t="shared" si="1"/>
        <v>0.71759057971014495</v>
      </c>
      <c r="G34" s="12">
        <v>3312</v>
      </c>
      <c r="H34" s="12">
        <f>SUMIFS(Clean_Data!$T$2:$T$301,Clean_Data!$B$2:$B$301,"&gt;="&amp;A34,Clean_Data!$B$2:$B$301,"&lt;"&amp;EDATE(A34,1),Clean_Data!$H$2:$H$301,B34,Clean_Data!$V$2:$V$301,"VALID",Clean_Data!$P$2:$P$301,"Completed")</f>
        <v>3718.75</v>
      </c>
      <c r="I34" s="12">
        <f t="shared" si="2"/>
        <v>406.75</v>
      </c>
      <c r="J34" s="11">
        <f t="shared" si="3"/>
        <v>1.1228109903381642</v>
      </c>
    </row>
    <row r="35" spans="1:10">
      <c r="A35" s="9">
        <v>45839</v>
      </c>
      <c r="B35" t="s">
        <v>12</v>
      </c>
      <c r="C35" s="12">
        <v>11650</v>
      </c>
      <c r="D35" s="12">
        <f>SUMIFS(Clean_Data!$R$2:$R$301,Clean_Data!$B$2:$B$301,"&gt;="&amp;A35,Clean_Data!$B$2:$B$301,"&lt;"&amp;EDATE(A35,1),Clean_Data!$H$2:$H$301,B35,Clean_Data!$V$2:$V$301,"VALID",Clean_Data!$P$2:$P$301,"Completed")</f>
        <v>1723</v>
      </c>
      <c r="E35" s="12">
        <f t="shared" si="0"/>
        <v>-9927</v>
      </c>
      <c r="F35" s="11">
        <f t="shared" si="1"/>
        <v>0.14789699570815451</v>
      </c>
      <c r="G35" s="12">
        <v>2563</v>
      </c>
      <c r="H35" s="12">
        <f>SUMIFS(Clean_Data!$T$2:$T$301,Clean_Data!$B$2:$B$301,"&gt;="&amp;A35,Clean_Data!$B$2:$B$301,"&lt;"&amp;EDATE(A35,1),Clean_Data!$H$2:$H$301,B35,Clean_Data!$V$2:$V$301,"VALID",Clean_Data!$P$2:$P$301,"Completed")</f>
        <v>779</v>
      </c>
      <c r="I35" s="12">
        <f t="shared" si="2"/>
        <v>-1784</v>
      </c>
      <c r="J35" s="11">
        <f t="shared" si="3"/>
        <v>0.30394069449863442</v>
      </c>
    </row>
    <row r="36" spans="1:10">
      <c r="A36" s="9">
        <v>45839</v>
      </c>
      <c r="B36" t="s">
        <v>13</v>
      </c>
      <c r="C36" s="12">
        <v>12300</v>
      </c>
      <c r="D36" s="12">
        <f>SUMIFS(Clean_Data!$R$2:$R$301,Clean_Data!$B$2:$B$301,"&gt;="&amp;A36,Clean_Data!$B$2:$B$301,"&lt;"&amp;EDATE(A36,1),Clean_Data!$H$2:$H$301,B36,Clean_Data!$V$2:$V$301,"VALID",Clean_Data!$P$2:$P$301,"Completed")</f>
        <v>935</v>
      </c>
      <c r="E36" s="12">
        <f t="shared" si="0"/>
        <v>-11365</v>
      </c>
      <c r="F36" s="11">
        <f t="shared" si="1"/>
        <v>7.6016260162601629E-2</v>
      </c>
      <c r="G36" s="12">
        <v>2767.5</v>
      </c>
      <c r="H36" s="12">
        <f>SUMIFS(Clean_Data!$T$2:$T$301,Clean_Data!$B$2:$B$301,"&gt;="&amp;A36,Clean_Data!$B$2:$B$301,"&lt;"&amp;EDATE(A36,1),Clean_Data!$H$2:$H$301,B36,Clean_Data!$V$2:$V$301,"VALID",Clean_Data!$P$2:$P$301,"Completed")</f>
        <v>411</v>
      </c>
      <c r="I36" s="12">
        <f t="shared" si="2"/>
        <v>-2356.5</v>
      </c>
      <c r="J36" s="11">
        <f t="shared" si="3"/>
        <v>0.14850948509485096</v>
      </c>
    </row>
    <row r="37" spans="1:10">
      <c r="A37" s="9">
        <v>45839</v>
      </c>
      <c r="B37" t="s">
        <v>14</v>
      </c>
      <c r="C37" s="12">
        <v>12950</v>
      </c>
      <c r="D37" s="12">
        <f>SUMIFS(Clean_Data!$R$2:$R$301,Clean_Data!$B$2:$B$301,"&gt;="&amp;A37,Clean_Data!$B$2:$B$301,"&lt;"&amp;EDATE(A37,1),Clean_Data!$H$2:$H$301,B37,Clean_Data!$V$2:$V$301,"VALID",Clean_Data!$P$2:$P$301,"Completed")</f>
        <v>7052.25</v>
      </c>
      <c r="E37" s="12">
        <f t="shared" ref="E37:E64" si="4">D37-C37</f>
        <v>-5897.75</v>
      </c>
      <c r="F37" s="11">
        <f t="shared" ref="F37:F64" si="5">IFERROR(D37/C37,0)</f>
        <v>0.54457528957528956</v>
      </c>
      <c r="G37" s="12">
        <v>2978.5</v>
      </c>
      <c r="H37" s="12">
        <f>SUMIFS(Clean_Data!$T$2:$T$301,Clean_Data!$B$2:$B$301,"&gt;="&amp;A37,Clean_Data!$B$2:$B$301,"&lt;"&amp;EDATE(A37,1),Clean_Data!$H$2:$H$301,B37,Clean_Data!$V$2:$V$301,"VALID",Clean_Data!$P$2:$P$301,"Completed")</f>
        <v>1730.25</v>
      </c>
      <c r="I37" s="12">
        <f t="shared" ref="I37:I64" si="6">H37-G37</f>
        <v>-1248.25</v>
      </c>
      <c r="J37" s="11">
        <f t="shared" ref="J37:J64" si="7">IFERROR(H37/G37,0)</f>
        <v>0.58091321134799401</v>
      </c>
    </row>
    <row r="38" spans="1:10">
      <c r="A38" s="9">
        <v>45839</v>
      </c>
      <c r="B38" t="s">
        <v>15</v>
      </c>
      <c r="C38" s="12">
        <v>13600</v>
      </c>
      <c r="D38" s="12">
        <f>SUMIFS(Clean_Data!$R$2:$R$301,Clean_Data!$B$2:$B$301,"&gt;="&amp;A38,Clean_Data!$B$2:$B$301,"&lt;"&amp;EDATE(A38,1),Clean_Data!$H$2:$H$301,B38,Clean_Data!$V$2:$V$301,"VALID",Clean_Data!$P$2:$P$301,"Completed")</f>
        <v>1872</v>
      </c>
      <c r="E38" s="12">
        <f t="shared" si="4"/>
        <v>-11728</v>
      </c>
      <c r="F38" s="11">
        <f t="shared" si="5"/>
        <v>0.1376470588235294</v>
      </c>
      <c r="G38" s="12">
        <v>3196</v>
      </c>
      <c r="H38" s="12">
        <f>SUMIFS(Clean_Data!$T$2:$T$301,Clean_Data!$B$2:$B$301,"&gt;="&amp;A38,Clean_Data!$B$2:$B$301,"&lt;"&amp;EDATE(A38,1),Clean_Data!$H$2:$H$301,B38,Clean_Data!$V$2:$V$301,"VALID",Clean_Data!$P$2:$P$301,"Completed")</f>
        <v>612</v>
      </c>
      <c r="I38" s="12">
        <f t="shared" si="6"/>
        <v>-2584</v>
      </c>
      <c r="J38" s="11">
        <f t="shared" si="7"/>
        <v>0.19148936170212766</v>
      </c>
    </row>
    <row r="39" spans="1:10">
      <c r="A39" s="9">
        <v>45839</v>
      </c>
      <c r="B39" t="s">
        <v>16</v>
      </c>
      <c r="C39" s="12">
        <v>14250</v>
      </c>
      <c r="D39" s="12">
        <f>SUMIFS(Clean_Data!$R$2:$R$301,Clean_Data!$B$2:$B$301,"&gt;="&amp;A39,Clean_Data!$B$2:$B$301,"&lt;"&amp;EDATE(A39,1),Clean_Data!$H$2:$H$301,B39,Clean_Data!$V$2:$V$301,"VALID",Clean_Data!$P$2:$P$301,"Completed")</f>
        <v>18372.5</v>
      </c>
      <c r="E39" s="12">
        <f t="shared" si="4"/>
        <v>4122.5</v>
      </c>
      <c r="F39" s="11">
        <f t="shared" si="5"/>
        <v>1.2892982456140352</v>
      </c>
      <c r="G39" s="12">
        <v>3420</v>
      </c>
      <c r="H39" s="12">
        <f>SUMIFS(Clean_Data!$T$2:$T$301,Clean_Data!$B$2:$B$301,"&gt;="&amp;A39,Clean_Data!$B$2:$B$301,"&lt;"&amp;EDATE(A39,1),Clean_Data!$H$2:$H$301,B39,Clean_Data!$V$2:$V$301,"VALID",Clean_Data!$P$2:$P$301,"Completed")</f>
        <v>3437.5</v>
      </c>
      <c r="I39" s="12">
        <f t="shared" si="6"/>
        <v>17.5</v>
      </c>
      <c r="J39" s="11">
        <f t="shared" si="7"/>
        <v>1.0051169590643274</v>
      </c>
    </row>
    <row r="40" spans="1:10">
      <c r="A40" s="9">
        <v>45870</v>
      </c>
      <c r="B40" t="s">
        <v>12</v>
      </c>
      <c r="C40" s="12">
        <v>12100</v>
      </c>
      <c r="D40" s="12">
        <f>SUMIFS(Clean_Data!$R$2:$R$301,Clean_Data!$B$2:$B$301,"&gt;="&amp;A40,Clean_Data!$B$2:$B$301,"&lt;"&amp;EDATE(A40,1),Clean_Data!$H$2:$H$301,B40,Clean_Data!$V$2:$V$301,"VALID",Clean_Data!$P$2:$P$301,"Completed")</f>
        <v>10899</v>
      </c>
      <c r="E40" s="12">
        <f t="shared" si="4"/>
        <v>-1201</v>
      </c>
      <c r="F40" s="11">
        <f t="shared" si="5"/>
        <v>0.90074380165289258</v>
      </c>
      <c r="G40" s="12">
        <v>2662</v>
      </c>
      <c r="H40" s="12">
        <f>SUMIFS(Clean_Data!$T$2:$T$301,Clean_Data!$B$2:$B$301,"&gt;="&amp;A40,Clean_Data!$B$2:$B$301,"&lt;"&amp;EDATE(A40,1),Clean_Data!$H$2:$H$301,B40,Clean_Data!$V$2:$V$301,"VALID",Clean_Data!$P$2:$P$301,"Completed")</f>
        <v>3378</v>
      </c>
      <c r="I40" s="12">
        <f t="shared" si="6"/>
        <v>716</v>
      </c>
      <c r="J40" s="11">
        <f t="shared" si="7"/>
        <v>1.2689706987227649</v>
      </c>
    </row>
    <row r="41" spans="1:10">
      <c r="A41" s="9">
        <v>45870</v>
      </c>
      <c r="B41" t="s">
        <v>13</v>
      </c>
      <c r="C41" s="12">
        <v>12750</v>
      </c>
      <c r="D41" s="12">
        <f>SUMIFS(Clean_Data!$R$2:$R$301,Clean_Data!$B$2:$B$301,"&gt;="&amp;A41,Clean_Data!$B$2:$B$301,"&lt;"&amp;EDATE(A41,1),Clean_Data!$H$2:$H$301,B41,Clean_Data!$V$2:$V$301,"VALID",Clean_Data!$P$2:$P$301,"Completed")</f>
        <v>4468</v>
      </c>
      <c r="E41" s="12">
        <f t="shared" si="4"/>
        <v>-8282</v>
      </c>
      <c r="F41" s="11">
        <f t="shared" si="5"/>
        <v>0.35043137254901963</v>
      </c>
      <c r="G41" s="12">
        <v>2868.75</v>
      </c>
      <c r="H41" s="12">
        <f>SUMIFS(Clean_Data!$T$2:$T$301,Clean_Data!$B$2:$B$301,"&gt;="&amp;A41,Clean_Data!$B$2:$B$301,"&lt;"&amp;EDATE(A41,1),Clean_Data!$H$2:$H$301,B41,Clean_Data!$V$2:$V$301,"VALID",Clean_Data!$P$2:$P$301,"Completed")</f>
        <v>1713</v>
      </c>
      <c r="I41" s="12">
        <f t="shared" si="6"/>
        <v>-1155.75</v>
      </c>
      <c r="J41" s="11">
        <f t="shared" si="7"/>
        <v>0.59712418300653591</v>
      </c>
    </row>
    <row r="42" spans="1:10">
      <c r="A42" s="9">
        <v>45870</v>
      </c>
      <c r="B42" t="s">
        <v>14</v>
      </c>
      <c r="C42" s="12">
        <v>13400</v>
      </c>
      <c r="D42" s="12">
        <f>SUMIFS(Clean_Data!$R$2:$R$301,Clean_Data!$B$2:$B$301,"&gt;="&amp;A42,Clean_Data!$B$2:$B$301,"&lt;"&amp;EDATE(A42,1),Clean_Data!$H$2:$H$301,B42,Clean_Data!$V$2:$V$301,"VALID",Clean_Data!$P$2:$P$301,"Completed")</f>
        <v>11487</v>
      </c>
      <c r="E42" s="12">
        <f t="shared" si="4"/>
        <v>-1913</v>
      </c>
      <c r="F42" s="11">
        <f t="shared" si="5"/>
        <v>0.85723880597014923</v>
      </c>
      <c r="G42" s="12">
        <v>3082</v>
      </c>
      <c r="H42" s="12">
        <f>SUMIFS(Clean_Data!$T$2:$T$301,Clean_Data!$B$2:$B$301,"&gt;="&amp;A42,Clean_Data!$B$2:$B$301,"&lt;"&amp;EDATE(A42,1),Clean_Data!$H$2:$H$301,B42,Clean_Data!$V$2:$V$301,"VALID",Clean_Data!$P$2:$P$301,"Completed")</f>
        <v>3716</v>
      </c>
      <c r="I42" s="12">
        <f t="shared" si="6"/>
        <v>634</v>
      </c>
      <c r="J42" s="11">
        <f t="shared" si="7"/>
        <v>1.2057105775470474</v>
      </c>
    </row>
    <row r="43" spans="1:10">
      <c r="A43" s="9">
        <v>45870</v>
      </c>
      <c r="B43" t="s">
        <v>15</v>
      </c>
      <c r="C43" s="12">
        <v>14050</v>
      </c>
      <c r="D43" s="12">
        <f>SUMIFS(Clean_Data!$R$2:$R$301,Clean_Data!$B$2:$B$301,"&gt;="&amp;A43,Clean_Data!$B$2:$B$301,"&lt;"&amp;EDATE(A43,1),Clean_Data!$H$2:$H$301,B43,Clean_Data!$V$2:$V$301,"VALID",Clean_Data!$P$2:$P$301,"Completed")</f>
        <v>23712.5</v>
      </c>
      <c r="E43" s="12">
        <f t="shared" si="4"/>
        <v>9662.5</v>
      </c>
      <c r="F43" s="11">
        <f t="shared" si="5"/>
        <v>1.6877224199288257</v>
      </c>
      <c r="G43" s="12">
        <v>3301.75</v>
      </c>
      <c r="H43" s="12">
        <f>SUMIFS(Clean_Data!$T$2:$T$301,Clean_Data!$B$2:$B$301,"&gt;="&amp;A43,Clean_Data!$B$2:$B$301,"&lt;"&amp;EDATE(A43,1),Clean_Data!$H$2:$H$301,B43,Clean_Data!$V$2:$V$301,"VALID",Clean_Data!$P$2:$P$301,"Completed")</f>
        <v>6459.5</v>
      </c>
      <c r="I43" s="12">
        <f t="shared" si="6"/>
        <v>3157.75</v>
      </c>
      <c r="J43" s="11">
        <f t="shared" si="7"/>
        <v>1.9563867645945332</v>
      </c>
    </row>
    <row r="44" spans="1:10">
      <c r="A44" s="9">
        <v>45870</v>
      </c>
      <c r="B44" t="s">
        <v>16</v>
      </c>
      <c r="C44" s="12">
        <v>14700</v>
      </c>
      <c r="D44" s="12">
        <f>SUMIFS(Clean_Data!$R$2:$R$301,Clean_Data!$B$2:$B$301,"&gt;="&amp;A44,Clean_Data!$B$2:$B$301,"&lt;"&amp;EDATE(A44,1),Clean_Data!$H$2:$H$301,B44,Clean_Data!$V$2:$V$301,"VALID",Clean_Data!$P$2:$P$301,"Completed")</f>
        <v>12543</v>
      </c>
      <c r="E44" s="12">
        <f t="shared" si="4"/>
        <v>-2157</v>
      </c>
      <c r="F44" s="11">
        <f t="shared" si="5"/>
        <v>0.853265306122449</v>
      </c>
      <c r="G44" s="12">
        <v>3528</v>
      </c>
      <c r="H44" s="12">
        <f>SUMIFS(Clean_Data!$T$2:$T$301,Clean_Data!$B$2:$B$301,"&gt;="&amp;A44,Clean_Data!$B$2:$B$301,"&lt;"&amp;EDATE(A44,1),Clean_Data!$H$2:$H$301,B44,Clean_Data!$V$2:$V$301,"VALID",Clean_Data!$P$2:$P$301,"Completed")</f>
        <v>3137</v>
      </c>
      <c r="I44" s="12">
        <f t="shared" si="6"/>
        <v>-391</v>
      </c>
      <c r="J44" s="11">
        <f t="shared" si="7"/>
        <v>0.88917233560090703</v>
      </c>
    </row>
    <row r="45" spans="1:10">
      <c r="A45" s="9">
        <v>45901</v>
      </c>
      <c r="B45" t="s">
        <v>12</v>
      </c>
      <c r="C45" s="12">
        <v>12550</v>
      </c>
      <c r="D45" s="12">
        <f>SUMIFS(Clean_Data!$R$2:$R$301,Clean_Data!$B$2:$B$301,"&gt;="&amp;A45,Clean_Data!$B$2:$B$301,"&lt;"&amp;EDATE(A45,1),Clean_Data!$H$2:$H$301,B45,Clean_Data!$V$2:$V$301,"VALID",Clean_Data!$P$2:$P$301,"Completed")</f>
        <v>6758.25</v>
      </c>
      <c r="E45" s="12">
        <f t="shared" si="4"/>
        <v>-5791.75</v>
      </c>
      <c r="F45" s="11">
        <f t="shared" si="5"/>
        <v>0.53850597609561757</v>
      </c>
      <c r="G45" s="12">
        <v>2761</v>
      </c>
      <c r="H45" s="12">
        <f>SUMIFS(Clean_Data!$T$2:$T$301,Clean_Data!$B$2:$B$301,"&gt;="&amp;A45,Clean_Data!$B$2:$B$301,"&lt;"&amp;EDATE(A45,1),Clean_Data!$H$2:$H$301,B45,Clean_Data!$V$2:$V$301,"VALID",Clean_Data!$P$2:$P$301,"Completed")</f>
        <v>1643.25</v>
      </c>
      <c r="I45" s="12">
        <f t="shared" si="6"/>
        <v>-1117.75</v>
      </c>
      <c r="J45" s="11">
        <f t="shared" si="7"/>
        <v>0.59516479536399858</v>
      </c>
    </row>
    <row r="46" spans="1:10">
      <c r="A46" s="9">
        <v>45901</v>
      </c>
      <c r="B46" t="s">
        <v>13</v>
      </c>
      <c r="C46" s="12">
        <v>13200</v>
      </c>
      <c r="D46" s="12">
        <f>SUMIFS(Clean_Data!$R$2:$R$301,Clean_Data!$B$2:$B$301,"&gt;="&amp;A46,Clean_Data!$B$2:$B$301,"&lt;"&amp;EDATE(A46,1),Clean_Data!$H$2:$H$301,B46,Clean_Data!$V$2:$V$301,"VALID",Clean_Data!$P$2:$P$301,"Completed")</f>
        <v>8206</v>
      </c>
      <c r="E46" s="12">
        <f t="shared" si="4"/>
        <v>-4994</v>
      </c>
      <c r="F46" s="11">
        <f t="shared" si="5"/>
        <v>0.6216666666666667</v>
      </c>
      <c r="G46" s="12">
        <v>2970</v>
      </c>
      <c r="H46" s="12">
        <f>SUMIFS(Clean_Data!$T$2:$T$301,Clean_Data!$B$2:$B$301,"&gt;="&amp;A46,Clean_Data!$B$2:$B$301,"&lt;"&amp;EDATE(A46,1),Clean_Data!$H$2:$H$301,B46,Clean_Data!$V$2:$V$301,"VALID",Clean_Data!$P$2:$P$301,"Completed")</f>
        <v>2538</v>
      </c>
      <c r="I46" s="12">
        <f t="shared" si="6"/>
        <v>-432</v>
      </c>
      <c r="J46" s="11">
        <f t="shared" si="7"/>
        <v>0.8545454545454545</v>
      </c>
    </row>
    <row r="47" spans="1:10">
      <c r="A47" s="9">
        <v>45901</v>
      </c>
      <c r="B47" t="s">
        <v>14</v>
      </c>
      <c r="C47" s="12">
        <v>13850</v>
      </c>
      <c r="D47" s="12">
        <f>SUMIFS(Clean_Data!$R$2:$R$301,Clean_Data!$B$2:$B$301,"&gt;="&amp;A47,Clean_Data!$B$2:$B$301,"&lt;"&amp;EDATE(A47,1),Clean_Data!$H$2:$H$301,B47,Clean_Data!$V$2:$V$301,"VALID",Clean_Data!$P$2:$P$301,"Completed")</f>
        <v>23446</v>
      </c>
      <c r="E47" s="12">
        <f t="shared" si="4"/>
        <v>9596</v>
      </c>
      <c r="F47" s="11">
        <f t="shared" si="5"/>
        <v>1.6928519855595667</v>
      </c>
      <c r="G47" s="12">
        <v>3185.5</v>
      </c>
      <c r="H47" s="12">
        <f>SUMIFS(Clean_Data!$T$2:$T$301,Clean_Data!$B$2:$B$301,"&gt;="&amp;A47,Clean_Data!$B$2:$B$301,"&lt;"&amp;EDATE(A47,1),Clean_Data!$H$2:$H$301,B47,Clean_Data!$V$2:$V$301,"VALID",Clean_Data!$P$2:$P$301,"Completed")</f>
        <v>6288</v>
      </c>
      <c r="I47" s="12">
        <f t="shared" si="6"/>
        <v>3102.5</v>
      </c>
      <c r="J47" s="11">
        <f t="shared" si="7"/>
        <v>1.9739444357243761</v>
      </c>
    </row>
    <row r="48" spans="1:10">
      <c r="A48" s="9">
        <v>45901</v>
      </c>
      <c r="B48" t="s">
        <v>15</v>
      </c>
      <c r="C48" s="12">
        <v>14500</v>
      </c>
      <c r="D48" s="12">
        <f>SUMIFS(Clean_Data!$R$2:$R$301,Clean_Data!$B$2:$B$301,"&gt;="&amp;A48,Clean_Data!$B$2:$B$301,"&lt;"&amp;EDATE(A48,1),Clean_Data!$H$2:$H$301,B48,Clean_Data!$V$2:$V$301,"VALID",Clean_Data!$P$2:$P$301,"Completed")</f>
        <v>25919.5</v>
      </c>
      <c r="E48" s="12">
        <f t="shared" si="4"/>
        <v>11419.5</v>
      </c>
      <c r="F48" s="11">
        <f t="shared" si="5"/>
        <v>1.7875517241379311</v>
      </c>
      <c r="G48" s="12">
        <v>3407.5</v>
      </c>
      <c r="H48" s="12">
        <f>SUMIFS(Clean_Data!$T$2:$T$301,Clean_Data!$B$2:$B$301,"&gt;="&amp;A48,Clean_Data!$B$2:$B$301,"&lt;"&amp;EDATE(A48,1),Clean_Data!$H$2:$H$301,B48,Clean_Data!$V$2:$V$301,"VALID",Clean_Data!$P$2:$P$301,"Completed")</f>
        <v>6670.5</v>
      </c>
      <c r="I48" s="12">
        <f t="shared" si="6"/>
        <v>3263</v>
      </c>
      <c r="J48" s="11">
        <f t="shared" si="7"/>
        <v>1.9575935436537051</v>
      </c>
    </row>
    <row r="49" spans="1:10">
      <c r="A49" s="9">
        <v>45901</v>
      </c>
      <c r="B49" t="s">
        <v>16</v>
      </c>
      <c r="C49" s="12">
        <v>15150</v>
      </c>
      <c r="D49" s="12">
        <f>SUMIFS(Clean_Data!$R$2:$R$301,Clean_Data!$B$2:$B$301,"&gt;="&amp;A49,Clean_Data!$B$2:$B$301,"&lt;"&amp;EDATE(A49,1),Clean_Data!$H$2:$H$301,B49,Clean_Data!$V$2:$V$301,"VALID",Clean_Data!$P$2:$P$301,"Completed")</f>
        <v>8734.5</v>
      </c>
      <c r="E49" s="12">
        <f t="shared" si="4"/>
        <v>-6415.5</v>
      </c>
      <c r="F49" s="11">
        <f t="shared" si="5"/>
        <v>0.57653465346534649</v>
      </c>
      <c r="G49" s="12">
        <v>3636</v>
      </c>
      <c r="H49" s="12">
        <f>SUMIFS(Clean_Data!$T$2:$T$301,Clean_Data!$B$2:$B$301,"&gt;="&amp;A49,Clean_Data!$B$2:$B$301,"&lt;"&amp;EDATE(A49,1),Clean_Data!$H$2:$H$301,B49,Clean_Data!$V$2:$V$301,"VALID",Clean_Data!$P$2:$P$301,"Completed")</f>
        <v>2269.5</v>
      </c>
      <c r="I49" s="12">
        <f t="shared" si="6"/>
        <v>-1366.5</v>
      </c>
      <c r="J49" s="11">
        <f t="shared" si="7"/>
        <v>0.62417491749174914</v>
      </c>
    </row>
    <row r="50" spans="1:10">
      <c r="A50" s="9">
        <v>45931</v>
      </c>
      <c r="B50" t="s">
        <v>12</v>
      </c>
      <c r="C50" s="12">
        <v>13000</v>
      </c>
      <c r="D50" s="12">
        <f>SUMIFS(Clean_Data!$R$2:$R$301,Clean_Data!$B$2:$B$301,"&gt;="&amp;A50,Clean_Data!$B$2:$B$301,"&lt;"&amp;EDATE(A50,1),Clean_Data!$H$2:$H$301,B50,Clean_Data!$V$2:$V$301,"VALID",Clean_Data!$P$2:$P$301,"Completed")</f>
        <v>1956.75</v>
      </c>
      <c r="E50" s="12">
        <f t="shared" si="4"/>
        <v>-11043.25</v>
      </c>
      <c r="F50" s="11">
        <f t="shared" si="5"/>
        <v>0.15051923076923077</v>
      </c>
      <c r="G50" s="12">
        <v>2860</v>
      </c>
      <c r="H50" s="12">
        <f>SUMIFS(Clean_Data!$T$2:$T$301,Clean_Data!$B$2:$B$301,"&gt;="&amp;A50,Clean_Data!$B$2:$B$301,"&lt;"&amp;EDATE(A50,1),Clean_Data!$H$2:$H$301,B50,Clean_Data!$V$2:$V$301,"VALID",Clean_Data!$P$2:$P$301,"Completed")</f>
        <v>611.75</v>
      </c>
      <c r="I50" s="12">
        <f t="shared" si="6"/>
        <v>-2248.25</v>
      </c>
      <c r="J50" s="11">
        <f t="shared" si="7"/>
        <v>0.2138986013986014</v>
      </c>
    </row>
    <row r="51" spans="1:10">
      <c r="A51" s="9">
        <v>45931</v>
      </c>
      <c r="B51" t="s">
        <v>13</v>
      </c>
      <c r="C51" s="12">
        <v>13650</v>
      </c>
      <c r="D51" s="12">
        <f>SUMIFS(Clean_Data!$R$2:$R$301,Clean_Data!$B$2:$B$301,"&gt;="&amp;A51,Clean_Data!$B$2:$B$301,"&lt;"&amp;EDATE(A51,1),Clean_Data!$H$2:$H$301,B51,Clean_Data!$V$2:$V$301,"VALID",Clean_Data!$P$2:$P$301,"Completed")</f>
        <v>11477</v>
      </c>
      <c r="E51" s="12">
        <f t="shared" si="4"/>
        <v>-2173</v>
      </c>
      <c r="F51" s="11">
        <f t="shared" si="5"/>
        <v>0.84080586080586084</v>
      </c>
      <c r="G51" s="12">
        <v>3071.25</v>
      </c>
      <c r="H51" s="12">
        <f>SUMIFS(Clean_Data!$T$2:$T$301,Clean_Data!$B$2:$B$301,"&gt;="&amp;A51,Clean_Data!$B$2:$B$301,"&lt;"&amp;EDATE(A51,1),Clean_Data!$H$2:$H$301,B51,Clean_Data!$V$2:$V$301,"VALID",Clean_Data!$P$2:$P$301,"Completed")</f>
        <v>1635</v>
      </c>
      <c r="I51" s="12">
        <f t="shared" si="6"/>
        <v>-1436.25</v>
      </c>
      <c r="J51" s="11">
        <f t="shared" si="7"/>
        <v>0.53235653235653235</v>
      </c>
    </row>
    <row r="52" spans="1:10">
      <c r="A52" s="9">
        <v>45931</v>
      </c>
      <c r="B52" t="s">
        <v>14</v>
      </c>
      <c r="C52" s="12">
        <v>14300</v>
      </c>
      <c r="D52" s="12">
        <f>SUMIFS(Clean_Data!$R$2:$R$301,Clean_Data!$B$2:$B$301,"&gt;="&amp;A52,Clean_Data!$B$2:$B$301,"&lt;"&amp;EDATE(A52,1),Clean_Data!$H$2:$H$301,B52,Clean_Data!$V$2:$V$301,"VALID",Clean_Data!$P$2:$P$301,"Completed")</f>
        <v>26370.5</v>
      </c>
      <c r="E52" s="12">
        <f t="shared" si="4"/>
        <v>12070.5</v>
      </c>
      <c r="F52" s="11">
        <f t="shared" si="5"/>
        <v>1.844090909090909</v>
      </c>
      <c r="G52" s="12">
        <v>3289</v>
      </c>
      <c r="H52" s="12">
        <f>SUMIFS(Clean_Data!$T$2:$T$301,Clean_Data!$B$2:$B$301,"&gt;="&amp;A52,Clean_Data!$B$2:$B$301,"&lt;"&amp;EDATE(A52,1),Clean_Data!$H$2:$H$301,B52,Clean_Data!$V$2:$V$301,"VALID",Clean_Data!$P$2:$P$301,"Completed")</f>
        <v>7275.5</v>
      </c>
      <c r="I52" s="12">
        <f t="shared" si="6"/>
        <v>3986.5</v>
      </c>
      <c r="J52" s="11">
        <f t="shared" si="7"/>
        <v>2.2120705381574948</v>
      </c>
    </row>
    <row r="53" spans="1:10">
      <c r="A53" s="9">
        <v>45931</v>
      </c>
      <c r="B53" t="s">
        <v>15</v>
      </c>
      <c r="C53" s="12">
        <v>14950</v>
      </c>
      <c r="D53" s="12">
        <f>SUMIFS(Clean_Data!$R$2:$R$301,Clean_Data!$B$2:$B$301,"&gt;="&amp;A53,Clean_Data!$B$2:$B$301,"&lt;"&amp;EDATE(A53,1),Clean_Data!$H$2:$H$301,B53,Clean_Data!$V$2:$V$301,"VALID",Clean_Data!$P$2:$P$301,"Completed")</f>
        <v>85</v>
      </c>
      <c r="E53" s="12">
        <f t="shared" si="4"/>
        <v>-14865</v>
      </c>
      <c r="F53" s="11">
        <f t="shared" si="5"/>
        <v>5.6856187290969902E-3</v>
      </c>
      <c r="G53" s="12">
        <v>3513.25</v>
      </c>
      <c r="H53" s="12">
        <f>SUMIFS(Clean_Data!$T$2:$T$301,Clean_Data!$B$2:$B$301,"&gt;="&amp;A53,Clean_Data!$B$2:$B$301,"&lt;"&amp;EDATE(A53,1),Clean_Data!$H$2:$H$301,B53,Clean_Data!$V$2:$V$301,"VALID",Clean_Data!$P$2:$P$301,"Completed")</f>
        <v>41</v>
      </c>
      <c r="I53" s="12">
        <f t="shared" si="6"/>
        <v>-3472.25</v>
      </c>
      <c r="J53" s="11">
        <f t="shared" si="7"/>
        <v>1.1670106027182808E-2</v>
      </c>
    </row>
    <row r="54" spans="1:10">
      <c r="A54" s="9">
        <v>45931</v>
      </c>
      <c r="B54" t="s">
        <v>16</v>
      </c>
      <c r="C54" s="12">
        <v>15600</v>
      </c>
      <c r="D54" s="12">
        <f>SUMIFS(Clean_Data!$R$2:$R$301,Clean_Data!$B$2:$B$301,"&gt;="&amp;A54,Clean_Data!$B$2:$B$301,"&lt;"&amp;EDATE(A54,1),Clean_Data!$H$2:$H$301,B54,Clean_Data!$V$2:$V$301,"VALID",Clean_Data!$P$2:$P$301,"Completed")</f>
        <v>7063</v>
      </c>
      <c r="E54" s="12">
        <f t="shared" si="4"/>
        <v>-8537</v>
      </c>
      <c r="F54" s="11">
        <f t="shared" si="5"/>
        <v>0.45275641025641028</v>
      </c>
      <c r="G54" s="12">
        <v>3744</v>
      </c>
      <c r="H54" s="12">
        <f>SUMIFS(Clean_Data!$T$2:$T$301,Clean_Data!$B$2:$B$301,"&gt;="&amp;A54,Clean_Data!$B$2:$B$301,"&lt;"&amp;EDATE(A54,1),Clean_Data!$H$2:$H$301,B54,Clean_Data!$V$2:$V$301,"VALID",Clean_Data!$P$2:$P$301,"Completed")</f>
        <v>1115</v>
      </c>
      <c r="I54" s="12">
        <f t="shared" si="6"/>
        <v>-2629</v>
      </c>
      <c r="J54" s="11">
        <f t="shared" si="7"/>
        <v>0.29780982905982906</v>
      </c>
    </row>
    <row r="55" spans="1:10">
      <c r="A55" s="9">
        <v>45962</v>
      </c>
      <c r="B55" t="s">
        <v>12</v>
      </c>
      <c r="C55" s="12">
        <v>13450</v>
      </c>
      <c r="D55" s="12">
        <f>SUMIFS(Clean_Data!$R$2:$R$301,Clean_Data!$B$2:$B$301,"&gt;="&amp;A55,Clean_Data!$B$2:$B$301,"&lt;"&amp;EDATE(A55,1),Clean_Data!$H$2:$H$301,B55,Clean_Data!$V$2:$V$301,"VALID",Clean_Data!$P$2:$P$301,"Completed")</f>
        <v>4527</v>
      </c>
      <c r="E55" s="12">
        <f t="shared" si="4"/>
        <v>-8923</v>
      </c>
      <c r="F55" s="11">
        <f t="shared" si="5"/>
        <v>0.33657992565055761</v>
      </c>
      <c r="G55" s="12">
        <v>2959</v>
      </c>
      <c r="H55" s="12">
        <f>SUMIFS(Clean_Data!$T$2:$T$301,Clean_Data!$B$2:$B$301,"&gt;="&amp;A55,Clean_Data!$B$2:$B$301,"&lt;"&amp;EDATE(A55,1),Clean_Data!$H$2:$H$301,B55,Clean_Data!$V$2:$V$301,"VALID",Clean_Data!$P$2:$P$301,"Completed")</f>
        <v>1362</v>
      </c>
      <c r="I55" s="12">
        <f t="shared" si="6"/>
        <v>-1597</v>
      </c>
      <c r="J55" s="11">
        <f t="shared" si="7"/>
        <v>0.46029063872930043</v>
      </c>
    </row>
    <row r="56" spans="1:10">
      <c r="A56" s="9">
        <v>45962</v>
      </c>
      <c r="B56" t="s">
        <v>13</v>
      </c>
      <c r="C56" s="12">
        <v>14100</v>
      </c>
      <c r="D56" s="12">
        <f>SUMIFS(Clean_Data!$R$2:$R$301,Clean_Data!$B$2:$B$301,"&gt;="&amp;A56,Clean_Data!$B$2:$B$301,"&lt;"&amp;EDATE(A56,1),Clean_Data!$H$2:$H$301,B56,Clean_Data!$V$2:$V$301,"VALID",Clean_Data!$P$2:$P$301,"Completed")</f>
        <v>8920</v>
      </c>
      <c r="E56" s="12">
        <f t="shared" si="4"/>
        <v>-5180</v>
      </c>
      <c r="F56" s="11">
        <f t="shared" si="5"/>
        <v>0.63262411347517733</v>
      </c>
      <c r="G56" s="12">
        <v>3172.5</v>
      </c>
      <c r="H56" s="12">
        <f>SUMIFS(Clean_Data!$T$2:$T$301,Clean_Data!$B$2:$B$301,"&gt;="&amp;A56,Clean_Data!$B$2:$B$301,"&lt;"&amp;EDATE(A56,1),Clean_Data!$H$2:$H$301,B56,Clean_Data!$V$2:$V$301,"VALID",Clean_Data!$P$2:$P$301,"Completed")</f>
        <v>1720</v>
      </c>
      <c r="I56" s="12">
        <f t="shared" si="6"/>
        <v>-1452.5</v>
      </c>
      <c r="J56" s="11">
        <f t="shared" si="7"/>
        <v>0.5421591804570528</v>
      </c>
    </row>
    <row r="57" spans="1:10">
      <c r="A57" s="9">
        <v>45962</v>
      </c>
      <c r="B57" t="s">
        <v>14</v>
      </c>
      <c r="C57" s="12">
        <v>14750</v>
      </c>
      <c r="D57" s="12">
        <f>SUMIFS(Clean_Data!$R$2:$R$301,Clean_Data!$B$2:$B$301,"&gt;="&amp;A57,Clean_Data!$B$2:$B$301,"&lt;"&amp;EDATE(A57,1),Clean_Data!$H$2:$H$301,B57,Clean_Data!$V$2:$V$301,"VALID",Clean_Data!$P$2:$P$301,"Completed")</f>
        <v>15660</v>
      </c>
      <c r="E57" s="12">
        <f t="shared" si="4"/>
        <v>910</v>
      </c>
      <c r="F57" s="11">
        <f t="shared" si="5"/>
        <v>1.0616949152542372</v>
      </c>
      <c r="G57" s="12">
        <v>3392.5</v>
      </c>
      <c r="H57" s="12">
        <f>SUMIFS(Clean_Data!$T$2:$T$301,Clean_Data!$B$2:$B$301,"&gt;="&amp;A57,Clean_Data!$B$2:$B$301,"&lt;"&amp;EDATE(A57,1),Clean_Data!$H$2:$H$301,B57,Clean_Data!$V$2:$V$301,"VALID",Clean_Data!$P$2:$P$301,"Completed")</f>
        <v>3300</v>
      </c>
      <c r="I57" s="12">
        <f t="shared" si="6"/>
        <v>-92.5</v>
      </c>
      <c r="J57" s="11">
        <f t="shared" si="7"/>
        <v>0.97273397199705236</v>
      </c>
    </row>
    <row r="58" spans="1:10">
      <c r="A58" s="9">
        <v>45962</v>
      </c>
      <c r="B58" t="s">
        <v>15</v>
      </c>
      <c r="C58" s="12">
        <v>15400</v>
      </c>
      <c r="D58" s="12">
        <f>SUMIFS(Clean_Data!$R$2:$R$301,Clean_Data!$B$2:$B$301,"&gt;="&amp;A58,Clean_Data!$B$2:$B$301,"&lt;"&amp;EDATE(A58,1),Clean_Data!$H$2:$H$301,B58,Clean_Data!$V$2:$V$301,"VALID",Clean_Data!$P$2:$P$301,"Completed")</f>
        <v>31276</v>
      </c>
      <c r="E58" s="12">
        <f t="shared" si="4"/>
        <v>15876</v>
      </c>
      <c r="F58" s="11">
        <f t="shared" si="5"/>
        <v>2.0309090909090908</v>
      </c>
      <c r="G58" s="12">
        <v>3619</v>
      </c>
      <c r="H58" s="12">
        <f>SUMIFS(Clean_Data!$T$2:$T$301,Clean_Data!$B$2:$B$301,"&gt;="&amp;A58,Clean_Data!$B$2:$B$301,"&lt;"&amp;EDATE(A58,1),Clean_Data!$H$2:$H$301,B58,Clean_Data!$V$2:$V$301,"VALID",Clean_Data!$P$2:$P$301,"Completed")</f>
        <v>6192</v>
      </c>
      <c r="I58" s="12">
        <f t="shared" si="6"/>
        <v>2573</v>
      </c>
      <c r="J58" s="11">
        <f t="shared" si="7"/>
        <v>1.710969881182647</v>
      </c>
    </row>
    <row r="59" spans="1:10">
      <c r="A59" s="9">
        <v>45962</v>
      </c>
      <c r="B59" t="s">
        <v>16</v>
      </c>
      <c r="C59" s="12">
        <v>16050</v>
      </c>
      <c r="D59" s="12">
        <f>SUMIFS(Clean_Data!$R$2:$R$301,Clean_Data!$B$2:$B$301,"&gt;="&amp;A59,Clean_Data!$B$2:$B$301,"&lt;"&amp;EDATE(A59,1),Clean_Data!$H$2:$H$301,B59,Clean_Data!$V$2:$V$301,"VALID",Clean_Data!$P$2:$P$301,"Completed")</f>
        <v>30454.75</v>
      </c>
      <c r="E59" s="12">
        <f t="shared" si="4"/>
        <v>14404.75</v>
      </c>
      <c r="F59" s="11">
        <f t="shared" si="5"/>
        <v>1.8974922118380062</v>
      </c>
      <c r="G59" s="12">
        <v>3852</v>
      </c>
      <c r="H59" s="12">
        <f>SUMIFS(Clean_Data!$T$2:$T$301,Clean_Data!$B$2:$B$301,"&gt;="&amp;A59,Clean_Data!$B$2:$B$301,"&lt;"&amp;EDATE(A59,1),Clean_Data!$H$2:$H$301,B59,Clean_Data!$V$2:$V$301,"VALID",Clean_Data!$P$2:$P$301,"Completed")</f>
        <v>7964.75</v>
      </c>
      <c r="I59" s="12">
        <f t="shared" si="6"/>
        <v>4112.75</v>
      </c>
      <c r="J59" s="11">
        <f t="shared" si="7"/>
        <v>2.0676921079958461</v>
      </c>
    </row>
    <row r="60" spans="1:10">
      <c r="A60" s="9">
        <v>45992</v>
      </c>
      <c r="B60" t="s">
        <v>12</v>
      </c>
      <c r="C60" s="12">
        <v>13900</v>
      </c>
      <c r="D60" s="12">
        <f>SUMIFS(Clean_Data!$R$2:$R$301,Clean_Data!$B$2:$B$301,"&gt;="&amp;A60,Clean_Data!$B$2:$B$301,"&lt;"&amp;EDATE(A60,1),Clean_Data!$H$2:$H$301,B60,Clean_Data!$V$2:$V$301,"VALID",Clean_Data!$P$2:$P$301,"Completed")</f>
        <v>10416.25</v>
      </c>
      <c r="E60" s="12">
        <f t="shared" si="4"/>
        <v>-3483.75</v>
      </c>
      <c r="F60" s="11">
        <f t="shared" si="5"/>
        <v>0.74937050359712232</v>
      </c>
      <c r="G60" s="12">
        <v>3058</v>
      </c>
      <c r="H60" s="12">
        <f>SUMIFS(Clean_Data!$T$2:$T$301,Clean_Data!$B$2:$B$301,"&gt;="&amp;A60,Clean_Data!$B$2:$B$301,"&lt;"&amp;EDATE(A60,1),Clean_Data!$H$2:$H$301,B60,Clean_Data!$V$2:$V$301,"VALID",Clean_Data!$P$2:$P$301,"Completed")</f>
        <v>1506.25</v>
      </c>
      <c r="I60" s="12">
        <f t="shared" si="6"/>
        <v>-1551.75</v>
      </c>
      <c r="J60" s="11">
        <f t="shared" si="7"/>
        <v>0.49256049705689992</v>
      </c>
    </row>
    <row r="61" spans="1:10">
      <c r="A61" s="9">
        <v>45992</v>
      </c>
      <c r="B61" t="s">
        <v>13</v>
      </c>
      <c r="C61" s="12">
        <v>14550</v>
      </c>
      <c r="D61" s="12">
        <f>SUMIFS(Clean_Data!$R$2:$R$301,Clean_Data!$B$2:$B$301,"&gt;="&amp;A61,Clean_Data!$B$2:$B$301,"&lt;"&amp;EDATE(A61,1),Clean_Data!$H$2:$H$301,B61,Clean_Data!$V$2:$V$301,"VALID",Clean_Data!$P$2:$P$301,"Completed")</f>
        <v>9907</v>
      </c>
      <c r="E61" s="12">
        <f t="shared" si="4"/>
        <v>-4643</v>
      </c>
      <c r="F61" s="11">
        <f t="shared" si="5"/>
        <v>0.68089347079037799</v>
      </c>
      <c r="G61" s="12">
        <v>3273.75</v>
      </c>
      <c r="H61" s="12">
        <f>SUMIFS(Clean_Data!$T$2:$T$301,Clean_Data!$B$2:$B$301,"&gt;="&amp;A61,Clean_Data!$B$2:$B$301,"&lt;"&amp;EDATE(A61,1),Clean_Data!$H$2:$H$301,B61,Clean_Data!$V$2:$V$301,"VALID",Clean_Data!$P$2:$P$301,"Completed")</f>
        <v>3003</v>
      </c>
      <c r="I61" s="12">
        <f t="shared" si="6"/>
        <v>-270.75</v>
      </c>
      <c r="J61" s="11">
        <f t="shared" si="7"/>
        <v>0.91729667812142035</v>
      </c>
    </row>
    <row r="62" spans="1:10">
      <c r="A62" s="9">
        <v>45992</v>
      </c>
      <c r="B62" t="s">
        <v>14</v>
      </c>
      <c r="C62" s="12">
        <v>15200</v>
      </c>
      <c r="D62" s="12">
        <f>SUMIFS(Clean_Data!$R$2:$R$301,Clean_Data!$B$2:$B$301,"&gt;="&amp;A62,Clean_Data!$B$2:$B$301,"&lt;"&amp;EDATE(A62,1),Clean_Data!$H$2:$H$301,B62,Clean_Data!$V$2:$V$301,"VALID",Clean_Data!$P$2:$P$301,"Completed")</f>
        <v>19287</v>
      </c>
      <c r="E62" s="12">
        <f t="shared" si="4"/>
        <v>4087</v>
      </c>
      <c r="F62" s="11">
        <f t="shared" si="5"/>
        <v>1.2688815789473684</v>
      </c>
      <c r="G62" s="12">
        <v>3496</v>
      </c>
      <c r="H62" s="12">
        <f>SUMIFS(Clean_Data!$T$2:$T$301,Clean_Data!$B$2:$B$301,"&gt;="&amp;A62,Clean_Data!$B$2:$B$301,"&lt;"&amp;EDATE(A62,1),Clean_Data!$H$2:$H$301,B62,Clean_Data!$V$2:$V$301,"VALID",Clean_Data!$P$2:$P$301,"Completed")</f>
        <v>3537</v>
      </c>
      <c r="I62" s="12">
        <f t="shared" si="6"/>
        <v>41</v>
      </c>
      <c r="J62" s="11">
        <f t="shared" si="7"/>
        <v>1.0117276887871853</v>
      </c>
    </row>
    <row r="63" spans="1:10">
      <c r="A63" s="9">
        <v>45992</v>
      </c>
      <c r="B63" t="s">
        <v>15</v>
      </c>
      <c r="C63" s="12">
        <v>15850</v>
      </c>
      <c r="D63" s="12">
        <f>SUMIFS(Clean_Data!$R$2:$R$301,Clean_Data!$B$2:$B$301,"&gt;="&amp;A63,Clean_Data!$B$2:$B$301,"&lt;"&amp;EDATE(A63,1),Clean_Data!$H$2:$H$301,B63,Clean_Data!$V$2:$V$301,"VALID",Clean_Data!$P$2:$P$301,"Completed")</f>
        <v>12884.75</v>
      </c>
      <c r="E63" s="12">
        <f t="shared" si="4"/>
        <v>-2965.25</v>
      </c>
      <c r="F63" s="11">
        <f t="shared" si="5"/>
        <v>0.8129179810725552</v>
      </c>
      <c r="G63" s="12">
        <v>3724.75</v>
      </c>
      <c r="H63" s="12">
        <f>SUMIFS(Clean_Data!$T$2:$T$301,Clean_Data!$B$2:$B$301,"&gt;="&amp;A63,Clean_Data!$B$2:$B$301,"&lt;"&amp;EDATE(A63,1),Clean_Data!$H$2:$H$301,B63,Clean_Data!$V$2:$V$301,"VALID",Clean_Data!$P$2:$P$301,"Completed")</f>
        <v>3392.75</v>
      </c>
      <c r="I63" s="12">
        <f t="shared" si="6"/>
        <v>-332</v>
      </c>
      <c r="J63" s="11">
        <f t="shared" si="7"/>
        <v>0.91086650110745693</v>
      </c>
    </row>
    <row r="64" spans="1:10">
      <c r="A64" s="9">
        <v>45992</v>
      </c>
      <c r="B64" t="s">
        <v>16</v>
      </c>
      <c r="C64" s="12">
        <v>16500</v>
      </c>
      <c r="D64" s="12">
        <f>SUMIFS(Clean_Data!$R$2:$R$301,Clean_Data!$B$2:$B$301,"&gt;="&amp;A64,Clean_Data!$B$2:$B$301,"&lt;"&amp;EDATE(A64,1),Clean_Data!$H$2:$H$301,B64,Clean_Data!$V$2:$V$301,"VALID",Clean_Data!$P$2:$P$301,"Completed")</f>
        <v>11159.5</v>
      </c>
      <c r="E64" s="12">
        <f t="shared" si="4"/>
        <v>-5340.5</v>
      </c>
      <c r="F64" s="11">
        <f t="shared" si="5"/>
        <v>0.67633333333333334</v>
      </c>
      <c r="G64" s="12">
        <v>3960</v>
      </c>
      <c r="H64" s="12">
        <f>SUMIFS(Clean_Data!$T$2:$T$301,Clean_Data!$B$2:$B$301,"&gt;="&amp;A64,Clean_Data!$B$2:$B$301,"&lt;"&amp;EDATE(A64,1),Clean_Data!$H$2:$H$301,B64,Clean_Data!$V$2:$V$301,"VALID",Clean_Data!$P$2:$P$301,"Completed")</f>
        <v>3677.5</v>
      </c>
      <c r="I64" s="12">
        <f t="shared" si="6"/>
        <v>-282.5</v>
      </c>
      <c r="J64" s="11">
        <f t="shared" si="7"/>
        <v>0.92866161616161613</v>
      </c>
    </row>
  </sheetData>
  <mergeCells count="1">
    <mergeCell ref="A1:J2"/>
  </mergeCells>
  <conditionalFormatting sqref="F5:F6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5:J6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5:Q9">
    <cfRule type="expression" dxfId="15" priority="3">
      <formula>Q5="Target Met"</formula>
    </cfRule>
    <cfRule type="expression" dxfId="14" priority="4">
      <formula>Q5="Below Target"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A4" sqref="A4:E17"/>
    </sheetView>
  </sheetViews>
  <sheetFormatPr defaultRowHeight="14.25"/>
  <cols>
    <col min="1" max="1" width="28.75" style="4" customWidth="1"/>
    <col min="2" max="2" width="22.25" style="4" customWidth="1"/>
    <col min="3" max="3" width="18.75" style="4" customWidth="1"/>
    <col min="4" max="4" width="13.25" style="4" customWidth="1"/>
    <col min="5" max="5" width="38" style="4" customWidth="1"/>
  </cols>
  <sheetData>
    <row r="1" spans="1:5">
      <c r="A1" s="37" t="s">
        <v>53</v>
      </c>
      <c r="B1" s="35"/>
      <c r="C1" s="35"/>
      <c r="D1" s="35"/>
      <c r="E1" s="35"/>
    </row>
    <row r="2" spans="1:5">
      <c r="A2" s="35"/>
      <c r="B2" s="35"/>
      <c r="C2" s="35"/>
      <c r="D2" s="35"/>
      <c r="E2" s="35"/>
    </row>
    <row r="4" spans="1:5" ht="15">
      <c r="A4" s="7" t="s">
        <v>54</v>
      </c>
      <c r="B4" s="7" t="s">
        <v>55</v>
      </c>
      <c r="C4" s="7" t="s">
        <v>52</v>
      </c>
      <c r="D4" s="7" t="s">
        <v>56</v>
      </c>
      <c r="E4" s="7" t="s">
        <v>57</v>
      </c>
    </row>
    <row r="5" spans="1:5" ht="15">
      <c r="A5" s="17" t="s">
        <v>58</v>
      </c>
      <c r="B5" s="20">
        <f>COUNTBLANK(Clean_Data!A2:A301)</f>
        <v>0</v>
      </c>
      <c r="C5" s="20" t="str">
        <f t="shared" ref="C5:C14" si="0">IF(B5=0,"PASS","CHECK")</f>
        <v>PASS</v>
      </c>
      <c r="D5" s="20" t="s">
        <v>59</v>
      </c>
      <c r="E5" s="20" t="s">
        <v>60</v>
      </c>
    </row>
    <row r="6" spans="1:5" ht="29.25">
      <c r="A6" s="17" t="s">
        <v>61</v>
      </c>
      <c r="B6" s="20">
        <f>SUMPRODUCT(--(Clean_Data!A2:A301&lt;&gt;""),--(COUNTIF(Clean_Data!A2:A301,Clean_Data!A2:A301)&gt;1))</f>
        <v>2</v>
      </c>
      <c r="C6" s="20" t="str">
        <f t="shared" si="0"/>
        <v>CHECK</v>
      </c>
      <c r="D6" s="20" t="s">
        <v>59</v>
      </c>
      <c r="E6" s="20" t="s">
        <v>62</v>
      </c>
    </row>
    <row r="7" spans="1:5" ht="15">
      <c r="A7" s="17" t="s">
        <v>63</v>
      </c>
      <c r="B7" s="20">
        <f>COUNTBLANK(Clean_Data!C2:C301)</f>
        <v>0</v>
      </c>
      <c r="C7" s="20" t="str">
        <f t="shared" si="0"/>
        <v>PASS</v>
      </c>
      <c r="D7" s="20" t="s">
        <v>64</v>
      </c>
      <c r="E7" s="20" t="s">
        <v>65</v>
      </c>
    </row>
    <row r="8" spans="1:5" ht="15">
      <c r="A8" s="17" t="s">
        <v>66</v>
      </c>
      <c r="B8" s="20">
        <f>COUNTIF(Clean_Data!AG2:AG301,"Invalid Email")</f>
        <v>2</v>
      </c>
      <c r="C8" s="20" t="str">
        <f t="shared" si="0"/>
        <v>CHECK</v>
      </c>
      <c r="D8" s="20" t="s">
        <v>67</v>
      </c>
      <c r="E8" s="20" t="s">
        <v>68</v>
      </c>
    </row>
    <row r="9" spans="1:5" ht="15">
      <c r="A9" s="17" t="s">
        <v>69</v>
      </c>
      <c r="B9" s="20">
        <f>COUNTIF(Clean_Data!AD2:AD301,"Product Not Found")</f>
        <v>1</v>
      </c>
      <c r="C9" s="20" t="str">
        <f t="shared" si="0"/>
        <v>CHECK</v>
      </c>
      <c r="D9" s="20" t="s">
        <v>59</v>
      </c>
      <c r="E9" s="20" t="s">
        <v>70</v>
      </c>
    </row>
    <row r="10" spans="1:5" ht="15">
      <c r="A10" s="17" t="s">
        <v>71</v>
      </c>
      <c r="B10" s="20">
        <f>COUNTIF(Clean_Data!AF2:AF301,"Price Mismatch")</f>
        <v>1</v>
      </c>
      <c r="C10" s="20" t="str">
        <f t="shared" si="0"/>
        <v>CHECK</v>
      </c>
      <c r="D10" s="20" t="s">
        <v>64</v>
      </c>
      <c r="E10" s="20" t="s">
        <v>72</v>
      </c>
    </row>
    <row r="11" spans="1:5" ht="15">
      <c r="A11" s="17" t="s">
        <v>73</v>
      </c>
      <c r="B11" s="20">
        <f>COUNTIF(Clean_Data!K2:K301,"&lt;"&amp;Settings!$B$12)</f>
        <v>1</v>
      </c>
      <c r="C11" s="20" t="str">
        <f t="shared" si="0"/>
        <v>CHECK</v>
      </c>
      <c r="D11" s="20" t="s">
        <v>59</v>
      </c>
      <c r="E11" s="20" t="s">
        <v>74</v>
      </c>
    </row>
    <row r="12" spans="1:5" ht="15">
      <c r="A12" s="17" t="s">
        <v>75</v>
      </c>
      <c r="B12" s="20">
        <f>COUNTIF(Clean_Data!N2:N301,"&gt;"&amp;Settings!$B$8)</f>
        <v>1</v>
      </c>
      <c r="C12" s="20" t="str">
        <f t="shared" si="0"/>
        <v>CHECK</v>
      </c>
      <c r="D12" s="20" t="s">
        <v>67</v>
      </c>
      <c r="E12" s="20" t="s">
        <v>76</v>
      </c>
    </row>
    <row r="13" spans="1:5" ht="15">
      <c r="A13" s="17" t="s">
        <v>77</v>
      </c>
      <c r="B13" s="20">
        <f>COUNTIF(Clean_Data!AC2:AC301,"Loss")</f>
        <v>2</v>
      </c>
      <c r="C13" s="20" t="str">
        <f t="shared" si="0"/>
        <v>CHECK</v>
      </c>
      <c r="D13" s="20" t="s">
        <v>64</v>
      </c>
      <c r="E13" s="20" t="s">
        <v>78</v>
      </c>
    </row>
    <row r="14" spans="1:5" ht="15">
      <c r="A14" s="17" t="s">
        <v>79</v>
      </c>
      <c r="B14" s="20">
        <f>COUNTIF(Clean_Data!AH2:AH301,"REVIEW REQUIRED")</f>
        <v>9</v>
      </c>
      <c r="C14" s="20" t="str">
        <f t="shared" si="0"/>
        <v>CHECK</v>
      </c>
      <c r="D14" s="20" t="s">
        <v>64</v>
      </c>
      <c r="E14" s="20" t="s">
        <v>80</v>
      </c>
    </row>
    <row r="15" spans="1:5" ht="15">
      <c r="A15" s="18" t="s">
        <v>824</v>
      </c>
      <c r="B15" s="21">
        <f>COUNTBLANK(Clean_Data!B2:B301)</f>
        <v>0</v>
      </c>
      <c r="C15" s="21" t="str">
        <f>IF(B15=0,"PASS","CHECK")</f>
        <v>PASS</v>
      </c>
      <c r="D15" s="21" t="s">
        <v>59</v>
      </c>
      <c r="E15" s="21" t="s">
        <v>825</v>
      </c>
    </row>
    <row r="16" spans="1:5" ht="15">
      <c r="A16" s="18" t="s">
        <v>826</v>
      </c>
      <c r="B16" s="21">
        <f>COUNTIF(Clean_Data!L2:L301,"&lt;=0")</f>
        <v>1</v>
      </c>
      <c r="C16" s="21" t="str">
        <f>IF(B16=0,"PASS","CHECK")</f>
        <v>CHECK</v>
      </c>
      <c r="D16" s="21" t="s">
        <v>59</v>
      </c>
      <c r="E16" s="21" t="s">
        <v>827</v>
      </c>
    </row>
    <row r="17" spans="1:5" ht="15">
      <c r="A17" s="19" t="s">
        <v>828</v>
      </c>
      <c r="B17" s="21">
        <f>COUNTIF(Clean_Data!Q2:R301,"&lt;0")</f>
        <v>3</v>
      </c>
      <c r="C17" s="21" t="str">
        <f>IF(B17=0,"PASS","CHECK")</f>
        <v>CHECK</v>
      </c>
      <c r="D17" s="21" t="s">
        <v>59</v>
      </c>
      <c r="E17" s="21" t="s">
        <v>829</v>
      </c>
    </row>
    <row r="18" spans="1:5">
      <c r="A18"/>
    </row>
    <row r="19" spans="1:5">
      <c r="A19"/>
    </row>
    <row r="20" spans="1:5" ht="15">
      <c r="A20" s="18" t="s">
        <v>830</v>
      </c>
      <c r="B20" s="21"/>
      <c r="C20"/>
      <c r="D20"/>
      <c r="E20"/>
    </row>
    <row r="21" spans="1:5">
      <c r="A21" s="22" t="s">
        <v>831</v>
      </c>
      <c r="B21" s="22">
        <f>COUNTA(Clean_Data!A2:A301)</f>
        <v>300</v>
      </c>
      <c r="C21"/>
      <c r="D21"/>
      <c r="E21"/>
    </row>
    <row r="22" spans="1:5">
      <c r="A22" s="22" t="s">
        <v>832</v>
      </c>
      <c r="B22" s="22">
        <f>COUNTIF(C5:C17,"PASS")</f>
        <v>3</v>
      </c>
      <c r="C22"/>
      <c r="D22"/>
      <c r="E22"/>
    </row>
    <row r="23" spans="1:5">
      <c r="A23" s="22" t="s">
        <v>833</v>
      </c>
      <c r="B23" s="22">
        <f>COUNTIF(C5:C17,"CHECK")</f>
        <v>10</v>
      </c>
      <c r="C23"/>
      <c r="D23"/>
      <c r="E23"/>
    </row>
    <row r="24" spans="1:5">
      <c r="A24" s="22" t="s">
        <v>834</v>
      </c>
      <c r="B24" s="23">
        <f>IF(COUNTA(A5:A17)=0,0,B22/COUNTA(A5:A17))</f>
        <v>0.23076923076923078</v>
      </c>
      <c r="C24"/>
      <c r="D24"/>
      <c r="E24"/>
    </row>
    <row r="25" spans="1:5">
      <c r="A25" s="22" t="s">
        <v>835</v>
      </c>
      <c r="B25" s="22" t="str">
        <f>IF(B23=0,"PASS","CHECK")</f>
        <v>CHECK</v>
      </c>
      <c r="C25"/>
      <c r="D25"/>
      <c r="E25"/>
    </row>
    <row r="26" spans="1:5">
      <c r="A26" s="22" t="s">
        <v>836</v>
      </c>
      <c r="B26" s="24">
        <f ca="1">TODAY()</f>
        <v>46214</v>
      </c>
      <c r="C26"/>
      <c r="D26"/>
      <c r="E26"/>
    </row>
  </sheetData>
  <mergeCells count="1">
    <mergeCell ref="A1:E2"/>
  </mergeCells>
  <conditionalFormatting sqref="C5:C17">
    <cfRule type="expression" dxfId="13" priority="1">
      <formula>C5="PASS"</formula>
    </cfRule>
    <cfRule type="expression" dxfId="12" priority="2">
      <formula>C5="CHECK"</formula>
    </cfRule>
  </conditionalFormatting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12" sqref="E12"/>
    </sheetView>
  </sheetViews>
  <sheetFormatPr defaultRowHeight="14.25"/>
  <cols>
    <col min="1" max="1" width="34.125" style="4" customWidth="1"/>
    <col min="2" max="2" width="10" style="4" customWidth="1"/>
    <col min="3" max="3" width="13.5" style="4" customWidth="1"/>
    <col min="4" max="4" width="13.25" style="4" customWidth="1"/>
    <col min="5" max="5" width="31" style="4" customWidth="1"/>
    <col min="6" max="6" width="9.25" style="4" customWidth="1"/>
    <col min="7" max="7" width="38" style="4" customWidth="1"/>
    <col min="8" max="8" width="7.75" style="4" customWidth="1"/>
  </cols>
  <sheetData>
    <row r="1" spans="1:8">
      <c r="A1" s="40" t="s">
        <v>81</v>
      </c>
      <c r="B1" s="35"/>
      <c r="C1" s="35"/>
      <c r="D1" s="35"/>
      <c r="E1" s="35"/>
      <c r="F1" s="35"/>
      <c r="G1" s="35"/>
      <c r="H1" s="35"/>
    </row>
    <row r="2" spans="1:8">
      <c r="A2" s="35"/>
      <c r="B2" s="35"/>
      <c r="C2" s="35"/>
      <c r="D2" s="35"/>
      <c r="E2" s="35"/>
      <c r="F2" s="35"/>
      <c r="G2" s="35"/>
      <c r="H2" s="35"/>
    </row>
    <row r="4" spans="1:8" ht="15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56</v>
      </c>
      <c r="G4" s="5" t="s">
        <v>87</v>
      </c>
      <c r="H4" s="5" t="s">
        <v>52</v>
      </c>
    </row>
    <row r="5" spans="1:8">
      <c r="A5">
        <v>11</v>
      </c>
      <c r="B5" t="s">
        <v>88</v>
      </c>
      <c r="C5" t="s">
        <v>89</v>
      </c>
      <c r="D5" t="s">
        <v>90</v>
      </c>
      <c r="E5" t="s">
        <v>91</v>
      </c>
      <c r="F5" t="s">
        <v>67</v>
      </c>
      <c r="G5" t="s">
        <v>92</v>
      </c>
      <c r="H5" t="s">
        <v>93</v>
      </c>
    </row>
    <row r="6" spans="1:8">
      <c r="A6">
        <v>26</v>
      </c>
      <c r="B6" t="s">
        <v>94</v>
      </c>
      <c r="C6" t="s">
        <v>95</v>
      </c>
      <c r="D6" t="s">
        <v>96</v>
      </c>
      <c r="E6" t="s">
        <v>97</v>
      </c>
      <c r="F6" t="s">
        <v>59</v>
      </c>
      <c r="G6" t="s">
        <v>98</v>
      </c>
      <c r="H6" t="s">
        <v>93</v>
      </c>
    </row>
    <row r="7" spans="1:8">
      <c r="A7">
        <v>50</v>
      </c>
      <c r="B7" t="s">
        <v>99</v>
      </c>
      <c r="C7" t="s">
        <v>100</v>
      </c>
      <c r="D7" t="s">
        <v>101</v>
      </c>
      <c r="E7" t="s">
        <v>102</v>
      </c>
      <c r="F7" t="s">
        <v>59</v>
      </c>
      <c r="G7" t="s">
        <v>103</v>
      </c>
      <c r="H7" t="s">
        <v>93</v>
      </c>
    </row>
    <row r="8" spans="1:8">
      <c r="A8">
        <v>74</v>
      </c>
      <c r="B8" t="s">
        <v>104</v>
      </c>
      <c r="C8" t="s">
        <v>10</v>
      </c>
      <c r="E8" t="s">
        <v>105</v>
      </c>
      <c r="F8" t="s">
        <v>64</v>
      </c>
      <c r="G8" t="s">
        <v>106</v>
      </c>
      <c r="H8" t="s">
        <v>93</v>
      </c>
    </row>
    <row r="9" spans="1:8">
      <c r="A9">
        <v>97</v>
      </c>
      <c r="B9" t="s">
        <v>107</v>
      </c>
      <c r="C9" t="s">
        <v>108</v>
      </c>
      <c r="D9" t="s">
        <v>109</v>
      </c>
      <c r="E9" t="s">
        <v>110</v>
      </c>
      <c r="F9" t="s">
        <v>64</v>
      </c>
      <c r="G9" t="s">
        <v>111</v>
      </c>
      <c r="H9" t="s">
        <v>93</v>
      </c>
    </row>
    <row r="10" spans="1:8">
      <c r="A10">
        <v>121</v>
      </c>
      <c r="B10" t="s">
        <v>112</v>
      </c>
      <c r="C10" t="s">
        <v>113</v>
      </c>
      <c r="D10" t="s">
        <v>114</v>
      </c>
      <c r="E10" t="s">
        <v>115</v>
      </c>
      <c r="F10" t="s">
        <v>59</v>
      </c>
      <c r="G10" t="s">
        <v>116</v>
      </c>
      <c r="H10" t="s">
        <v>93</v>
      </c>
    </row>
    <row r="11" spans="1:8">
      <c r="A11">
        <v>145</v>
      </c>
      <c r="B11" t="s">
        <v>117</v>
      </c>
      <c r="C11" t="s">
        <v>118</v>
      </c>
      <c r="E11" t="s">
        <v>119</v>
      </c>
      <c r="F11" t="s">
        <v>64</v>
      </c>
      <c r="G11" t="s">
        <v>120</v>
      </c>
      <c r="H11" t="s">
        <v>93</v>
      </c>
    </row>
    <row r="12" spans="1:8">
      <c r="A12">
        <v>169</v>
      </c>
      <c r="B12" t="s">
        <v>121</v>
      </c>
      <c r="C12" t="s">
        <v>122</v>
      </c>
      <c r="D12" t="s">
        <v>123</v>
      </c>
      <c r="E12" t="s">
        <v>124</v>
      </c>
      <c r="F12" t="s">
        <v>64</v>
      </c>
      <c r="G12" t="s">
        <v>125</v>
      </c>
      <c r="H12" t="s">
        <v>93</v>
      </c>
    </row>
    <row r="13" spans="1:8">
      <c r="A13">
        <v>203</v>
      </c>
      <c r="B13" t="s">
        <v>126</v>
      </c>
      <c r="C13" t="s">
        <v>83</v>
      </c>
      <c r="D13" t="s">
        <v>126</v>
      </c>
      <c r="E13" t="s">
        <v>127</v>
      </c>
      <c r="F13" t="s">
        <v>59</v>
      </c>
      <c r="G13" t="s">
        <v>128</v>
      </c>
      <c r="H13" t="s">
        <v>93</v>
      </c>
    </row>
    <row r="14" spans="1:8">
      <c r="A14">
        <v>227</v>
      </c>
      <c r="B14" t="s">
        <v>129</v>
      </c>
      <c r="C14" t="s">
        <v>130</v>
      </c>
      <c r="E14" t="s">
        <v>131</v>
      </c>
      <c r="F14" t="s">
        <v>64</v>
      </c>
      <c r="G14" t="s">
        <v>132</v>
      </c>
      <c r="H14" t="s">
        <v>93</v>
      </c>
    </row>
    <row r="15" spans="1:8">
      <c r="A15">
        <v>262</v>
      </c>
      <c r="C15" t="s">
        <v>83</v>
      </c>
      <c r="E15" t="s">
        <v>133</v>
      </c>
      <c r="F15" t="s">
        <v>59</v>
      </c>
      <c r="G15" t="s">
        <v>134</v>
      </c>
      <c r="H15" t="s">
        <v>93</v>
      </c>
    </row>
    <row r="16" spans="1:8">
      <c r="A16">
        <v>282</v>
      </c>
      <c r="B16" t="s">
        <v>135</v>
      </c>
      <c r="C16" t="s">
        <v>89</v>
      </c>
      <c r="D16" t="s">
        <v>136</v>
      </c>
      <c r="E16" t="s">
        <v>91</v>
      </c>
      <c r="F16" t="s">
        <v>67</v>
      </c>
      <c r="G16" t="s">
        <v>92</v>
      </c>
      <c r="H16" t="s">
        <v>93</v>
      </c>
    </row>
  </sheetData>
  <mergeCells count="1">
    <mergeCell ref="A1:H2"/>
  </mergeCells>
  <conditionalFormatting sqref="F5:F200">
    <cfRule type="expression" dxfId="11" priority="1">
      <formula>F5="Critical"</formula>
    </cfRule>
  </conditionalFormatting>
  <conditionalFormatting sqref="H5:H200">
    <cfRule type="expression" dxfId="10" priority="2">
      <formula>H5="Resolved"</formula>
    </cfRule>
  </conditionalFormatting>
  <dataValidations count="1">
    <dataValidation type="list" sqref="H5:H200">
      <formula1>"Open,Under Review,Resolved"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1"/>
  <sheetViews>
    <sheetView topLeftCell="H1" workbookViewId="0">
      <selection sqref="A1:W301"/>
    </sheetView>
  </sheetViews>
  <sheetFormatPr defaultRowHeight="14.25"/>
  <cols>
    <col min="1" max="1" width="10" style="4" customWidth="1"/>
    <col min="2" max="2" width="12" style="4" customWidth="1"/>
    <col min="3" max="3" width="13" style="4" customWidth="1"/>
    <col min="4" max="4" width="19" style="4" customWidth="1"/>
    <col min="5" max="5" width="11.625" style="4" customWidth="1"/>
    <col min="6" max="6" width="16.5" style="4" customWidth="1"/>
    <col min="7" max="7" width="9.875" style="4" customWidth="1"/>
    <col min="8" max="8" width="8.25" style="4" customWidth="1"/>
    <col min="9" max="9" width="14" style="4" customWidth="1"/>
    <col min="10" max="10" width="19.25" style="4" customWidth="1"/>
    <col min="11" max="11" width="9.75" style="4" customWidth="1"/>
    <col min="12" max="12" width="11" style="4" customWidth="1"/>
    <col min="13" max="13" width="10.875" style="4" customWidth="1"/>
    <col min="14" max="14" width="14.125" style="4" customWidth="1"/>
    <col min="15" max="15" width="16.75" style="4" customWidth="1"/>
    <col min="16" max="16" width="13.125" style="4" customWidth="1"/>
    <col min="17" max="17" width="14.75" style="4" customWidth="1"/>
    <col min="18" max="18" width="13.25" style="4" customWidth="1"/>
    <col min="19" max="19" width="11.75" style="4" customWidth="1"/>
    <col min="20" max="20" width="10.875" style="4" customWidth="1"/>
    <col min="21" max="21" width="13.625" style="4" customWidth="1"/>
    <col min="22" max="22" width="16.375" style="4" customWidth="1"/>
    <col min="23" max="23" width="36" style="4" customWidth="1"/>
    <col min="24" max="24" width="11.125" style="4" customWidth="1"/>
    <col min="25" max="25" width="11.875" style="4" customWidth="1"/>
    <col min="26" max="39" width="22" style="4" customWidth="1"/>
    <col min="40" max="40" width="18.75" style="4" customWidth="1"/>
  </cols>
  <sheetData>
    <row r="1" spans="1:40" ht="30">
      <c r="A1" s="1" t="s">
        <v>83</v>
      </c>
      <c r="B1" s="1" t="s">
        <v>137</v>
      </c>
      <c r="C1" s="1" t="s">
        <v>118</v>
      </c>
      <c r="D1" s="1" t="s">
        <v>89</v>
      </c>
      <c r="E1" s="1" t="s">
        <v>100</v>
      </c>
      <c r="F1" s="1" t="s">
        <v>130</v>
      </c>
      <c r="G1" s="1" t="s">
        <v>17</v>
      </c>
      <c r="H1" s="1" t="s">
        <v>10</v>
      </c>
      <c r="I1" s="1" t="s">
        <v>138</v>
      </c>
      <c r="J1" s="1" t="s">
        <v>139</v>
      </c>
      <c r="K1" s="1" t="s">
        <v>95</v>
      </c>
      <c r="L1" s="1" t="s">
        <v>113</v>
      </c>
      <c r="M1" s="1" t="s">
        <v>140</v>
      </c>
      <c r="N1" s="1" t="s">
        <v>108</v>
      </c>
      <c r="O1" s="1" t="s">
        <v>141</v>
      </c>
      <c r="P1" s="1" t="s">
        <v>122</v>
      </c>
      <c r="Q1" s="1" t="s">
        <v>142</v>
      </c>
      <c r="R1" s="1" t="s">
        <v>143</v>
      </c>
      <c r="S1" s="1" t="s">
        <v>144</v>
      </c>
      <c r="T1" s="1" t="s">
        <v>9</v>
      </c>
      <c r="U1" s="1" t="s">
        <v>145</v>
      </c>
      <c r="V1" s="1" t="s">
        <v>146</v>
      </c>
      <c r="W1" s="1" t="s">
        <v>147</v>
      </c>
      <c r="X1" s="6" t="s">
        <v>148</v>
      </c>
      <c r="Y1" s="6" t="s">
        <v>149</v>
      </c>
      <c r="Z1" s="6" t="s">
        <v>150</v>
      </c>
      <c r="AA1" s="6" t="s">
        <v>151</v>
      </c>
      <c r="AB1" s="6" t="s">
        <v>152</v>
      </c>
      <c r="AC1" s="6" t="s">
        <v>153</v>
      </c>
      <c r="AD1" s="6" t="s">
        <v>154</v>
      </c>
      <c r="AE1" s="6" t="s">
        <v>155</v>
      </c>
      <c r="AF1" s="6" t="s">
        <v>156</v>
      </c>
      <c r="AG1" s="6" t="s">
        <v>157</v>
      </c>
      <c r="AH1" s="6" t="s">
        <v>158</v>
      </c>
      <c r="AI1" s="7" t="s">
        <v>159</v>
      </c>
      <c r="AJ1" s="7" t="s">
        <v>160</v>
      </c>
      <c r="AK1" s="7" t="s">
        <v>161</v>
      </c>
      <c r="AL1" s="7" t="s">
        <v>162</v>
      </c>
      <c r="AM1" s="7" t="s">
        <v>163</v>
      </c>
      <c r="AN1" s="7" t="s">
        <v>164</v>
      </c>
    </row>
    <row r="2" spans="1:40">
      <c r="A2" t="str">
        <f>Raw_Data!A2</f>
        <v>ORD-10001</v>
      </c>
      <c r="B2" s="13">
        <f>Raw_Data!B2</f>
        <v>45670</v>
      </c>
      <c r="C2" t="str">
        <f>Raw_Data!C2</f>
        <v>C1029</v>
      </c>
      <c r="D2" t="str">
        <f>Raw_Data!D2</f>
        <v>client36@example.com</v>
      </c>
      <c r="E2" t="str">
        <f>Raw_Data!E2</f>
        <v>P1002</v>
      </c>
      <c r="F2" t="str">
        <f>Raw_Data!F2</f>
        <v>Wireless Mouse</v>
      </c>
      <c r="G2" t="str">
        <f>Raw_Data!G2</f>
        <v>Accessories</v>
      </c>
      <c r="H2" t="str">
        <f>Raw_Data!H2</f>
        <v>Bucharest</v>
      </c>
      <c r="I2" t="str">
        <f>Raw_Data!I2</f>
        <v>Marketplace</v>
      </c>
      <c r="J2" t="str">
        <f>Raw_Data!J2</f>
        <v>Ioana Pavel</v>
      </c>
      <c r="K2">
        <f>Raw_Data!K2</f>
        <v>12</v>
      </c>
      <c r="L2" s="12">
        <f>Raw_Data!L2</f>
        <v>85</v>
      </c>
      <c r="M2" s="12">
        <f>Raw_Data!M2</f>
        <v>44</v>
      </c>
      <c r="N2" s="14">
        <f>Raw_Data!N2</f>
        <v>0.05</v>
      </c>
      <c r="O2" t="str">
        <f>Raw_Data!O2</f>
        <v>Card</v>
      </c>
      <c r="P2" t="str">
        <f>Raw_Data!P2</f>
        <v>Completed</v>
      </c>
      <c r="Q2" s="12">
        <f t="shared" ref="Q2:Q65" si="0">K2*L2</f>
        <v>1020</v>
      </c>
      <c r="R2" s="12">
        <f t="shared" ref="R2:R65" si="1">Q2*(1-N2)</f>
        <v>969</v>
      </c>
      <c r="S2" s="12">
        <f t="shared" ref="S2:S65" si="2">K2*M2</f>
        <v>528</v>
      </c>
      <c r="T2" s="12">
        <f t="shared" ref="T2:T65" si="3">R2-S2</f>
        <v>441</v>
      </c>
      <c r="U2" s="11">
        <f t="shared" ref="U2:U65" si="4">IFERROR(T2/R2,0)</f>
        <v>0.45510835913312692</v>
      </c>
      <c r="V2" t="str">
        <f>IF(OR(A2="",COUNTIF($A$2:$A$301,A2)&gt;1,C2="",D2="",ISERROR(SEARCH("@",D2)),ISERROR(SEARCH(".",D2)),COUNTIF(Lookups!$A$2:$A$11,E2)=0,F2="",H2="",K2&lt;=0,L2&lt;0,M2&lt;0,N2&lt;0,N2&gt;0.5,COUNTIF(Lookups!$K$2:$K$4,P2)=0),"ERROR","VALID")</f>
        <v>VALID</v>
      </c>
      <c r="W2" s="2" t="str">
        <f>IF(A2="","Missing Order ID; ","")&amp;IF(COUNTIF($A$2:$A$301,A2)&gt;1,"Duplicate Order ID; ","")&amp;IF(C2="","Missing Customer ID; ","")&amp;IF(OR(D2="",ISERROR(SEARCH("@",D2)),ISERROR(SEARCH(".",D2))),"Invalid Email; ","")&amp;IF(COUNTIF(Lookups!$A$2:$A$11,E2)=0,"Unknown Product; ","")&amp;IF(F2="","Missing Product Name; ","")&amp;IF(H2="","Missing Region; ","")&amp;IF(K2&lt;=0,"Invalid Quantity; ","")&amp;IF(L2&lt;0,"Invalid Price; ","")&amp;IF(M2&lt;0,"Invalid Cost; ","")&amp;IF(OR(N2&lt;0,N2&gt;0.5),"Invalid Discount; ","")&amp;IF(COUNTIF(Lookups!$K$2:$K$4,P2)=0,"Invalid Status; ","")</f>
        <v/>
      </c>
      <c r="X2" s="15" t="str">
        <f t="shared" ref="X2:X65" si="5">TEXT(B2,"yyyy-mm")</f>
        <v>2025-01</v>
      </c>
      <c r="Y2" t="str">
        <f t="shared" ref="Y2:Y65" si="6">"Q"&amp;ROUNDUP(MONTH(B2)/3,0)</f>
        <v>Q1</v>
      </c>
      <c r="Z2" t="str">
        <f>IF(R2&gt;=Settings!$B$9,"High Value Customer",IF(R2&gt;=Settings!$B$10,"Medium Value Customer","Standard Customer"))</f>
        <v>Standard Customer</v>
      </c>
      <c r="AA2" t="str">
        <f>IF(R2&gt;=Settings!$B$9,"Large Order",IF(R2&gt;=Settings!$B$10,"Medium Order","Small Order"))</f>
        <v>Small Order</v>
      </c>
      <c r="AB2" t="str">
        <f>IF(N2=0,"No Discount",IF(N2&lt;=0.1,"Low Discount",IF(N2&lt;=Settings!$B$8,"Medium Discount","High Discount")))</f>
        <v>Low Discount</v>
      </c>
      <c r="AC2" t="str">
        <f t="shared" ref="AC2:AC65" si="7">IF(T2&gt;0,"Profitable",IF(T2=0,"Break-even","Loss"))</f>
        <v>Profitable</v>
      </c>
      <c r="AD2" t="str">
        <f>IFERROR(VLOOKUP(E2,Lookups!$A$2:$E$11,2,FALSE),"Product Not Found")</f>
        <v>Wireless Mouse</v>
      </c>
      <c r="AE2" t="str">
        <f>IFERROR(VLOOKUP(E2,Lookups!$A$2:$E$11,3,FALSE),"Category Not Found")</f>
        <v>Accessories</v>
      </c>
      <c r="AF2" t="str">
        <f>IFERROR(IF(L2=VLOOKUP(E2,Lookups!$A$2:$E$11,4,FALSE),"Price OK","Price Mismatch"),"Product Missing")</f>
        <v>Price OK</v>
      </c>
      <c r="AG2" t="str">
        <f t="shared" ref="AG2:AG65" si="8">IF(AND(ISNUMBER(SEARCH("@",D2)),ISNUMBER(SEARCH(".",D2))),"Valid Email","Invalid Email")</f>
        <v>Valid Email</v>
      </c>
      <c r="AH2" t="str">
        <f t="shared" ref="AH2:AH65" si="9">IF(AND(V2="VALID",AF2="Price OK",AG2="Valid Email"),"READY FOR REPORTING","REVIEW REQUIRED")</f>
        <v>READY FOR REPORTING</v>
      </c>
      <c r="AI2" t="str">
        <f>IF(AND(LEFT(A2,LEN(Settings!$B$13))=Settings!$B$13,LEN(A2)=9),"Valid Format","Invalid Format")</f>
        <v>Valid Format</v>
      </c>
      <c r="AJ2" t="str">
        <f>IF(LEFT(C2,LEN(Settings!$B$14))=Settings!$B$14,"Valid Format","Invalid Format")</f>
        <v>Valid Format</v>
      </c>
      <c r="AK2" t="str">
        <f>IF(COUNTIF(Master_Data!$G$5:$G$14,C2)=1,"Known Customer","Customer Not in Master")</f>
        <v>Customer Not in Master</v>
      </c>
      <c r="AL2" t="str">
        <f>IF(U2&gt;=Settings!$B$11,"Target Met","Below Target")</f>
        <v>Target Met</v>
      </c>
      <c r="AM2" t="str">
        <f>IF(YEAR(B2)=Settings!$B$5,"Correct Year","Wrong Year")</f>
        <v>Correct Year</v>
      </c>
      <c r="AN2">
        <f t="shared" ref="AN2:AN65" si="10">COUNTIF(AI2:AM2,"*Valid*")+COUNTIF(AI2:AM2,"Known Customer")+COUNTIF(AI2:AM2,"Target Met")+COUNTIF(AI2:AM2,"Correct Year")</f>
        <v>4</v>
      </c>
    </row>
    <row r="3" spans="1:40">
      <c r="A3" t="str">
        <f>Raw_Data!A3</f>
        <v>ORD-10002</v>
      </c>
      <c r="B3" s="13">
        <f>Raw_Data!B3</f>
        <v>45874</v>
      </c>
      <c r="C3" t="str">
        <f>Raw_Data!C3</f>
        <v>C1028</v>
      </c>
      <c r="D3" t="str">
        <f>Raw_Data!D3</f>
        <v>client60@example.com</v>
      </c>
      <c r="E3" t="str">
        <f>Raw_Data!E3</f>
        <v>P1010</v>
      </c>
      <c r="F3" t="str">
        <f>Raw_Data!F3</f>
        <v>Headset</v>
      </c>
      <c r="G3" t="str">
        <f>Raw_Data!G3</f>
        <v>Electronics</v>
      </c>
      <c r="H3" t="str">
        <f>Raw_Data!H3</f>
        <v>West</v>
      </c>
      <c r="I3" t="str">
        <f>Raw_Data!I3</f>
        <v>Marketplace</v>
      </c>
      <c r="J3" t="str">
        <f>Raw_Data!J3</f>
        <v>Andrei Pop</v>
      </c>
      <c r="K3">
        <f>Raw_Data!K3</f>
        <v>1</v>
      </c>
      <c r="L3" s="12">
        <f>Raw_Data!L3</f>
        <v>195</v>
      </c>
      <c r="M3" s="12">
        <f>Raw_Data!M3</f>
        <v>105</v>
      </c>
      <c r="N3" s="14">
        <f>Raw_Data!N3</f>
        <v>0</v>
      </c>
      <c r="O3" t="str">
        <f>Raw_Data!O3</f>
        <v>Bank Transfer</v>
      </c>
      <c r="P3" t="str">
        <f>Raw_Data!P3</f>
        <v>Completed</v>
      </c>
      <c r="Q3" s="12">
        <f t="shared" si="0"/>
        <v>195</v>
      </c>
      <c r="R3" s="12">
        <f t="shared" si="1"/>
        <v>195</v>
      </c>
      <c r="S3" s="12">
        <f t="shared" si="2"/>
        <v>105</v>
      </c>
      <c r="T3" s="12">
        <f t="shared" si="3"/>
        <v>90</v>
      </c>
      <c r="U3" s="11">
        <f t="shared" si="4"/>
        <v>0.46153846153846156</v>
      </c>
      <c r="V3" t="str">
        <f>IF(OR(A3="",COUNTIF($A$2:$A$301,A3)&gt;1,C3="",D3="",ISERROR(SEARCH("@",D3)),ISERROR(SEARCH(".",D3)),COUNTIF(Lookups!$A$2:$A$11,E3)=0,F3="",H3="",K3&lt;=0,L3&lt;0,M3&lt;0,N3&lt;0,N3&gt;0.5,COUNTIF(Lookups!$K$2:$K$4,P3)=0),"ERROR","VALID")</f>
        <v>VALID</v>
      </c>
      <c r="W3" s="2" t="str">
        <f>IF(A3="","Missing Order ID; ","")&amp;IF(COUNTIF($A$2:$A$301,A3)&gt;1,"Duplicate Order ID; ","")&amp;IF(C3="","Missing Customer ID; ","")&amp;IF(OR(D3="",ISERROR(SEARCH("@",D3)),ISERROR(SEARCH(".",D3))),"Invalid Email; ","")&amp;IF(COUNTIF(Lookups!$A$2:$A$11,E3)=0,"Unknown Product; ","")&amp;IF(F3="","Missing Product Name; ","")&amp;IF(H3="","Missing Region; ","")&amp;IF(K3&lt;=0,"Invalid Quantity; ","")&amp;IF(L3&lt;0,"Invalid Price; ","")&amp;IF(M3&lt;0,"Invalid Cost; ","")&amp;IF(OR(N3&lt;0,N3&gt;0.5),"Invalid Discount; ","")&amp;IF(COUNTIF(Lookups!$K$2:$K$4,P3)=0,"Invalid Status; ","")</f>
        <v/>
      </c>
      <c r="X3" s="15" t="str">
        <f t="shared" si="5"/>
        <v>2025-08</v>
      </c>
      <c r="Y3" t="str">
        <f t="shared" si="6"/>
        <v>Q3</v>
      </c>
      <c r="Z3" t="str">
        <f>IF(R3&gt;=Settings!$B$9,"High Value Customer",IF(R3&gt;=Settings!$B$10,"Medium Value Customer","Standard Customer"))</f>
        <v>Standard Customer</v>
      </c>
      <c r="AA3" t="str">
        <f>IF(R3&gt;=Settings!$B$9,"Large Order",IF(R3&gt;=Settings!$B$10,"Medium Order","Small Order"))</f>
        <v>Small Order</v>
      </c>
      <c r="AB3" t="str">
        <f>IF(N3=0,"No Discount",IF(N3&lt;=0.1,"Low Discount",IF(N3&lt;=Settings!$B$8,"Medium Discount","High Discount")))</f>
        <v>No Discount</v>
      </c>
      <c r="AC3" t="str">
        <f t="shared" si="7"/>
        <v>Profitable</v>
      </c>
      <c r="AD3" t="str">
        <f>IFERROR(VLOOKUP(E3,Lookups!$A$2:$E$11,2,FALSE),"Product Not Found")</f>
        <v>Headset</v>
      </c>
      <c r="AE3" t="str">
        <f>IFERROR(VLOOKUP(E3,Lookups!$A$2:$E$11,3,FALSE),"Category Not Found")</f>
        <v>Electronics</v>
      </c>
      <c r="AF3" t="str">
        <f>IFERROR(IF(L3=VLOOKUP(E3,Lookups!$A$2:$E$11,4,FALSE),"Price OK","Price Mismatch"),"Product Missing")</f>
        <v>Price OK</v>
      </c>
      <c r="AG3" t="str">
        <f t="shared" si="8"/>
        <v>Valid Email</v>
      </c>
      <c r="AH3" t="str">
        <f t="shared" si="9"/>
        <v>READY FOR REPORTING</v>
      </c>
      <c r="AI3" t="str">
        <f>IF(AND(LEFT(A3,LEN(Settings!$B$13))=Settings!$B$13,LEN(A3)=9),"Valid Format","Invalid Format")</f>
        <v>Valid Format</v>
      </c>
      <c r="AJ3" t="str">
        <f>IF(LEFT(C3,LEN(Settings!$B$14))=Settings!$B$14,"Valid Format","Invalid Format")</f>
        <v>Valid Format</v>
      </c>
      <c r="AK3" t="str">
        <f>IF(COUNTIF(Master_Data!$G$5:$G$14,C3)=1,"Known Customer","Customer Not in Master")</f>
        <v>Customer Not in Master</v>
      </c>
      <c r="AL3" t="str">
        <f>IF(U3&gt;=Settings!$B$11,"Target Met","Below Target")</f>
        <v>Target Met</v>
      </c>
      <c r="AM3" t="str">
        <f>IF(YEAR(B3)=Settings!$B$5,"Correct Year","Wrong Year")</f>
        <v>Correct Year</v>
      </c>
      <c r="AN3">
        <f t="shared" si="10"/>
        <v>4</v>
      </c>
    </row>
    <row r="4" spans="1:40">
      <c r="A4" t="str">
        <f>Raw_Data!A4</f>
        <v>ORD-10003</v>
      </c>
      <c r="B4" s="13">
        <f>Raw_Data!B4</f>
        <v>45872</v>
      </c>
      <c r="C4" t="str">
        <f>Raw_Data!C4</f>
        <v>C1036</v>
      </c>
      <c r="D4" t="str">
        <f>Raw_Data!D4</f>
        <v>client2@example.com</v>
      </c>
      <c r="E4" t="str">
        <f>Raw_Data!E4</f>
        <v>P1009</v>
      </c>
      <c r="F4" t="str">
        <f>Raw_Data!F4</f>
        <v>Webcam</v>
      </c>
      <c r="G4" t="str">
        <f>Raw_Data!G4</f>
        <v>Electronics</v>
      </c>
      <c r="H4" t="str">
        <f>Raw_Data!H4</f>
        <v>North</v>
      </c>
      <c r="I4" t="str">
        <f>Raw_Data!I4</f>
        <v>Marketplace</v>
      </c>
      <c r="J4" t="str">
        <f>Raw_Data!J4</f>
        <v>Mihai Radu</v>
      </c>
      <c r="K4">
        <f>Raw_Data!K4</f>
        <v>4</v>
      </c>
      <c r="L4" s="12">
        <f>Raw_Data!L4</f>
        <v>230</v>
      </c>
      <c r="M4" s="12">
        <f>Raw_Data!M4</f>
        <v>132</v>
      </c>
      <c r="N4" s="14">
        <f>Raw_Data!N4</f>
        <v>0.1</v>
      </c>
      <c r="O4" t="str">
        <f>Raw_Data!O4</f>
        <v>Cash</v>
      </c>
      <c r="P4" t="str">
        <f>Raw_Data!P4</f>
        <v>Returned</v>
      </c>
      <c r="Q4" s="12">
        <f t="shared" si="0"/>
        <v>920</v>
      </c>
      <c r="R4" s="12">
        <f t="shared" si="1"/>
        <v>828</v>
      </c>
      <c r="S4" s="12">
        <f t="shared" si="2"/>
        <v>528</v>
      </c>
      <c r="T4" s="12">
        <f t="shared" si="3"/>
        <v>300</v>
      </c>
      <c r="U4" s="11">
        <f t="shared" si="4"/>
        <v>0.36231884057971014</v>
      </c>
      <c r="V4" t="str">
        <f>IF(OR(A4="",COUNTIF($A$2:$A$301,A4)&gt;1,C4="",D4="",ISERROR(SEARCH("@",D4)),ISERROR(SEARCH(".",D4)),COUNTIF(Lookups!$A$2:$A$11,E4)=0,F4="",H4="",K4&lt;=0,L4&lt;0,M4&lt;0,N4&lt;0,N4&gt;0.5,COUNTIF(Lookups!$K$2:$K$4,P4)=0),"ERROR","VALID")</f>
        <v>VALID</v>
      </c>
      <c r="W4" s="2" t="str">
        <f>IF(A4="","Missing Order ID; ","")&amp;IF(COUNTIF($A$2:$A$301,A4)&gt;1,"Duplicate Order ID; ","")&amp;IF(C4="","Missing Customer ID; ","")&amp;IF(OR(D4="",ISERROR(SEARCH("@",D4)),ISERROR(SEARCH(".",D4))),"Invalid Email; ","")&amp;IF(COUNTIF(Lookups!$A$2:$A$11,E4)=0,"Unknown Product; ","")&amp;IF(F4="","Missing Product Name; ","")&amp;IF(H4="","Missing Region; ","")&amp;IF(K4&lt;=0,"Invalid Quantity; ","")&amp;IF(L4&lt;0,"Invalid Price; ","")&amp;IF(M4&lt;0,"Invalid Cost; ","")&amp;IF(OR(N4&lt;0,N4&gt;0.5),"Invalid Discount; ","")&amp;IF(COUNTIF(Lookups!$K$2:$K$4,P4)=0,"Invalid Status; ","")</f>
        <v/>
      </c>
      <c r="X4" s="15" t="str">
        <f t="shared" si="5"/>
        <v>2025-08</v>
      </c>
      <c r="Y4" t="str">
        <f t="shared" si="6"/>
        <v>Q3</v>
      </c>
      <c r="Z4" t="str">
        <f>IF(R4&gt;=Settings!$B$9,"High Value Customer",IF(R4&gt;=Settings!$B$10,"Medium Value Customer","Standard Customer"))</f>
        <v>Standard Customer</v>
      </c>
      <c r="AA4" t="str">
        <f>IF(R4&gt;=Settings!$B$9,"Large Order",IF(R4&gt;=Settings!$B$10,"Medium Order","Small Order"))</f>
        <v>Small Order</v>
      </c>
      <c r="AB4" t="str">
        <f>IF(N4=0,"No Discount",IF(N4&lt;=0.1,"Low Discount",IF(N4&lt;=Settings!$B$8,"Medium Discount","High Discount")))</f>
        <v>Low Discount</v>
      </c>
      <c r="AC4" t="str">
        <f t="shared" si="7"/>
        <v>Profitable</v>
      </c>
      <c r="AD4" t="str">
        <f>IFERROR(VLOOKUP(E4,Lookups!$A$2:$E$11,2,FALSE),"Product Not Found")</f>
        <v>Webcam</v>
      </c>
      <c r="AE4" t="str">
        <f>IFERROR(VLOOKUP(E4,Lookups!$A$2:$E$11,3,FALSE),"Category Not Found")</f>
        <v>Electronics</v>
      </c>
      <c r="AF4" t="str">
        <f>IFERROR(IF(L4=VLOOKUP(E4,Lookups!$A$2:$E$11,4,FALSE),"Price OK","Price Mismatch"),"Product Missing")</f>
        <v>Price OK</v>
      </c>
      <c r="AG4" t="str">
        <f t="shared" si="8"/>
        <v>Valid Email</v>
      </c>
      <c r="AH4" t="str">
        <f t="shared" si="9"/>
        <v>READY FOR REPORTING</v>
      </c>
      <c r="AI4" t="str">
        <f>IF(AND(LEFT(A4,LEN(Settings!$B$13))=Settings!$B$13,LEN(A4)=9),"Valid Format","Invalid Format")</f>
        <v>Valid Format</v>
      </c>
      <c r="AJ4" t="str">
        <f>IF(LEFT(C4,LEN(Settings!$B$14))=Settings!$B$14,"Valid Format","Invalid Format")</f>
        <v>Valid Format</v>
      </c>
      <c r="AK4" t="str">
        <f>IF(COUNTIF(Master_Data!$G$5:$G$14,C4)=1,"Known Customer","Customer Not in Master")</f>
        <v>Customer Not in Master</v>
      </c>
      <c r="AL4" t="str">
        <f>IF(U4&gt;=Settings!$B$11,"Target Met","Below Target")</f>
        <v>Target Met</v>
      </c>
      <c r="AM4" t="str">
        <f>IF(YEAR(B4)=Settings!$B$5,"Correct Year","Wrong Year")</f>
        <v>Correct Year</v>
      </c>
      <c r="AN4">
        <f t="shared" si="10"/>
        <v>4</v>
      </c>
    </row>
    <row r="5" spans="1:40">
      <c r="A5" t="str">
        <f>Raw_Data!A5</f>
        <v>ORD-10004</v>
      </c>
      <c r="B5" s="13">
        <f>Raw_Data!B5</f>
        <v>45737</v>
      </c>
      <c r="C5" t="str">
        <f>Raw_Data!C5</f>
        <v>C1012</v>
      </c>
      <c r="D5" t="str">
        <f>Raw_Data!D5</f>
        <v>client98@example.com</v>
      </c>
      <c r="E5" t="str">
        <f>Raw_Data!E5</f>
        <v>P1005</v>
      </c>
      <c r="F5" t="str">
        <f>Raw_Data!F5</f>
        <v>24-inch Monitor</v>
      </c>
      <c r="G5" t="str">
        <f>Raw_Data!G5</f>
        <v>Electronics</v>
      </c>
      <c r="H5" t="str">
        <f>Raw_Data!H5</f>
        <v>Bucharest</v>
      </c>
      <c r="I5" t="str">
        <f>Raw_Data!I5</f>
        <v>Store</v>
      </c>
      <c r="J5" t="str">
        <f>Raw_Data!J5</f>
        <v>Elena Stan</v>
      </c>
      <c r="K5">
        <f>Raw_Data!K5</f>
        <v>4</v>
      </c>
      <c r="L5" s="12">
        <f>Raw_Data!L5</f>
        <v>720</v>
      </c>
      <c r="M5" s="12">
        <f>Raw_Data!M5</f>
        <v>510</v>
      </c>
      <c r="N5" s="14">
        <f>Raw_Data!N5</f>
        <v>0.05</v>
      </c>
      <c r="O5" t="str">
        <f>Raw_Data!O5</f>
        <v>Cash</v>
      </c>
      <c r="P5" t="str">
        <f>Raw_Data!P5</f>
        <v>Completed</v>
      </c>
      <c r="Q5" s="12">
        <f t="shared" si="0"/>
        <v>2880</v>
      </c>
      <c r="R5" s="12">
        <f t="shared" si="1"/>
        <v>2736</v>
      </c>
      <c r="S5" s="12">
        <f t="shared" si="2"/>
        <v>2040</v>
      </c>
      <c r="T5" s="12">
        <f t="shared" si="3"/>
        <v>696</v>
      </c>
      <c r="U5" s="11">
        <f t="shared" si="4"/>
        <v>0.25438596491228072</v>
      </c>
      <c r="V5" t="str">
        <f>IF(OR(A5="",COUNTIF($A$2:$A$301,A5)&gt;1,C5="",D5="",ISERROR(SEARCH("@",D5)),ISERROR(SEARCH(".",D5)),COUNTIF(Lookups!$A$2:$A$11,E5)=0,F5="",H5="",K5&lt;=0,L5&lt;0,M5&lt;0,N5&lt;0,N5&gt;0.5,COUNTIF(Lookups!$K$2:$K$4,P5)=0),"ERROR","VALID")</f>
        <v>VALID</v>
      </c>
      <c r="W5" s="2" t="str">
        <f>IF(A5="","Missing Order ID; ","")&amp;IF(COUNTIF($A$2:$A$301,A5)&gt;1,"Duplicate Order ID; ","")&amp;IF(C5="","Missing Customer ID; ","")&amp;IF(OR(D5="",ISERROR(SEARCH("@",D5)),ISERROR(SEARCH(".",D5))),"Invalid Email; ","")&amp;IF(COUNTIF(Lookups!$A$2:$A$11,E5)=0,"Unknown Product; ","")&amp;IF(F5="","Missing Product Name; ","")&amp;IF(H5="","Missing Region; ","")&amp;IF(K5&lt;=0,"Invalid Quantity; ","")&amp;IF(L5&lt;0,"Invalid Price; ","")&amp;IF(M5&lt;0,"Invalid Cost; ","")&amp;IF(OR(N5&lt;0,N5&gt;0.5),"Invalid Discount; ","")&amp;IF(COUNTIF(Lookups!$K$2:$K$4,P5)=0,"Invalid Status; ","")</f>
        <v/>
      </c>
      <c r="X5" s="15" t="str">
        <f t="shared" si="5"/>
        <v>2025-03</v>
      </c>
      <c r="Y5" t="str">
        <f t="shared" si="6"/>
        <v>Q1</v>
      </c>
      <c r="Z5" t="str">
        <f>IF(R5&gt;=Settings!$B$9,"High Value Customer",IF(R5&gt;=Settings!$B$10,"Medium Value Customer","Standard Customer"))</f>
        <v>Medium Value Customer</v>
      </c>
      <c r="AA5" t="str">
        <f>IF(R5&gt;=Settings!$B$9,"Large Order",IF(R5&gt;=Settings!$B$10,"Medium Order","Small Order"))</f>
        <v>Medium Order</v>
      </c>
      <c r="AB5" t="str">
        <f>IF(N5=0,"No Discount",IF(N5&lt;=0.1,"Low Discount",IF(N5&lt;=Settings!$B$8,"Medium Discount","High Discount")))</f>
        <v>Low Discount</v>
      </c>
      <c r="AC5" t="str">
        <f t="shared" si="7"/>
        <v>Profitable</v>
      </c>
      <c r="AD5" t="str">
        <f>IFERROR(VLOOKUP(E5,Lookups!$A$2:$E$11,2,FALSE),"Product Not Found")</f>
        <v>24-inch Monitor</v>
      </c>
      <c r="AE5" t="str">
        <f>IFERROR(VLOOKUP(E5,Lookups!$A$2:$E$11,3,FALSE),"Category Not Found")</f>
        <v>Electronics</v>
      </c>
      <c r="AF5" t="str">
        <f>IFERROR(IF(L5=VLOOKUP(E5,Lookups!$A$2:$E$11,4,FALSE),"Price OK","Price Mismatch"),"Product Missing")</f>
        <v>Price OK</v>
      </c>
      <c r="AG5" t="str">
        <f t="shared" si="8"/>
        <v>Valid Email</v>
      </c>
      <c r="AH5" t="str">
        <f t="shared" si="9"/>
        <v>READY FOR REPORTING</v>
      </c>
      <c r="AI5" t="str">
        <f>IF(AND(LEFT(A5,LEN(Settings!$B$13))=Settings!$B$13,LEN(A5)=9),"Valid Format","Invalid Format")</f>
        <v>Valid Format</v>
      </c>
      <c r="AJ5" t="str">
        <f>IF(LEFT(C5,LEN(Settings!$B$14))=Settings!$B$14,"Valid Format","Invalid Format")</f>
        <v>Valid Format</v>
      </c>
      <c r="AK5" t="str">
        <f>IF(COUNTIF(Master_Data!$G$5:$G$14,C5)=1,"Known Customer","Customer Not in Master")</f>
        <v>Customer Not in Master</v>
      </c>
      <c r="AL5" t="str">
        <f>IF(U5&gt;=Settings!$B$11,"Target Met","Below Target")</f>
        <v>Target Met</v>
      </c>
      <c r="AM5" t="str">
        <f>IF(YEAR(B5)=Settings!$B$5,"Correct Year","Wrong Year")</f>
        <v>Correct Year</v>
      </c>
      <c r="AN5">
        <f t="shared" si="10"/>
        <v>4</v>
      </c>
    </row>
    <row r="6" spans="1:40">
      <c r="A6" t="str">
        <f>Raw_Data!A6</f>
        <v>ORD-10005</v>
      </c>
      <c r="B6" s="13">
        <f>Raw_Data!B6</f>
        <v>45893</v>
      </c>
      <c r="C6" t="str">
        <f>Raw_Data!C6</f>
        <v>C1011</v>
      </c>
      <c r="D6" t="str">
        <f>Raw_Data!D6</f>
        <v>client142@example.com</v>
      </c>
      <c r="E6" t="str">
        <f>Raw_Data!E6</f>
        <v>P1001</v>
      </c>
      <c r="F6" t="str">
        <f>Raw_Data!F6</f>
        <v>Laptop Stand</v>
      </c>
      <c r="G6" t="str">
        <f>Raw_Data!G6</f>
        <v>Accessories</v>
      </c>
      <c r="H6" t="str">
        <f>Raw_Data!H6</f>
        <v>South</v>
      </c>
      <c r="I6" t="str">
        <f>Raw_Data!I6</f>
        <v>Marketplace</v>
      </c>
      <c r="J6" t="str">
        <f>Raw_Data!J6</f>
        <v>Ioana Pavel</v>
      </c>
      <c r="K6">
        <f>Raw_Data!K6</f>
        <v>9</v>
      </c>
      <c r="L6" s="12">
        <f>Raw_Data!L6</f>
        <v>95</v>
      </c>
      <c r="M6" s="12">
        <f>Raw_Data!M6</f>
        <v>52</v>
      </c>
      <c r="N6" s="14">
        <f>Raw_Data!N6</f>
        <v>0</v>
      </c>
      <c r="O6" t="str">
        <f>Raw_Data!O6</f>
        <v>Cash</v>
      </c>
      <c r="P6" t="str">
        <f>Raw_Data!P6</f>
        <v>Completed</v>
      </c>
      <c r="Q6" s="12">
        <f t="shared" si="0"/>
        <v>855</v>
      </c>
      <c r="R6" s="12">
        <f t="shared" si="1"/>
        <v>855</v>
      </c>
      <c r="S6" s="12">
        <f t="shared" si="2"/>
        <v>468</v>
      </c>
      <c r="T6" s="12">
        <f t="shared" si="3"/>
        <v>387</v>
      </c>
      <c r="U6" s="11">
        <f t="shared" si="4"/>
        <v>0.45263157894736844</v>
      </c>
      <c r="V6" t="str">
        <f>IF(OR(A6="",COUNTIF($A$2:$A$301,A6)&gt;1,C6="",D6="",ISERROR(SEARCH("@",D6)),ISERROR(SEARCH(".",D6)),COUNTIF(Lookups!$A$2:$A$11,E6)=0,F6="",H6="",K6&lt;=0,L6&lt;0,M6&lt;0,N6&lt;0,N6&gt;0.5,COUNTIF(Lookups!$K$2:$K$4,P6)=0),"ERROR","VALID")</f>
        <v>VALID</v>
      </c>
      <c r="W6" s="2" t="str">
        <f>IF(A6="","Missing Order ID; ","")&amp;IF(COUNTIF($A$2:$A$301,A6)&gt;1,"Duplicate Order ID; ","")&amp;IF(C6="","Missing Customer ID; ","")&amp;IF(OR(D6="",ISERROR(SEARCH("@",D6)),ISERROR(SEARCH(".",D6))),"Invalid Email; ","")&amp;IF(COUNTIF(Lookups!$A$2:$A$11,E6)=0,"Unknown Product; ","")&amp;IF(F6="","Missing Product Name; ","")&amp;IF(H6="","Missing Region; ","")&amp;IF(K6&lt;=0,"Invalid Quantity; ","")&amp;IF(L6&lt;0,"Invalid Price; ","")&amp;IF(M6&lt;0,"Invalid Cost; ","")&amp;IF(OR(N6&lt;0,N6&gt;0.5),"Invalid Discount; ","")&amp;IF(COUNTIF(Lookups!$K$2:$K$4,P6)=0,"Invalid Status; ","")</f>
        <v/>
      </c>
      <c r="X6" s="15" t="str">
        <f t="shared" si="5"/>
        <v>2025-08</v>
      </c>
      <c r="Y6" t="str">
        <f t="shared" si="6"/>
        <v>Q3</v>
      </c>
      <c r="Z6" t="str">
        <f>IF(R6&gt;=Settings!$B$9,"High Value Customer",IF(R6&gt;=Settings!$B$10,"Medium Value Customer","Standard Customer"))</f>
        <v>Standard Customer</v>
      </c>
      <c r="AA6" t="str">
        <f>IF(R6&gt;=Settings!$B$9,"Large Order",IF(R6&gt;=Settings!$B$10,"Medium Order","Small Order"))</f>
        <v>Small Order</v>
      </c>
      <c r="AB6" t="str">
        <f>IF(N6=0,"No Discount",IF(N6&lt;=0.1,"Low Discount",IF(N6&lt;=Settings!$B$8,"Medium Discount","High Discount")))</f>
        <v>No Discount</v>
      </c>
      <c r="AC6" t="str">
        <f t="shared" si="7"/>
        <v>Profitable</v>
      </c>
      <c r="AD6" t="str">
        <f>IFERROR(VLOOKUP(E6,Lookups!$A$2:$E$11,2,FALSE),"Product Not Found")</f>
        <v>Laptop Stand</v>
      </c>
      <c r="AE6" t="str">
        <f>IFERROR(VLOOKUP(E6,Lookups!$A$2:$E$11,3,FALSE),"Category Not Found")</f>
        <v>Accessories</v>
      </c>
      <c r="AF6" t="str">
        <f>IFERROR(IF(L6=VLOOKUP(E6,Lookups!$A$2:$E$11,4,FALSE),"Price OK","Price Mismatch"),"Product Missing")</f>
        <v>Price OK</v>
      </c>
      <c r="AG6" t="str">
        <f t="shared" si="8"/>
        <v>Valid Email</v>
      </c>
      <c r="AH6" t="str">
        <f t="shared" si="9"/>
        <v>READY FOR REPORTING</v>
      </c>
      <c r="AI6" t="str">
        <f>IF(AND(LEFT(A6,LEN(Settings!$B$13))=Settings!$B$13,LEN(A6)=9),"Valid Format","Invalid Format")</f>
        <v>Valid Format</v>
      </c>
      <c r="AJ6" t="str">
        <f>IF(LEFT(C6,LEN(Settings!$B$14))=Settings!$B$14,"Valid Format","Invalid Format")</f>
        <v>Valid Format</v>
      </c>
      <c r="AK6" t="str">
        <f>IF(COUNTIF(Master_Data!$G$5:$G$14,C6)=1,"Known Customer","Customer Not in Master")</f>
        <v>Customer Not in Master</v>
      </c>
      <c r="AL6" t="str">
        <f>IF(U6&gt;=Settings!$B$11,"Target Met","Below Target")</f>
        <v>Target Met</v>
      </c>
      <c r="AM6" t="str">
        <f>IF(YEAR(B6)=Settings!$B$5,"Correct Year","Wrong Year")</f>
        <v>Correct Year</v>
      </c>
      <c r="AN6">
        <f t="shared" si="10"/>
        <v>4</v>
      </c>
    </row>
    <row r="7" spans="1:40">
      <c r="A7" t="str">
        <f>Raw_Data!A7</f>
        <v>ORD-10006</v>
      </c>
      <c r="B7" s="13">
        <f>Raw_Data!B7</f>
        <v>45756</v>
      </c>
      <c r="C7" t="str">
        <f>Raw_Data!C7</f>
        <v>C1085</v>
      </c>
      <c r="D7" t="str">
        <f>Raw_Data!D7</f>
        <v>client59@example.com</v>
      </c>
      <c r="E7" t="str">
        <f>Raw_Data!E7</f>
        <v>P1010</v>
      </c>
      <c r="F7" t="str">
        <f>Raw_Data!F7</f>
        <v>Headset</v>
      </c>
      <c r="G7" t="str">
        <f>Raw_Data!G7</f>
        <v>Electronics</v>
      </c>
      <c r="H7" t="str">
        <f>Raw_Data!H7</f>
        <v>South</v>
      </c>
      <c r="I7" t="str">
        <f>Raw_Data!I7</f>
        <v>Online</v>
      </c>
      <c r="J7" t="str">
        <f>Raw_Data!J7</f>
        <v>Maria Ionescu</v>
      </c>
      <c r="K7">
        <f>Raw_Data!K7</f>
        <v>12</v>
      </c>
      <c r="L7" s="12">
        <f>Raw_Data!L7</f>
        <v>195</v>
      </c>
      <c r="M7" s="12">
        <f>Raw_Data!M7</f>
        <v>105</v>
      </c>
      <c r="N7" s="14">
        <f>Raw_Data!N7</f>
        <v>0</v>
      </c>
      <c r="O7" t="str">
        <f>Raw_Data!O7</f>
        <v>Card</v>
      </c>
      <c r="P7" t="str">
        <f>Raw_Data!P7</f>
        <v>Completed</v>
      </c>
      <c r="Q7" s="12">
        <f t="shared" si="0"/>
        <v>2340</v>
      </c>
      <c r="R7" s="12">
        <f t="shared" si="1"/>
        <v>2340</v>
      </c>
      <c r="S7" s="12">
        <f t="shared" si="2"/>
        <v>1260</v>
      </c>
      <c r="T7" s="12">
        <f t="shared" si="3"/>
        <v>1080</v>
      </c>
      <c r="U7" s="11">
        <f t="shared" si="4"/>
        <v>0.46153846153846156</v>
      </c>
      <c r="V7" t="str">
        <f>IF(OR(A7="",COUNTIF($A$2:$A$301,A7)&gt;1,C7="",D7="",ISERROR(SEARCH("@",D7)),ISERROR(SEARCH(".",D7)),COUNTIF(Lookups!$A$2:$A$11,E7)=0,F7="",H7="",K7&lt;=0,L7&lt;0,M7&lt;0,N7&lt;0,N7&gt;0.5,COUNTIF(Lookups!$K$2:$K$4,P7)=0),"ERROR","VALID")</f>
        <v>VALID</v>
      </c>
      <c r="W7" s="2" t="str">
        <f>IF(A7="","Missing Order ID; ","")&amp;IF(COUNTIF($A$2:$A$301,A7)&gt;1,"Duplicate Order ID; ","")&amp;IF(C7="","Missing Customer ID; ","")&amp;IF(OR(D7="",ISERROR(SEARCH("@",D7)),ISERROR(SEARCH(".",D7))),"Invalid Email; ","")&amp;IF(COUNTIF(Lookups!$A$2:$A$11,E7)=0,"Unknown Product; ","")&amp;IF(F7="","Missing Product Name; ","")&amp;IF(H7="","Missing Region; ","")&amp;IF(K7&lt;=0,"Invalid Quantity; ","")&amp;IF(L7&lt;0,"Invalid Price; ","")&amp;IF(M7&lt;0,"Invalid Cost; ","")&amp;IF(OR(N7&lt;0,N7&gt;0.5),"Invalid Discount; ","")&amp;IF(COUNTIF(Lookups!$K$2:$K$4,P7)=0,"Invalid Status; ","")</f>
        <v/>
      </c>
      <c r="X7" s="15" t="str">
        <f t="shared" si="5"/>
        <v>2025-04</v>
      </c>
      <c r="Y7" t="str">
        <f t="shared" si="6"/>
        <v>Q2</v>
      </c>
      <c r="Z7" t="str">
        <f>IF(R7&gt;=Settings!$B$9,"High Value Customer",IF(R7&gt;=Settings!$B$10,"Medium Value Customer","Standard Customer"))</f>
        <v>Medium Value Customer</v>
      </c>
      <c r="AA7" t="str">
        <f>IF(R7&gt;=Settings!$B$9,"Large Order",IF(R7&gt;=Settings!$B$10,"Medium Order","Small Order"))</f>
        <v>Medium Order</v>
      </c>
      <c r="AB7" t="str">
        <f>IF(N7=0,"No Discount",IF(N7&lt;=0.1,"Low Discount",IF(N7&lt;=Settings!$B$8,"Medium Discount","High Discount")))</f>
        <v>No Discount</v>
      </c>
      <c r="AC7" t="str">
        <f t="shared" si="7"/>
        <v>Profitable</v>
      </c>
      <c r="AD7" t="str">
        <f>IFERROR(VLOOKUP(E7,Lookups!$A$2:$E$11,2,FALSE),"Product Not Found")</f>
        <v>Headset</v>
      </c>
      <c r="AE7" t="str">
        <f>IFERROR(VLOOKUP(E7,Lookups!$A$2:$E$11,3,FALSE),"Category Not Found")</f>
        <v>Electronics</v>
      </c>
      <c r="AF7" t="str">
        <f>IFERROR(IF(L7=VLOOKUP(E7,Lookups!$A$2:$E$11,4,FALSE),"Price OK","Price Mismatch"),"Product Missing")</f>
        <v>Price OK</v>
      </c>
      <c r="AG7" t="str">
        <f t="shared" si="8"/>
        <v>Valid Email</v>
      </c>
      <c r="AH7" t="str">
        <f t="shared" si="9"/>
        <v>READY FOR REPORTING</v>
      </c>
      <c r="AI7" t="str">
        <f>IF(AND(LEFT(A7,LEN(Settings!$B$13))=Settings!$B$13,LEN(A7)=9),"Valid Format","Invalid Format")</f>
        <v>Valid Format</v>
      </c>
      <c r="AJ7" t="str">
        <f>IF(LEFT(C7,LEN(Settings!$B$14))=Settings!$B$14,"Valid Format","Invalid Format")</f>
        <v>Valid Format</v>
      </c>
      <c r="AK7" t="str">
        <f>IF(COUNTIF(Master_Data!$G$5:$G$14,C7)=1,"Known Customer","Customer Not in Master")</f>
        <v>Customer Not in Master</v>
      </c>
      <c r="AL7" t="str">
        <f>IF(U7&gt;=Settings!$B$11,"Target Met","Below Target")</f>
        <v>Target Met</v>
      </c>
      <c r="AM7" t="str">
        <f>IF(YEAR(B7)=Settings!$B$5,"Correct Year","Wrong Year")</f>
        <v>Correct Year</v>
      </c>
      <c r="AN7">
        <f t="shared" si="10"/>
        <v>4</v>
      </c>
    </row>
    <row r="8" spans="1:40">
      <c r="A8" t="str">
        <f>Raw_Data!A8</f>
        <v>ORD-10007</v>
      </c>
      <c r="B8" s="13">
        <f>Raw_Data!B8</f>
        <v>45800</v>
      </c>
      <c r="C8" t="str">
        <f>Raw_Data!C8</f>
        <v>C1021</v>
      </c>
      <c r="D8" t="str">
        <f>Raw_Data!D8</f>
        <v>client95@example.com</v>
      </c>
      <c r="E8" t="str">
        <f>Raw_Data!E8</f>
        <v>P1007</v>
      </c>
      <c r="F8" t="str">
        <f>Raw_Data!F8</f>
        <v>Office Chair</v>
      </c>
      <c r="G8" t="str">
        <f>Raw_Data!G8</f>
        <v>Furniture</v>
      </c>
      <c r="H8" t="str">
        <f>Raw_Data!H8</f>
        <v>South</v>
      </c>
      <c r="I8" t="str">
        <f>Raw_Data!I8</f>
        <v>Online</v>
      </c>
      <c r="J8" t="str">
        <f>Raw_Data!J8</f>
        <v>Elena Stan</v>
      </c>
      <c r="K8">
        <f>Raw_Data!K8</f>
        <v>8</v>
      </c>
      <c r="L8" s="12">
        <f>Raw_Data!L8</f>
        <v>840</v>
      </c>
      <c r="M8" s="12">
        <f>Raw_Data!M8</f>
        <v>590</v>
      </c>
      <c r="N8" s="14">
        <f>Raw_Data!N8</f>
        <v>0.2</v>
      </c>
      <c r="O8" t="str">
        <f>Raw_Data!O8</f>
        <v>Card</v>
      </c>
      <c r="P8" t="str">
        <f>Raw_Data!P8</f>
        <v>Completed</v>
      </c>
      <c r="Q8" s="12">
        <f t="shared" si="0"/>
        <v>6720</v>
      </c>
      <c r="R8" s="12">
        <f t="shared" si="1"/>
        <v>5376</v>
      </c>
      <c r="S8" s="12">
        <f t="shared" si="2"/>
        <v>4720</v>
      </c>
      <c r="T8" s="12">
        <f t="shared" si="3"/>
        <v>656</v>
      </c>
      <c r="U8" s="11">
        <f t="shared" si="4"/>
        <v>0.12202380952380952</v>
      </c>
      <c r="V8" t="str">
        <f>IF(OR(A8="",COUNTIF($A$2:$A$301,A8)&gt;1,C8="",D8="",ISERROR(SEARCH("@",D8)),ISERROR(SEARCH(".",D8)),COUNTIF(Lookups!$A$2:$A$11,E8)=0,F8="",H8="",K8&lt;=0,L8&lt;0,M8&lt;0,N8&lt;0,N8&gt;0.5,COUNTIF(Lookups!$K$2:$K$4,P8)=0),"ERROR","VALID")</f>
        <v>VALID</v>
      </c>
      <c r="W8" s="2" t="str">
        <f>IF(A8="","Missing Order ID; ","")&amp;IF(COUNTIF($A$2:$A$301,A8)&gt;1,"Duplicate Order ID; ","")&amp;IF(C8="","Missing Customer ID; ","")&amp;IF(OR(D8="",ISERROR(SEARCH("@",D8)),ISERROR(SEARCH(".",D8))),"Invalid Email; ","")&amp;IF(COUNTIF(Lookups!$A$2:$A$11,E8)=0,"Unknown Product; ","")&amp;IF(F8="","Missing Product Name; ","")&amp;IF(H8="","Missing Region; ","")&amp;IF(K8&lt;=0,"Invalid Quantity; ","")&amp;IF(L8&lt;0,"Invalid Price; ","")&amp;IF(M8&lt;0,"Invalid Cost; ","")&amp;IF(OR(N8&lt;0,N8&gt;0.5),"Invalid Discount; ","")&amp;IF(COUNTIF(Lookups!$K$2:$K$4,P8)=0,"Invalid Status; ","")</f>
        <v/>
      </c>
      <c r="X8" s="15" t="str">
        <f t="shared" si="5"/>
        <v>2025-05</v>
      </c>
      <c r="Y8" t="str">
        <f t="shared" si="6"/>
        <v>Q2</v>
      </c>
      <c r="Z8" t="str">
        <f>IF(R8&gt;=Settings!$B$9,"High Value Customer",IF(R8&gt;=Settings!$B$10,"Medium Value Customer","Standard Customer"))</f>
        <v>High Value Customer</v>
      </c>
      <c r="AA8" t="str">
        <f>IF(R8&gt;=Settings!$B$9,"Large Order",IF(R8&gt;=Settings!$B$10,"Medium Order","Small Order"))</f>
        <v>Large Order</v>
      </c>
      <c r="AB8" t="str">
        <f>IF(N8=0,"No Discount",IF(N8&lt;=0.1,"Low Discount",IF(N8&lt;=Settings!$B$8,"Medium Discount","High Discount")))</f>
        <v>Medium Discount</v>
      </c>
      <c r="AC8" t="str">
        <f t="shared" si="7"/>
        <v>Profitable</v>
      </c>
      <c r="AD8" t="str">
        <f>IFERROR(VLOOKUP(E8,Lookups!$A$2:$E$11,2,FALSE),"Product Not Found")</f>
        <v>Office Chair</v>
      </c>
      <c r="AE8" t="str">
        <f>IFERROR(VLOOKUP(E8,Lookups!$A$2:$E$11,3,FALSE),"Category Not Found")</f>
        <v>Furniture</v>
      </c>
      <c r="AF8" t="str">
        <f>IFERROR(IF(L8=VLOOKUP(E8,Lookups!$A$2:$E$11,4,FALSE),"Price OK","Price Mismatch"),"Product Missing")</f>
        <v>Price OK</v>
      </c>
      <c r="AG8" t="str">
        <f t="shared" si="8"/>
        <v>Valid Email</v>
      </c>
      <c r="AH8" t="str">
        <f t="shared" si="9"/>
        <v>READY FOR REPORTING</v>
      </c>
      <c r="AI8" t="str">
        <f>IF(AND(LEFT(A8,LEN(Settings!$B$13))=Settings!$B$13,LEN(A8)=9),"Valid Format","Invalid Format")</f>
        <v>Valid Format</v>
      </c>
      <c r="AJ8" t="str">
        <f>IF(LEFT(C8,LEN(Settings!$B$14))=Settings!$B$14,"Valid Format","Invalid Format")</f>
        <v>Valid Format</v>
      </c>
      <c r="AK8" t="str">
        <f>IF(COUNTIF(Master_Data!$G$5:$G$14,C8)=1,"Known Customer","Customer Not in Master")</f>
        <v>Customer Not in Master</v>
      </c>
      <c r="AL8" t="str">
        <f>IF(U8&gt;=Settings!$B$11,"Target Met","Below Target")</f>
        <v>Below Target</v>
      </c>
      <c r="AM8" t="str">
        <f>IF(YEAR(B8)=Settings!$B$5,"Correct Year","Wrong Year")</f>
        <v>Correct Year</v>
      </c>
      <c r="AN8">
        <f t="shared" si="10"/>
        <v>3</v>
      </c>
    </row>
    <row r="9" spans="1:40">
      <c r="A9" t="str">
        <f>Raw_Data!A9</f>
        <v>ORD-10008</v>
      </c>
      <c r="B9" s="13">
        <f>Raw_Data!B9</f>
        <v>45983</v>
      </c>
      <c r="C9" t="str">
        <f>Raw_Data!C9</f>
        <v>C1032</v>
      </c>
      <c r="D9" t="str">
        <f>Raw_Data!D9</f>
        <v>client42@example.com</v>
      </c>
      <c r="E9" t="str">
        <f>Raw_Data!E9</f>
        <v>P1010</v>
      </c>
      <c r="F9" t="str">
        <f>Raw_Data!F9</f>
        <v>Headset</v>
      </c>
      <c r="G9" t="str">
        <f>Raw_Data!G9</f>
        <v>Electronics</v>
      </c>
      <c r="H9" t="str">
        <f>Raw_Data!H9</f>
        <v>East</v>
      </c>
      <c r="I9" t="str">
        <f>Raw_Data!I9</f>
        <v>Store</v>
      </c>
      <c r="J9" t="str">
        <f>Raw_Data!J9</f>
        <v>Elena Stan</v>
      </c>
      <c r="K9">
        <f>Raw_Data!K9</f>
        <v>3</v>
      </c>
      <c r="L9" s="12">
        <f>Raw_Data!L9</f>
        <v>195</v>
      </c>
      <c r="M9" s="12">
        <f>Raw_Data!M9</f>
        <v>105</v>
      </c>
      <c r="N9" s="14">
        <f>Raw_Data!N9</f>
        <v>0.15</v>
      </c>
      <c r="O9" t="str">
        <f>Raw_Data!O9</f>
        <v>Bank Transfer</v>
      </c>
      <c r="P9" t="str">
        <f>Raw_Data!P9</f>
        <v>Cancelled</v>
      </c>
      <c r="Q9" s="12">
        <f t="shared" si="0"/>
        <v>585</v>
      </c>
      <c r="R9" s="12">
        <f t="shared" si="1"/>
        <v>497.25</v>
      </c>
      <c r="S9" s="12">
        <f t="shared" si="2"/>
        <v>315</v>
      </c>
      <c r="T9" s="12">
        <f t="shared" si="3"/>
        <v>182.25</v>
      </c>
      <c r="U9" s="11">
        <f t="shared" si="4"/>
        <v>0.36651583710407237</v>
      </c>
      <c r="V9" t="str">
        <f>IF(OR(A9="",COUNTIF($A$2:$A$301,A9)&gt;1,C9="",D9="",ISERROR(SEARCH("@",D9)),ISERROR(SEARCH(".",D9)),COUNTIF(Lookups!$A$2:$A$11,E9)=0,F9="",H9="",K9&lt;=0,L9&lt;0,M9&lt;0,N9&lt;0,N9&gt;0.5,COUNTIF(Lookups!$K$2:$K$4,P9)=0),"ERROR","VALID")</f>
        <v>VALID</v>
      </c>
      <c r="W9" s="2" t="str">
        <f>IF(A9="","Missing Order ID; ","")&amp;IF(COUNTIF($A$2:$A$301,A9)&gt;1,"Duplicate Order ID; ","")&amp;IF(C9="","Missing Customer ID; ","")&amp;IF(OR(D9="",ISERROR(SEARCH("@",D9)),ISERROR(SEARCH(".",D9))),"Invalid Email; ","")&amp;IF(COUNTIF(Lookups!$A$2:$A$11,E9)=0,"Unknown Product; ","")&amp;IF(F9="","Missing Product Name; ","")&amp;IF(H9="","Missing Region; ","")&amp;IF(K9&lt;=0,"Invalid Quantity; ","")&amp;IF(L9&lt;0,"Invalid Price; ","")&amp;IF(M9&lt;0,"Invalid Cost; ","")&amp;IF(OR(N9&lt;0,N9&gt;0.5),"Invalid Discount; ","")&amp;IF(COUNTIF(Lookups!$K$2:$K$4,P9)=0,"Invalid Status; ","")</f>
        <v/>
      </c>
      <c r="X9" s="15" t="str">
        <f t="shared" si="5"/>
        <v>2025-11</v>
      </c>
      <c r="Y9" t="str">
        <f t="shared" si="6"/>
        <v>Q4</v>
      </c>
      <c r="Z9" t="str">
        <f>IF(R9&gt;=Settings!$B$9,"High Value Customer",IF(R9&gt;=Settings!$B$10,"Medium Value Customer","Standard Customer"))</f>
        <v>Standard Customer</v>
      </c>
      <c r="AA9" t="str">
        <f>IF(R9&gt;=Settings!$B$9,"Large Order",IF(R9&gt;=Settings!$B$10,"Medium Order","Small Order"))</f>
        <v>Small Order</v>
      </c>
      <c r="AB9" t="str">
        <f>IF(N9=0,"No Discount",IF(N9&lt;=0.1,"Low Discount",IF(N9&lt;=Settings!$B$8,"Medium Discount","High Discount")))</f>
        <v>Medium Discount</v>
      </c>
      <c r="AC9" t="str">
        <f t="shared" si="7"/>
        <v>Profitable</v>
      </c>
      <c r="AD9" t="str">
        <f>IFERROR(VLOOKUP(E9,Lookups!$A$2:$E$11,2,FALSE),"Product Not Found")</f>
        <v>Headset</v>
      </c>
      <c r="AE9" t="str">
        <f>IFERROR(VLOOKUP(E9,Lookups!$A$2:$E$11,3,FALSE),"Category Not Found")</f>
        <v>Electronics</v>
      </c>
      <c r="AF9" t="str">
        <f>IFERROR(IF(L9=VLOOKUP(E9,Lookups!$A$2:$E$11,4,FALSE),"Price OK","Price Mismatch"),"Product Missing")</f>
        <v>Price OK</v>
      </c>
      <c r="AG9" t="str">
        <f t="shared" si="8"/>
        <v>Valid Email</v>
      </c>
      <c r="AH9" t="str">
        <f t="shared" si="9"/>
        <v>READY FOR REPORTING</v>
      </c>
      <c r="AI9" t="str">
        <f>IF(AND(LEFT(A9,LEN(Settings!$B$13))=Settings!$B$13,LEN(A9)=9),"Valid Format","Invalid Format")</f>
        <v>Valid Format</v>
      </c>
      <c r="AJ9" t="str">
        <f>IF(LEFT(C9,LEN(Settings!$B$14))=Settings!$B$14,"Valid Format","Invalid Format")</f>
        <v>Valid Format</v>
      </c>
      <c r="AK9" t="str">
        <f>IF(COUNTIF(Master_Data!$G$5:$G$14,C9)=1,"Known Customer","Customer Not in Master")</f>
        <v>Customer Not in Master</v>
      </c>
      <c r="AL9" t="str">
        <f>IF(U9&gt;=Settings!$B$11,"Target Met","Below Target")</f>
        <v>Target Met</v>
      </c>
      <c r="AM9" t="str">
        <f>IF(YEAR(B9)=Settings!$B$5,"Correct Year","Wrong Year")</f>
        <v>Correct Year</v>
      </c>
      <c r="AN9">
        <f t="shared" si="10"/>
        <v>4</v>
      </c>
    </row>
    <row r="10" spans="1:40">
      <c r="A10" t="str">
        <f>Raw_Data!A10</f>
        <v>ORD-10009</v>
      </c>
      <c r="B10" s="13">
        <f>Raw_Data!B10</f>
        <v>45686</v>
      </c>
      <c r="C10" t="str">
        <f>Raw_Data!C10</f>
        <v>C1052</v>
      </c>
      <c r="D10" t="str">
        <f>Raw_Data!D10</f>
        <v>client69@example.com</v>
      </c>
      <c r="E10" t="str">
        <f>Raw_Data!E10</f>
        <v>P1006</v>
      </c>
      <c r="F10" t="str">
        <f>Raw_Data!F10</f>
        <v>27-inch Monitor</v>
      </c>
      <c r="G10" t="str">
        <f>Raw_Data!G10</f>
        <v>Electronics</v>
      </c>
      <c r="H10" t="str">
        <f>Raw_Data!H10</f>
        <v>Bucharest</v>
      </c>
      <c r="I10" t="str">
        <f>Raw_Data!I10</f>
        <v>Online</v>
      </c>
      <c r="J10" t="str">
        <f>Raw_Data!J10</f>
        <v>Ioana Pavel</v>
      </c>
      <c r="K10">
        <f>Raw_Data!K10</f>
        <v>4</v>
      </c>
      <c r="L10" s="12">
        <f>Raw_Data!L10</f>
        <v>1090</v>
      </c>
      <c r="M10" s="12">
        <f>Raw_Data!M10</f>
        <v>790</v>
      </c>
      <c r="N10" s="14">
        <f>Raw_Data!N10</f>
        <v>0</v>
      </c>
      <c r="O10" t="str">
        <f>Raw_Data!O10</f>
        <v>Cash</v>
      </c>
      <c r="P10" t="str">
        <f>Raw_Data!P10</f>
        <v>Completed</v>
      </c>
      <c r="Q10" s="12">
        <f t="shared" si="0"/>
        <v>4360</v>
      </c>
      <c r="R10" s="12">
        <f t="shared" si="1"/>
        <v>4360</v>
      </c>
      <c r="S10" s="12">
        <f t="shared" si="2"/>
        <v>3160</v>
      </c>
      <c r="T10" s="12">
        <f t="shared" si="3"/>
        <v>1200</v>
      </c>
      <c r="U10" s="11">
        <f t="shared" si="4"/>
        <v>0.27522935779816515</v>
      </c>
      <c r="V10" t="str">
        <f>IF(OR(A10="",COUNTIF($A$2:$A$301,A10)&gt;1,C10="",D10="",ISERROR(SEARCH("@",D10)),ISERROR(SEARCH(".",D10)),COUNTIF(Lookups!$A$2:$A$11,E10)=0,F10="",H10="",K10&lt;=0,L10&lt;0,M10&lt;0,N10&lt;0,N10&gt;0.5,COUNTIF(Lookups!$K$2:$K$4,P10)=0),"ERROR","VALID")</f>
        <v>VALID</v>
      </c>
      <c r="W10" s="2" t="str">
        <f>IF(A10="","Missing Order ID; ","")&amp;IF(COUNTIF($A$2:$A$301,A10)&gt;1,"Duplicate Order ID; ","")&amp;IF(C10="","Missing Customer ID; ","")&amp;IF(OR(D10="",ISERROR(SEARCH("@",D10)),ISERROR(SEARCH(".",D10))),"Invalid Email; ","")&amp;IF(COUNTIF(Lookups!$A$2:$A$11,E10)=0,"Unknown Product; ","")&amp;IF(F10="","Missing Product Name; ","")&amp;IF(H10="","Missing Region; ","")&amp;IF(K10&lt;=0,"Invalid Quantity; ","")&amp;IF(L10&lt;0,"Invalid Price; ","")&amp;IF(M10&lt;0,"Invalid Cost; ","")&amp;IF(OR(N10&lt;0,N10&gt;0.5),"Invalid Discount; ","")&amp;IF(COUNTIF(Lookups!$K$2:$K$4,P10)=0,"Invalid Status; ","")</f>
        <v/>
      </c>
      <c r="X10" s="15" t="str">
        <f t="shared" si="5"/>
        <v>2025-01</v>
      </c>
      <c r="Y10" t="str">
        <f t="shared" si="6"/>
        <v>Q1</v>
      </c>
      <c r="Z10" t="str">
        <f>IF(R10&gt;=Settings!$B$9,"High Value Customer",IF(R10&gt;=Settings!$B$10,"Medium Value Customer","Standard Customer"))</f>
        <v>Medium Value Customer</v>
      </c>
      <c r="AA10" t="str">
        <f>IF(R10&gt;=Settings!$B$9,"Large Order",IF(R10&gt;=Settings!$B$10,"Medium Order","Small Order"))</f>
        <v>Medium Order</v>
      </c>
      <c r="AB10" t="str">
        <f>IF(N10=0,"No Discount",IF(N10&lt;=0.1,"Low Discount",IF(N10&lt;=Settings!$B$8,"Medium Discount","High Discount")))</f>
        <v>No Discount</v>
      </c>
      <c r="AC10" t="str">
        <f t="shared" si="7"/>
        <v>Profitable</v>
      </c>
      <c r="AD10" t="str">
        <f>IFERROR(VLOOKUP(E10,Lookups!$A$2:$E$11,2,FALSE),"Product Not Found")</f>
        <v>27-inch Monitor</v>
      </c>
      <c r="AE10" t="str">
        <f>IFERROR(VLOOKUP(E10,Lookups!$A$2:$E$11,3,FALSE),"Category Not Found")</f>
        <v>Electronics</v>
      </c>
      <c r="AF10" t="str">
        <f>IFERROR(IF(L10=VLOOKUP(E10,Lookups!$A$2:$E$11,4,FALSE),"Price OK","Price Mismatch"),"Product Missing")</f>
        <v>Price OK</v>
      </c>
      <c r="AG10" t="str">
        <f t="shared" si="8"/>
        <v>Valid Email</v>
      </c>
      <c r="AH10" t="str">
        <f t="shared" si="9"/>
        <v>READY FOR REPORTING</v>
      </c>
      <c r="AI10" t="str">
        <f>IF(AND(LEFT(A10,LEN(Settings!$B$13))=Settings!$B$13,LEN(A10)=9),"Valid Format","Invalid Format")</f>
        <v>Valid Format</v>
      </c>
      <c r="AJ10" t="str">
        <f>IF(LEFT(C10,LEN(Settings!$B$14))=Settings!$B$14,"Valid Format","Invalid Format")</f>
        <v>Valid Format</v>
      </c>
      <c r="AK10" t="str">
        <f>IF(COUNTIF(Master_Data!$G$5:$G$14,C10)=1,"Known Customer","Customer Not in Master")</f>
        <v>Customer Not in Master</v>
      </c>
      <c r="AL10" t="str">
        <f>IF(U10&gt;=Settings!$B$11,"Target Met","Below Target")</f>
        <v>Target Met</v>
      </c>
      <c r="AM10" t="str">
        <f>IF(YEAR(B10)=Settings!$B$5,"Correct Year","Wrong Year")</f>
        <v>Correct Year</v>
      </c>
      <c r="AN10">
        <f t="shared" si="10"/>
        <v>4</v>
      </c>
    </row>
    <row r="11" spans="1:40">
      <c r="A11" t="str">
        <f>Raw_Data!A11</f>
        <v>ORD-10010</v>
      </c>
      <c r="B11" s="13">
        <f>Raw_Data!B11</f>
        <v>45993</v>
      </c>
      <c r="C11" t="str">
        <f>Raw_Data!C11</f>
        <v>C1059</v>
      </c>
      <c r="D11" t="str">
        <f>Raw_Data!D11</f>
        <v>invalid-email</v>
      </c>
      <c r="E11" t="str">
        <f>Raw_Data!E11</f>
        <v>P1004</v>
      </c>
      <c r="F11" t="str">
        <f>Raw_Data!F11</f>
        <v>USB-C Hub</v>
      </c>
      <c r="G11" t="str">
        <f>Raw_Data!G11</f>
        <v>Accessories</v>
      </c>
      <c r="H11" t="str">
        <f>Raw_Data!H11</f>
        <v>South</v>
      </c>
      <c r="I11" t="str">
        <f>Raw_Data!I11</f>
        <v>Online</v>
      </c>
      <c r="J11" t="str">
        <f>Raw_Data!J11</f>
        <v>Maria Ionescu</v>
      </c>
      <c r="K11">
        <f>Raw_Data!K11</f>
        <v>8</v>
      </c>
      <c r="L11" s="12">
        <f>Raw_Data!L11</f>
        <v>175</v>
      </c>
      <c r="M11" s="12">
        <f>Raw_Data!M11</f>
        <v>98</v>
      </c>
      <c r="N11" s="14">
        <f>Raw_Data!N11</f>
        <v>0.1</v>
      </c>
      <c r="O11" t="str">
        <f>Raw_Data!O11</f>
        <v>Cash</v>
      </c>
      <c r="P11" t="str">
        <f>Raw_Data!P11</f>
        <v>Cancelled</v>
      </c>
      <c r="Q11" s="12">
        <f t="shared" si="0"/>
        <v>1400</v>
      </c>
      <c r="R11" s="12">
        <f t="shared" si="1"/>
        <v>1260</v>
      </c>
      <c r="S11" s="12">
        <f t="shared" si="2"/>
        <v>784</v>
      </c>
      <c r="T11" s="12">
        <f t="shared" si="3"/>
        <v>476</v>
      </c>
      <c r="U11" s="11">
        <f t="shared" si="4"/>
        <v>0.37777777777777777</v>
      </c>
      <c r="V11" t="str">
        <f>IF(OR(A11="",COUNTIF($A$2:$A$301,A11)&gt;1,C11="",D11="",ISERROR(SEARCH("@",D11)),ISERROR(SEARCH(".",D11)),COUNTIF(Lookups!$A$2:$A$11,E11)=0,F11="",H11="",K11&lt;=0,L11&lt;0,M11&lt;0,N11&lt;0,N11&gt;0.5,COUNTIF(Lookups!$K$2:$K$4,P11)=0),"ERROR","VALID")</f>
        <v>ERROR</v>
      </c>
      <c r="W11" s="2" t="str">
        <f>IF(A11="","Missing Order ID; ","")&amp;IF(COUNTIF($A$2:$A$301,A11)&gt;1,"Duplicate Order ID; ","")&amp;IF(C11="","Missing Customer ID; ","")&amp;IF(OR(D11="",ISERROR(SEARCH("@",D11)),ISERROR(SEARCH(".",D11))),"Invalid Email; ","")&amp;IF(COUNTIF(Lookups!$A$2:$A$11,E11)=0,"Unknown Product; ","")&amp;IF(F11="","Missing Product Name; ","")&amp;IF(H11="","Missing Region; ","")&amp;IF(K11&lt;=0,"Invalid Quantity; ","")&amp;IF(L11&lt;0,"Invalid Price; ","")&amp;IF(M11&lt;0,"Invalid Cost; ","")&amp;IF(OR(N11&lt;0,N11&gt;0.5),"Invalid Discount; ","")&amp;IF(COUNTIF(Lookups!$K$2:$K$4,P11)=0,"Invalid Status; ","")</f>
        <v xml:space="preserve">Invalid Email; </v>
      </c>
      <c r="X11" s="15" t="str">
        <f t="shared" si="5"/>
        <v>2025-12</v>
      </c>
      <c r="Y11" t="str">
        <f t="shared" si="6"/>
        <v>Q4</v>
      </c>
      <c r="Z11" t="str">
        <f>IF(R11&gt;=Settings!$B$9,"High Value Customer",IF(R11&gt;=Settings!$B$10,"Medium Value Customer","Standard Customer"))</f>
        <v>Standard Customer</v>
      </c>
      <c r="AA11" t="str">
        <f>IF(R11&gt;=Settings!$B$9,"Large Order",IF(R11&gt;=Settings!$B$10,"Medium Order","Small Order"))</f>
        <v>Small Order</v>
      </c>
      <c r="AB11" t="str">
        <f>IF(N11=0,"No Discount",IF(N11&lt;=0.1,"Low Discount",IF(N11&lt;=Settings!$B$8,"Medium Discount","High Discount")))</f>
        <v>Low Discount</v>
      </c>
      <c r="AC11" t="str">
        <f t="shared" si="7"/>
        <v>Profitable</v>
      </c>
      <c r="AD11" t="str">
        <f>IFERROR(VLOOKUP(E11,Lookups!$A$2:$E$11,2,FALSE),"Product Not Found")</f>
        <v>USB-C Hub</v>
      </c>
      <c r="AE11" t="str">
        <f>IFERROR(VLOOKUP(E11,Lookups!$A$2:$E$11,3,FALSE),"Category Not Found")</f>
        <v>Accessories</v>
      </c>
      <c r="AF11" t="str">
        <f>IFERROR(IF(L11=VLOOKUP(E11,Lookups!$A$2:$E$11,4,FALSE),"Price OK","Price Mismatch"),"Product Missing")</f>
        <v>Price OK</v>
      </c>
      <c r="AG11" t="str">
        <f t="shared" si="8"/>
        <v>Invalid Email</v>
      </c>
      <c r="AH11" t="str">
        <f t="shared" si="9"/>
        <v>REVIEW REQUIRED</v>
      </c>
      <c r="AI11" t="str">
        <f>IF(AND(LEFT(A11,LEN(Settings!$B$13))=Settings!$B$13,LEN(A11)=9),"Valid Format","Invalid Format")</f>
        <v>Valid Format</v>
      </c>
      <c r="AJ11" t="str">
        <f>IF(LEFT(C11,LEN(Settings!$B$14))=Settings!$B$14,"Valid Format","Invalid Format")</f>
        <v>Valid Format</v>
      </c>
      <c r="AK11" t="str">
        <f>IF(COUNTIF(Master_Data!$G$5:$G$14,C11)=1,"Known Customer","Customer Not in Master")</f>
        <v>Customer Not in Master</v>
      </c>
      <c r="AL11" t="str">
        <f>IF(U11&gt;=Settings!$B$11,"Target Met","Below Target")</f>
        <v>Target Met</v>
      </c>
      <c r="AM11" t="str">
        <f>IF(YEAR(B11)=Settings!$B$5,"Correct Year","Wrong Year")</f>
        <v>Correct Year</v>
      </c>
      <c r="AN11">
        <f t="shared" si="10"/>
        <v>4</v>
      </c>
    </row>
    <row r="12" spans="1:40">
      <c r="A12" t="str">
        <f>Raw_Data!A12</f>
        <v>ORD-10011</v>
      </c>
      <c r="B12" s="13">
        <f>Raw_Data!B12</f>
        <v>45877</v>
      </c>
      <c r="C12" t="str">
        <f>Raw_Data!C12</f>
        <v>C1029</v>
      </c>
      <c r="D12" t="str">
        <f>Raw_Data!D12</f>
        <v>client36@example.com</v>
      </c>
      <c r="E12" t="str">
        <f>Raw_Data!E12</f>
        <v>P1010</v>
      </c>
      <c r="F12" t="str">
        <f>Raw_Data!F12</f>
        <v>Headset</v>
      </c>
      <c r="G12" t="str">
        <f>Raw_Data!G12</f>
        <v>Electronics</v>
      </c>
      <c r="H12" t="str">
        <f>Raw_Data!H12</f>
        <v>West</v>
      </c>
      <c r="I12" t="str">
        <f>Raw_Data!I12</f>
        <v>Store</v>
      </c>
      <c r="J12" t="str">
        <f>Raw_Data!J12</f>
        <v>Andrei Pop</v>
      </c>
      <c r="K12">
        <f>Raw_Data!K12</f>
        <v>10</v>
      </c>
      <c r="L12" s="12">
        <f>Raw_Data!L12</f>
        <v>195</v>
      </c>
      <c r="M12" s="12">
        <f>Raw_Data!M12</f>
        <v>105</v>
      </c>
      <c r="N12" s="14">
        <f>Raw_Data!N12</f>
        <v>0.1</v>
      </c>
      <c r="O12" t="str">
        <f>Raw_Data!O12</f>
        <v>Card</v>
      </c>
      <c r="P12" t="str">
        <f>Raw_Data!P12</f>
        <v>Completed</v>
      </c>
      <c r="Q12" s="12">
        <f t="shared" si="0"/>
        <v>1950</v>
      </c>
      <c r="R12" s="12">
        <f t="shared" si="1"/>
        <v>1755</v>
      </c>
      <c r="S12" s="12">
        <f t="shared" si="2"/>
        <v>1050</v>
      </c>
      <c r="T12" s="12">
        <f t="shared" si="3"/>
        <v>705</v>
      </c>
      <c r="U12" s="11">
        <f t="shared" si="4"/>
        <v>0.40170940170940173</v>
      </c>
      <c r="V12" t="str">
        <f>IF(OR(A12="",COUNTIF($A$2:$A$301,A12)&gt;1,C12="",D12="",ISERROR(SEARCH("@",D12)),ISERROR(SEARCH(".",D12)),COUNTIF(Lookups!$A$2:$A$11,E12)=0,F12="",H12="",K12&lt;=0,L12&lt;0,M12&lt;0,N12&lt;0,N12&gt;0.5,COUNTIF(Lookups!$K$2:$K$4,P12)=0),"ERROR","VALID")</f>
        <v>VALID</v>
      </c>
      <c r="W12" s="2" t="str">
        <f>IF(A12="","Missing Order ID; ","")&amp;IF(COUNTIF($A$2:$A$301,A12)&gt;1,"Duplicate Order ID; ","")&amp;IF(C12="","Missing Customer ID; ","")&amp;IF(OR(D12="",ISERROR(SEARCH("@",D12)),ISERROR(SEARCH(".",D12))),"Invalid Email; ","")&amp;IF(COUNTIF(Lookups!$A$2:$A$11,E12)=0,"Unknown Product; ","")&amp;IF(F12="","Missing Product Name; ","")&amp;IF(H12="","Missing Region; ","")&amp;IF(K12&lt;=0,"Invalid Quantity; ","")&amp;IF(L12&lt;0,"Invalid Price; ","")&amp;IF(M12&lt;0,"Invalid Cost; ","")&amp;IF(OR(N12&lt;0,N12&gt;0.5),"Invalid Discount; ","")&amp;IF(COUNTIF(Lookups!$K$2:$K$4,P12)=0,"Invalid Status; ","")</f>
        <v/>
      </c>
      <c r="X12" s="15" t="str">
        <f t="shared" si="5"/>
        <v>2025-08</v>
      </c>
      <c r="Y12" t="str">
        <f t="shared" si="6"/>
        <v>Q3</v>
      </c>
      <c r="Z12" t="str">
        <f>IF(R12&gt;=Settings!$B$9,"High Value Customer",IF(R12&gt;=Settings!$B$10,"Medium Value Customer","Standard Customer"))</f>
        <v>Standard Customer</v>
      </c>
      <c r="AA12" t="str">
        <f>IF(R12&gt;=Settings!$B$9,"Large Order",IF(R12&gt;=Settings!$B$10,"Medium Order","Small Order"))</f>
        <v>Small Order</v>
      </c>
      <c r="AB12" t="str">
        <f>IF(N12=0,"No Discount",IF(N12&lt;=0.1,"Low Discount",IF(N12&lt;=Settings!$B$8,"Medium Discount","High Discount")))</f>
        <v>Low Discount</v>
      </c>
      <c r="AC12" t="str">
        <f t="shared" si="7"/>
        <v>Profitable</v>
      </c>
      <c r="AD12" t="str">
        <f>IFERROR(VLOOKUP(E12,Lookups!$A$2:$E$11,2,FALSE),"Product Not Found")</f>
        <v>Headset</v>
      </c>
      <c r="AE12" t="str">
        <f>IFERROR(VLOOKUP(E12,Lookups!$A$2:$E$11,3,FALSE),"Category Not Found")</f>
        <v>Electronics</v>
      </c>
      <c r="AF12" t="str">
        <f>IFERROR(IF(L12=VLOOKUP(E12,Lookups!$A$2:$E$11,4,FALSE),"Price OK","Price Mismatch"),"Product Missing")</f>
        <v>Price OK</v>
      </c>
      <c r="AG12" t="str">
        <f t="shared" si="8"/>
        <v>Valid Email</v>
      </c>
      <c r="AH12" t="str">
        <f t="shared" si="9"/>
        <v>READY FOR REPORTING</v>
      </c>
      <c r="AI12" t="str">
        <f>IF(AND(LEFT(A12,LEN(Settings!$B$13))=Settings!$B$13,LEN(A12)=9),"Valid Format","Invalid Format")</f>
        <v>Valid Format</v>
      </c>
      <c r="AJ12" t="str">
        <f>IF(LEFT(C12,LEN(Settings!$B$14))=Settings!$B$14,"Valid Format","Invalid Format")</f>
        <v>Valid Format</v>
      </c>
      <c r="AK12" t="str">
        <f>IF(COUNTIF(Master_Data!$G$5:$G$14,C12)=1,"Known Customer","Customer Not in Master")</f>
        <v>Customer Not in Master</v>
      </c>
      <c r="AL12" t="str">
        <f>IF(U12&gt;=Settings!$B$11,"Target Met","Below Target")</f>
        <v>Target Met</v>
      </c>
      <c r="AM12" t="str">
        <f>IF(YEAR(B12)=Settings!$B$5,"Correct Year","Wrong Year")</f>
        <v>Correct Year</v>
      </c>
      <c r="AN12">
        <f t="shared" si="10"/>
        <v>4</v>
      </c>
    </row>
    <row r="13" spans="1:40">
      <c r="A13" t="str">
        <f>Raw_Data!A13</f>
        <v>ORD-10012</v>
      </c>
      <c r="B13" s="13">
        <f>Raw_Data!B13</f>
        <v>45736</v>
      </c>
      <c r="C13" t="str">
        <f>Raw_Data!C13</f>
        <v>C1055</v>
      </c>
      <c r="D13" t="str">
        <f>Raw_Data!D13</f>
        <v>client153@example.com</v>
      </c>
      <c r="E13" t="str">
        <f>Raw_Data!E13</f>
        <v>P1002</v>
      </c>
      <c r="F13" t="str">
        <f>Raw_Data!F13</f>
        <v>Wireless Mouse</v>
      </c>
      <c r="G13" t="str">
        <f>Raw_Data!G13</f>
        <v>Accessories</v>
      </c>
      <c r="H13" t="str">
        <f>Raw_Data!H13</f>
        <v>Bucharest</v>
      </c>
      <c r="I13" t="str">
        <f>Raw_Data!I13</f>
        <v>Store</v>
      </c>
      <c r="J13" t="str">
        <f>Raw_Data!J13</f>
        <v>Mihai Radu</v>
      </c>
      <c r="K13">
        <f>Raw_Data!K13</f>
        <v>11</v>
      </c>
      <c r="L13" s="12">
        <f>Raw_Data!L13</f>
        <v>85</v>
      </c>
      <c r="M13" s="12">
        <f>Raw_Data!M13</f>
        <v>44</v>
      </c>
      <c r="N13" s="14">
        <f>Raw_Data!N13</f>
        <v>0</v>
      </c>
      <c r="O13" t="str">
        <f>Raw_Data!O13</f>
        <v>Online Wallet</v>
      </c>
      <c r="P13" t="str">
        <f>Raw_Data!P13</f>
        <v>Cancelled</v>
      </c>
      <c r="Q13" s="12">
        <f t="shared" si="0"/>
        <v>935</v>
      </c>
      <c r="R13" s="12">
        <f t="shared" si="1"/>
        <v>935</v>
      </c>
      <c r="S13" s="12">
        <f t="shared" si="2"/>
        <v>484</v>
      </c>
      <c r="T13" s="12">
        <f t="shared" si="3"/>
        <v>451</v>
      </c>
      <c r="U13" s="11">
        <f t="shared" si="4"/>
        <v>0.4823529411764706</v>
      </c>
      <c r="V13" t="str">
        <f>IF(OR(A13="",COUNTIF($A$2:$A$301,A13)&gt;1,C13="",D13="",ISERROR(SEARCH("@",D13)),ISERROR(SEARCH(".",D13)),COUNTIF(Lookups!$A$2:$A$11,E13)=0,F13="",H13="",K13&lt;=0,L13&lt;0,M13&lt;0,N13&lt;0,N13&gt;0.5,COUNTIF(Lookups!$K$2:$K$4,P13)=0),"ERROR","VALID")</f>
        <v>VALID</v>
      </c>
      <c r="W13" s="2" t="str">
        <f>IF(A13="","Missing Order ID; ","")&amp;IF(COUNTIF($A$2:$A$301,A13)&gt;1,"Duplicate Order ID; ","")&amp;IF(C13="","Missing Customer ID; ","")&amp;IF(OR(D13="",ISERROR(SEARCH("@",D13)),ISERROR(SEARCH(".",D13))),"Invalid Email; ","")&amp;IF(COUNTIF(Lookups!$A$2:$A$11,E13)=0,"Unknown Product; ","")&amp;IF(F13="","Missing Product Name; ","")&amp;IF(H13="","Missing Region; ","")&amp;IF(K13&lt;=0,"Invalid Quantity; ","")&amp;IF(L13&lt;0,"Invalid Price; ","")&amp;IF(M13&lt;0,"Invalid Cost; ","")&amp;IF(OR(N13&lt;0,N13&gt;0.5),"Invalid Discount; ","")&amp;IF(COUNTIF(Lookups!$K$2:$K$4,P13)=0,"Invalid Status; ","")</f>
        <v/>
      </c>
      <c r="X13" s="15" t="str">
        <f t="shared" si="5"/>
        <v>2025-03</v>
      </c>
      <c r="Y13" t="str">
        <f t="shared" si="6"/>
        <v>Q1</v>
      </c>
      <c r="Z13" t="str">
        <f>IF(R13&gt;=Settings!$B$9,"High Value Customer",IF(R13&gt;=Settings!$B$10,"Medium Value Customer","Standard Customer"))</f>
        <v>Standard Customer</v>
      </c>
      <c r="AA13" t="str">
        <f>IF(R13&gt;=Settings!$B$9,"Large Order",IF(R13&gt;=Settings!$B$10,"Medium Order","Small Order"))</f>
        <v>Small Order</v>
      </c>
      <c r="AB13" t="str">
        <f>IF(N13=0,"No Discount",IF(N13&lt;=0.1,"Low Discount",IF(N13&lt;=Settings!$B$8,"Medium Discount","High Discount")))</f>
        <v>No Discount</v>
      </c>
      <c r="AC13" t="str">
        <f t="shared" si="7"/>
        <v>Profitable</v>
      </c>
      <c r="AD13" t="str">
        <f>IFERROR(VLOOKUP(E13,Lookups!$A$2:$E$11,2,FALSE),"Product Not Found")</f>
        <v>Wireless Mouse</v>
      </c>
      <c r="AE13" t="str">
        <f>IFERROR(VLOOKUP(E13,Lookups!$A$2:$E$11,3,FALSE),"Category Not Found")</f>
        <v>Accessories</v>
      </c>
      <c r="AF13" t="str">
        <f>IFERROR(IF(L13=VLOOKUP(E13,Lookups!$A$2:$E$11,4,FALSE),"Price OK","Price Mismatch"),"Product Missing")</f>
        <v>Price OK</v>
      </c>
      <c r="AG13" t="str">
        <f t="shared" si="8"/>
        <v>Valid Email</v>
      </c>
      <c r="AH13" t="str">
        <f t="shared" si="9"/>
        <v>READY FOR REPORTING</v>
      </c>
      <c r="AI13" t="str">
        <f>IF(AND(LEFT(A13,LEN(Settings!$B$13))=Settings!$B$13,LEN(A13)=9),"Valid Format","Invalid Format")</f>
        <v>Valid Format</v>
      </c>
      <c r="AJ13" t="str">
        <f>IF(LEFT(C13,LEN(Settings!$B$14))=Settings!$B$14,"Valid Format","Invalid Format")</f>
        <v>Valid Format</v>
      </c>
      <c r="AK13" t="str">
        <f>IF(COUNTIF(Master_Data!$G$5:$G$14,C13)=1,"Known Customer","Customer Not in Master")</f>
        <v>Customer Not in Master</v>
      </c>
      <c r="AL13" t="str">
        <f>IF(U13&gt;=Settings!$B$11,"Target Met","Below Target")</f>
        <v>Target Met</v>
      </c>
      <c r="AM13" t="str">
        <f>IF(YEAR(B13)=Settings!$B$5,"Correct Year","Wrong Year")</f>
        <v>Correct Year</v>
      </c>
      <c r="AN13">
        <f t="shared" si="10"/>
        <v>4</v>
      </c>
    </row>
    <row r="14" spans="1:40">
      <c r="A14" t="str">
        <f>Raw_Data!A14</f>
        <v>ORD-10013</v>
      </c>
      <c r="B14" s="13">
        <f>Raw_Data!B14</f>
        <v>45786</v>
      </c>
      <c r="C14" t="str">
        <f>Raw_Data!C14</f>
        <v>C1093</v>
      </c>
      <c r="D14" t="str">
        <f>Raw_Data!D14</f>
        <v>client30@example.com</v>
      </c>
      <c r="E14" t="str">
        <f>Raw_Data!E14</f>
        <v>P1009</v>
      </c>
      <c r="F14" t="str">
        <f>Raw_Data!F14</f>
        <v>Webcam</v>
      </c>
      <c r="G14" t="str">
        <f>Raw_Data!G14</f>
        <v>Electronics</v>
      </c>
      <c r="H14" t="str">
        <f>Raw_Data!H14</f>
        <v>West</v>
      </c>
      <c r="I14" t="str">
        <f>Raw_Data!I14</f>
        <v>Store</v>
      </c>
      <c r="J14" t="str">
        <f>Raw_Data!J14</f>
        <v>Elena Stan</v>
      </c>
      <c r="K14">
        <f>Raw_Data!K14</f>
        <v>9</v>
      </c>
      <c r="L14" s="12">
        <f>Raw_Data!L14</f>
        <v>230</v>
      </c>
      <c r="M14" s="12">
        <f>Raw_Data!M14</f>
        <v>132</v>
      </c>
      <c r="N14" s="14">
        <f>Raw_Data!N14</f>
        <v>0</v>
      </c>
      <c r="O14" t="str">
        <f>Raw_Data!O14</f>
        <v>Card</v>
      </c>
      <c r="P14" t="str">
        <f>Raw_Data!P14</f>
        <v>Cancelled</v>
      </c>
      <c r="Q14" s="12">
        <f t="shared" si="0"/>
        <v>2070</v>
      </c>
      <c r="R14" s="12">
        <f t="shared" si="1"/>
        <v>2070</v>
      </c>
      <c r="S14" s="12">
        <f t="shared" si="2"/>
        <v>1188</v>
      </c>
      <c r="T14" s="12">
        <f t="shared" si="3"/>
        <v>882</v>
      </c>
      <c r="U14" s="11">
        <f t="shared" si="4"/>
        <v>0.42608695652173911</v>
      </c>
      <c r="V14" t="str">
        <f>IF(OR(A14="",COUNTIF($A$2:$A$301,A14)&gt;1,C14="",D14="",ISERROR(SEARCH("@",D14)),ISERROR(SEARCH(".",D14)),COUNTIF(Lookups!$A$2:$A$11,E14)=0,F14="",H14="",K14&lt;=0,L14&lt;0,M14&lt;0,N14&lt;0,N14&gt;0.5,COUNTIF(Lookups!$K$2:$K$4,P14)=0),"ERROR","VALID")</f>
        <v>VALID</v>
      </c>
      <c r="W14" s="2" t="str">
        <f>IF(A14="","Missing Order ID; ","")&amp;IF(COUNTIF($A$2:$A$301,A14)&gt;1,"Duplicate Order ID; ","")&amp;IF(C14="","Missing Customer ID; ","")&amp;IF(OR(D14="",ISERROR(SEARCH("@",D14)),ISERROR(SEARCH(".",D14))),"Invalid Email; ","")&amp;IF(COUNTIF(Lookups!$A$2:$A$11,E14)=0,"Unknown Product; ","")&amp;IF(F14="","Missing Product Name; ","")&amp;IF(H14="","Missing Region; ","")&amp;IF(K14&lt;=0,"Invalid Quantity; ","")&amp;IF(L14&lt;0,"Invalid Price; ","")&amp;IF(M14&lt;0,"Invalid Cost; ","")&amp;IF(OR(N14&lt;0,N14&gt;0.5),"Invalid Discount; ","")&amp;IF(COUNTIF(Lookups!$K$2:$K$4,P14)=0,"Invalid Status; ","")</f>
        <v/>
      </c>
      <c r="X14" s="15" t="str">
        <f t="shared" si="5"/>
        <v>2025-05</v>
      </c>
      <c r="Y14" t="str">
        <f t="shared" si="6"/>
        <v>Q2</v>
      </c>
      <c r="Z14" t="str">
        <f>IF(R14&gt;=Settings!$B$9,"High Value Customer",IF(R14&gt;=Settings!$B$10,"Medium Value Customer","Standard Customer"))</f>
        <v>Medium Value Customer</v>
      </c>
      <c r="AA14" t="str">
        <f>IF(R14&gt;=Settings!$B$9,"Large Order",IF(R14&gt;=Settings!$B$10,"Medium Order","Small Order"))</f>
        <v>Medium Order</v>
      </c>
      <c r="AB14" t="str">
        <f>IF(N14=0,"No Discount",IF(N14&lt;=0.1,"Low Discount",IF(N14&lt;=Settings!$B$8,"Medium Discount","High Discount")))</f>
        <v>No Discount</v>
      </c>
      <c r="AC14" t="str">
        <f t="shared" si="7"/>
        <v>Profitable</v>
      </c>
      <c r="AD14" t="str">
        <f>IFERROR(VLOOKUP(E14,Lookups!$A$2:$E$11,2,FALSE),"Product Not Found")</f>
        <v>Webcam</v>
      </c>
      <c r="AE14" t="str">
        <f>IFERROR(VLOOKUP(E14,Lookups!$A$2:$E$11,3,FALSE),"Category Not Found")</f>
        <v>Electronics</v>
      </c>
      <c r="AF14" t="str">
        <f>IFERROR(IF(L14=VLOOKUP(E14,Lookups!$A$2:$E$11,4,FALSE),"Price OK","Price Mismatch"),"Product Missing")</f>
        <v>Price OK</v>
      </c>
      <c r="AG14" t="str">
        <f t="shared" si="8"/>
        <v>Valid Email</v>
      </c>
      <c r="AH14" t="str">
        <f t="shared" si="9"/>
        <v>READY FOR REPORTING</v>
      </c>
      <c r="AI14" t="str">
        <f>IF(AND(LEFT(A14,LEN(Settings!$B$13))=Settings!$B$13,LEN(A14)=9),"Valid Format","Invalid Format")</f>
        <v>Valid Format</v>
      </c>
      <c r="AJ14" t="str">
        <f>IF(LEFT(C14,LEN(Settings!$B$14))=Settings!$B$14,"Valid Format","Invalid Format")</f>
        <v>Valid Format</v>
      </c>
      <c r="AK14" t="str">
        <f>IF(COUNTIF(Master_Data!$G$5:$G$14,C14)=1,"Known Customer","Customer Not in Master")</f>
        <v>Customer Not in Master</v>
      </c>
      <c r="AL14" t="str">
        <f>IF(U14&gt;=Settings!$B$11,"Target Met","Below Target")</f>
        <v>Target Met</v>
      </c>
      <c r="AM14" t="str">
        <f>IF(YEAR(B14)=Settings!$B$5,"Correct Year","Wrong Year")</f>
        <v>Correct Year</v>
      </c>
      <c r="AN14">
        <f t="shared" si="10"/>
        <v>4</v>
      </c>
    </row>
    <row r="15" spans="1:40">
      <c r="A15" t="str">
        <f>Raw_Data!A15</f>
        <v>ORD-10014</v>
      </c>
      <c r="B15" s="13">
        <f>Raw_Data!B15</f>
        <v>45880</v>
      </c>
      <c r="C15" t="str">
        <f>Raw_Data!C15</f>
        <v>C1123</v>
      </c>
      <c r="D15" t="str">
        <f>Raw_Data!D15</f>
        <v>client68@example.com</v>
      </c>
      <c r="E15" t="str">
        <f>Raw_Data!E15</f>
        <v>P1005</v>
      </c>
      <c r="F15" t="str">
        <f>Raw_Data!F15</f>
        <v>24-inch Monitor</v>
      </c>
      <c r="G15" t="str">
        <f>Raw_Data!G15</f>
        <v>Electronics</v>
      </c>
      <c r="H15" t="str">
        <f>Raw_Data!H15</f>
        <v>West</v>
      </c>
      <c r="I15" t="str">
        <f>Raw_Data!I15</f>
        <v>Online</v>
      </c>
      <c r="J15" t="str">
        <f>Raw_Data!J15</f>
        <v>Ioana Pavel</v>
      </c>
      <c r="K15">
        <f>Raw_Data!K15</f>
        <v>3</v>
      </c>
      <c r="L15" s="12">
        <f>Raw_Data!L15</f>
        <v>720</v>
      </c>
      <c r="M15" s="12">
        <f>Raw_Data!M15</f>
        <v>510</v>
      </c>
      <c r="N15" s="14">
        <f>Raw_Data!N15</f>
        <v>0.1</v>
      </c>
      <c r="O15" t="str">
        <f>Raw_Data!O15</f>
        <v>Card</v>
      </c>
      <c r="P15" t="str">
        <f>Raw_Data!P15</f>
        <v>Completed</v>
      </c>
      <c r="Q15" s="12">
        <f t="shared" si="0"/>
        <v>2160</v>
      </c>
      <c r="R15" s="12">
        <f t="shared" si="1"/>
        <v>1944</v>
      </c>
      <c r="S15" s="12">
        <f t="shared" si="2"/>
        <v>1530</v>
      </c>
      <c r="T15" s="12">
        <f t="shared" si="3"/>
        <v>414</v>
      </c>
      <c r="U15" s="11">
        <f t="shared" si="4"/>
        <v>0.21296296296296297</v>
      </c>
      <c r="V15" t="str">
        <f>IF(OR(A15="",COUNTIF($A$2:$A$301,A15)&gt;1,C15="",D15="",ISERROR(SEARCH("@",D15)),ISERROR(SEARCH(".",D15)),COUNTIF(Lookups!$A$2:$A$11,E15)=0,F15="",H15="",K15&lt;=0,L15&lt;0,M15&lt;0,N15&lt;0,N15&gt;0.5,COUNTIF(Lookups!$K$2:$K$4,P15)=0),"ERROR","VALID")</f>
        <v>VALID</v>
      </c>
      <c r="W15" s="2" t="str">
        <f>IF(A15="","Missing Order ID; ","")&amp;IF(COUNTIF($A$2:$A$301,A15)&gt;1,"Duplicate Order ID; ","")&amp;IF(C15="","Missing Customer ID; ","")&amp;IF(OR(D15="",ISERROR(SEARCH("@",D15)),ISERROR(SEARCH(".",D15))),"Invalid Email; ","")&amp;IF(COUNTIF(Lookups!$A$2:$A$11,E15)=0,"Unknown Product; ","")&amp;IF(F15="","Missing Product Name; ","")&amp;IF(H15="","Missing Region; ","")&amp;IF(K15&lt;=0,"Invalid Quantity; ","")&amp;IF(L15&lt;0,"Invalid Price; ","")&amp;IF(M15&lt;0,"Invalid Cost; ","")&amp;IF(OR(N15&lt;0,N15&gt;0.5),"Invalid Discount; ","")&amp;IF(COUNTIF(Lookups!$K$2:$K$4,P15)=0,"Invalid Status; ","")</f>
        <v/>
      </c>
      <c r="X15" s="15" t="str">
        <f t="shared" si="5"/>
        <v>2025-08</v>
      </c>
      <c r="Y15" t="str">
        <f t="shared" si="6"/>
        <v>Q3</v>
      </c>
      <c r="Z15" t="str">
        <f>IF(R15&gt;=Settings!$B$9,"High Value Customer",IF(R15&gt;=Settings!$B$10,"Medium Value Customer","Standard Customer"))</f>
        <v>Standard Customer</v>
      </c>
      <c r="AA15" t="str">
        <f>IF(R15&gt;=Settings!$B$9,"Large Order",IF(R15&gt;=Settings!$B$10,"Medium Order","Small Order"))</f>
        <v>Small Order</v>
      </c>
      <c r="AB15" t="str">
        <f>IF(N15=0,"No Discount",IF(N15&lt;=0.1,"Low Discount",IF(N15&lt;=Settings!$B$8,"Medium Discount","High Discount")))</f>
        <v>Low Discount</v>
      </c>
      <c r="AC15" t="str">
        <f t="shared" si="7"/>
        <v>Profitable</v>
      </c>
      <c r="AD15" t="str">
        <f>IFERROR(VLOOKUP(E15,Lookups!$A$2:$E$11,2,FALSE),"Product Not Found")</f>
        <v>24-inch Monitor</v>
      </c>
      <c r="AE15" t="str">
        <f>IFERROR(VLOOKUP(E15,Lookups!$A$2:$E$11,3,FALSE),"Category Not Found")</f>
        <v>Electronics</v>
      </c>
      <c r="AF15" t="str">
        <f>IFERROR(IF(L15=VLOOKUP(E15,Lookups!$A$2:$E$11,4,FALSE),"Price OK","Price Mismatch"),"Product Missing")</f>
        <v>Price OK</v>
      </c>
      <c r="AG15" t="str">
        <f t="shared" si="8"/>
        <v>Valid Email</v>
      </c>
      <c r="AH15" t="str">
        <f t="shared" si="9"/>
        <v>READY FOR REPORTING</v>
      </c>
      <c r="AI15" t="str">
        <f>IF(AND(LEFT(A15,LEN(Settings!$B$13))=Settings!$B$13,LEN(A15)=9),"Valid Format","Invalid Format")</f>
        <v>Valid Format</v>
      </c>
      <c r="AJ15" t="str">
        <f>IF(LEFT(C15,LEN(Settings!$B$14))=Settings!$B$14,"Valid Format","Invalid Format")</f>
        <v>Valid Format</v>
      </c>
      <c r="AK15" t="str">
        <f>IF(COUNTIF(Master_Data!$G$5:$G$14,C15)=1,"Known Customer","Customer Not in Master")</f>
        <v>Customer Not in Master</v>
      </c>
      <c r="AL15" t="str">
        <f>IF(U15&gt;=Settings!$B$11,"Target Met","Below Target")</f>
        <v>Below Target</v>
      </c>
      <c r="AM15" t="str">
        <f>IF(YEAR(B15)=Settings!$B$5,"Correct Year","Wrong Year")</f>
        <v>Correct Year</v>
      </c>
      <c r="AN15">
        <f t="shared" si="10"/>
        <v>3</v>
      </c>
    </row>
    <row r="16" spans="1:40">
      <c r="A16" t="str">
        <f>Raw_Data!A16</f>
        <v>ORD-10015</v>
      </c>
      <c r="B16" s="13">
        <f>Raw_Data!B16</f>
        <v>45985</v>
      </c>
      <c r="C16" t="str">
        <f>Raw_Data!C16</f>
        <v>C1020</v>
      </c>
      <c r="D16" t="str">
        <f>Raw_Data!D16</f>
        <v>client96@example.com</v>
      </c>
      <c r="E16" t="str">
        <f>Raw_Data!E16</f>
        <v>P1005</v>
      </c>
      <c r="F16" t="str">
        <f>Raw_Data!F16</f>
        <v>24-inch Monitor</v>
      </c>
      <c r="G16" t="str">
        <f>Raw_Data!G16</f>
        <v>Electronics</v>
      </c>
      <c r="H16" t="str">
        <f>Raw_Data!H16</f>
        <v>North</v>
      </c>
      <c r="I16" t="str">
        <f>Raw_Data!I16</f>
        <v>Marketplace</v>
      </c>
      <c r="J16" t="str">
        <f>Raw_Data!J16</f>
        <v>Ioana Pavel</v>
      </c>
      <c r="K16">
        <f>Raw_Data!K16</f>
        <v>9</v>
      </c>
      <c r="L16" s="12">
        <f>Raw_Data!L16</f>
        <v>720</v>
      </c>
      <c r="M16" s="12">
        <f>Raw_Data!M16</f>
        <v>510</v>
      </c>
      <c r="N16" s="14">
        <f>Raw_Data!N16</f>
        <v>0.15</v>
      </c>
      <c r="O16" t="str">
        <f>Raw_Data!O16</f>
        <v>Card</v>
      </c>
      <c r="P16" t="str">
        <f>Raw_Data!P16</f>
        <v>Completed</v>
      </c>
      <c r="Q16" s="12">
        <f t="shared" si="0"/>
        <v>6480</v>
      </c>
      <c r="R16" s="12">
        <f t="shared" si="1"/>
        <v>5508</v>
      </c>
      <c r="S16" s="12">
        <f t="shared" si="2"/>
        <v>4590</v>
      </c>
      <c r="T16" s="12">
        <f t="shared" si="3"/>
        <v>918</v>
      </c>
      <c r="U16" s="11">
        <f t="shared" si="4"/>
        <v>0.16666666666666666</v>
      </c>
      <c r="V16" t="str">
        <f>IF(OR(A16="",COUNTIF($A$2:$A$301,A16)&gt;1,C16="",D16="",ISERROR(SEARCH("@",D16)),ISERROR(SEARCH(".",D16)),COUNTIF(Lookups!$A$2:$A$11,E16)=0,F16="",H16="",K16&lt;=0,L16&lt;0,M16&lt;0,N16&lt;0,N16&gt;0.5,COUNTIF(Lookups!$K$2:$K$4,P16)=0),"ERROR","VALID")</f>
        <v>VALID</v>
      </c>
      <c r="W16" s="2" t="str">
        <f>IF(A16="","Missing Order ID; ","")&amp;IF(COUNTIF($A$2:$A$301,A16)&gt;1,"Duplicate Order ID; ","")&amp;IF(C16="","Missing Customer ID; ","")&amp;IF(OR(D16="",ISERROR(SEARCH("@",D16)),ISERROR(SEARCH(".",D16))),"Invalid Email; ","")&amp;IF(COUNTIF(Lookups!$A$2:$A$11,E16)=0,"Unknown Product; ","")&amp;IF(F16="","Missing Product Name; ","")&amp;IF(H16="","Missing Region; ","")&amp;IF(K16&lt;=0,"Invalid Quantity; ","")&amp;IF(L16&lt;0,"Invalid Price; ","")&amp;IF(M16&lt;0,"Invalid Cost; ","")&amp;IF(OR(N16&lt;0,N16&gt;0.5),"Invalid Discount; ","")&amp;IF(COUNTIF(Lookups!$K$2:$K$4,P16)=0,"Invalid Status; ","")</f>
        <v/>
      </c>
      <c r="X16" s="15" t="str">
        <f t="shared" si="5"/>
        <v>2025-11</v>
      </c>
      <c r="Y16" t="str">
        <f t="shared" si="6"/>
        <v>Q4</v>
      </c>
      <c r="Z16" t="str">
        <f>IF(R16&gt;=Settings!$B$9,"High Value Customer",IF(R16&gt;=Settings!$B$10,"Medium Value Customer","Standard Customer"))</f>
        <v>High Value Customer</v>
      </c>
      <c r="AA16" t="str">
        <f>IF(R16&gt;=Settings!$B$9,"Large Order",IF(R16&gt;=Settings!$B$10,"Medium Order","Small Order"))</f>
        <v>Large Order</v>
      </c>
      <c r="AB16" t="str">
        <f>IF(N16=0,"No Discount",IF(N16&lt;=0.1,"Low Discount",IF(N16&lt;=Settings!$B$8,"Medium Discount","High Discount")))</f>
        <v>Medium Discount</v>
      </c>
      <c r="AC16" t="str">
        <f t="shared" si="7"/>
        <v>Profitable</v>
      </c>
      <c r="AD16" t="str">
        <f>IFERROR(VLOOKUP(E16,Lookups!$A$2:$E$11,2,FALSE),"Product Not Found")</f>
        <v>24-inch Monitor</v>
      </c>
      <c r="AE16" t="str">
        <f>IFERROR(VLOOKUP(E16,Lookups!$A$2:$E$11,3,FALSE),"Category Not Found")</f>
        <v>Electronics</v>
      </c>
      <c r="AF16" t="str">
        <f>IFERROR(IF(L16=VLOOKUP(E16,Lookups!$A$2:$E$11,4,FALSE),"Price OK","Price Mismatch"),"Product Missing")</f>
        <v>Price OK</v>
      </c>
      <c r="AG16" t="str">
        <f t="shared" si="8"/>
        <v>Valid Email</v>
      </c>
      <c r="AH16" t="str">
        <f t="shared" si="9"/>
        <v>READY FOR REPORTING</v>
      </c>
      <c r="AI16" t="str">
        <f>IF(AND(LEFT(A16,LEN(Settings!$B$13))=Settings!$B$13,LEN(A16)=9),"Valid Format","Invalid Format")</f>
        <v>Valid Format</v>
      </c>
      <c r="AJ16" t="str">
        <f>IF(LEFT(C16,LEN(Settings!$B$14))=Settings!$B$14,"Valid Format","Invalid Format")</f>
        <v>Valid Format</v>
      </c>
      <c r="AK16" t="str">
        <f>IF(COUNTIF(Master_Data!$G$5:$G$14,C16)=1,"Known Customer","Customer Not in Master")</f>
        <v>Customer Not in Master</v>
      </c>
      <c r="AL16" t="str">
        <f>IF(U16&gt;=Settings!$B$11,"Target Met","Below Target")</f>
        <v>Below Target</v>
      </c>
      <c r="AM16" t="str">
        <f>IF(YEAR(B16)=Settings!$B$5,"Correct Year","Wrong Year")</f>
        <v>Correct Year</v>
      </c>
      <c r="AN16">
        <f t="shared" si="10"/>
        <v>3</v>
      </c>
    </row>
    <row r="17" spans="1:40">
      <c r="A17" t="str">
        <f>Raw_Data!A17</f>
        <v>ORD-10016</v>
      </c>
      <c r="B17" s="13">
        <f>Raw_Data!B17</f>
        <v>45823</v>
      </c>
      <c r="C17" t="str">
        <f>Raw_Data!C17</f>
        <v>C1119</v>
      </c>
      <c r="D17" t="str">
        <f>Raw_Data!D17</f>
        <v>client93@example.com</v>
      </c>
      <c r="E17" t="str">
        <f>Raw_Data!E17</f>
        <v>P1010</v>
      </c>
      <c r="F17" t="str">
        <f>Raw_Data!F17</f>
        <v>Headset</v>
      </c>
      <c r="G17" t="str">
        <f>Raw_Data!G17</f>
        <v>Electronics</v>
      </c>
      <c r="H17" t="str">
        <f>Raw_Data!H17</f>
        <v>South</v>
      </c>
      <c r="I17" t="str">
        <f>Raw_Data!I17</f>
        <v>Online</v>
      </c>
      <c r="J17" t="str">
        <f>Raw_Data!J17</f>
        <v>Andrei Pop</v>
      </c>
      <c r="K17">
        <f>Raw_Data!K17</f>
        <v>8</v>
      </c>
      <c r="L17" s="12">
        <f>Raw_Data!L17</f>
        <v>195</v>
      </c>
      <c r="M17" s="12">
        <f>Raw_Data!M17</f>
        <v>105</v>
      </c>
      <c r="N17" s="14">
        <f>Raw_Data!N17</f>
        <v>0</v>
      </c>
      <c r="O17" t="str">
        <f>Raw_Data!O17</f>
        <v>Bank Transfer</v>
      </c>
      <c r="P17" t="str">
        <f>Raw_Data!P17</f>
        <v>Completed</v>
      </c>
      <c r="Q17" s="12">
        <f t="shared" si="0"/>
        <v>1560</v>
      </c>
      <c r="R17" s="12">
        <f t="shared" si="1"/>
        <v>1560</v>
      </c>
      <c r="S17" s="12">
        <f t="shared" si="2"/>
        <v>840</v>
      </c>
      <c r="T17" s="12">
        <f t="shared" si="3"/>
        <v>720</v>
      </c>
      <c r="U17" s="11">
        <f t="shared" si="4"/>
        <v>0.46153846153846156</v>
      </c>
      <c r="V17" t="str">
        <f>IF(OR(A17="",COUNTIF($A$2:$A$301,A17)&gt;1,C17="",D17="",ISERROR(SEARCH("@",D17)),ISERROR(SEARCH(".",D17)),COUNTIF(Lookups!$A$2:$A$11,E17)=0,F17="",H17="",K17&lt;=0,L17&lt;0,M17&lt;0,N17&lt;0,N17&gt;0.5,COUNTIF(Lookups!$K$2:$K$4,P17)=0),"ERROR","VALID")</f>
        <v>VALID</v>
      </c>
      <c r="W17" s="2" t="str">
        <f>IF(A17="","Missing Order ID; ","")&amp;IF(COUNTIF($A$2:$A$301,A17)&gt;1,"Duplicate Order ID; ","")&amp;IF(C17="","Missing Customer ID; ","")&amp;IF(OR(D17="",ISERROR(SEARCH("@",D17)),ISERROR(SEARCH(".",D17))),"Invalid Email; ","")&amp;IF(COUNTIF(Lookups!$A$2:$A$11,E17)=0,"Unknown Product; ","")&amp;IF(F17="","Missing Product Name; ","")&amp;IF(H17="","Missing Region; ","")&amp;IF(K17&lt;=0,"Invalid Quantity; ","")&amp;IF(L17&lt;0,"Invalid Price; ","")&amp;IF(M17&lt;0,"Invalid Cost; ","")&amp;IF(OR(N17&lt;0,N17&gt;0.5),"Invalid Discount; ","")&amp;IF(COUNTIF(Lookups!$K$2:$K$4,P17)=0,"Invalid Status; ","")</f>
        <v/>
      </c>
      <c r="X17" s="15" t="str">
        <f t="shared" si="5"/>
        <v>2025-06</v>
      </c>
      <c r="Y17" t="str">
        <f t="shared" si="6"/>
        <v>Q2</v>
      </c>
      <c r="Z17" t="str">
        <f>IF(R17&gt;=Settings!$B$9,"High Value Customer",IF(R17&gt;=Settings!$B$10,"Medium Value Customer","Standard Customer"))</f>
        <v>Standard Customer</v>
      </c>
      <c r="AA17" t="str">
        <f>IF(R17&gt;=Settings!$B$9,"Large Order",IF(R17&gt;=Settings!$B$10,"Medium Order","Small Order"))</f>
        <v>Small Order</v>
      </c>
      <c r="AB17" t="str">
        <f>IF(N17=0,"No Discount",IF(N17&lt;=0.1,"Low Discount",IF(N17&lt;=Settings!$B$8,"Medium Discount","High Discount")))</f>
        <v>No Discount</v>
      </c>
      <c r="AC17" t="str">
        <f t="shared" si="7"/>
        <v>Profitable</v>
      </c>
      <c r="AD17" t="str">
        <f>IFERROR(VLOOKUP(E17,Lookups!$A$2:$E$11,2,FALSE),"Product Not Found")</f>
        <v>Headset</v>
      </c>
      <c r="AE17" t="str">
        <f>IFERROR(VLOOKUP(E17,Lookups!$A$2:$E$11,3,FALSE),"Category Not Found")</f>
        <v>Electronics</v>
      </c>
      <c r="AF17" t="str">
        <f>IFERROR(IF(L17=VLOOKUP(E17,Lookups!$A$2:$E$11,4,FALSE),"Price OK","Price Mismatch"),"Product Missing")</f>
        <v>Price OK</v>
      </c>
      <c r="AG17" t="str">
        <f t="shared" si="8"/>
        <v>Valid Email</v>
      </c>
      <c r="AH17" t="str">
        <f t="shared" si="9"/>
        <v>READY FOR REPORTING</v>
      </c>
      <c r="AI17" t="str">
        <f>IF(AND(LEFT(A17,LEN(Settings!$B$13))=Settings!$B$13,LEN(A17)=9),"Valid Format","Invalid Format")</f>
        <v>Valid Format</v>
      </c>
      <c r="AJ17" t="str">
        <f>IF(LEFT(C17,LEN(Settings!$B$14))=Settings!$B$14,"Valid Format","Invalid Format")</f>
        <v>Valid Format</v>
      </c>
      <c r="AK17" t="str">
        <f>IF(COUNTIF(Master_Data!$G$5:$G$14,C17)=1,"Known Customer","Customer Not in Master")</f>
        <v>Customer Not in Master</v>
      </c>
      <c r="AL17" t="str">
        <f>IF(U17&gt;=Settings!$B$11,"Target Met","Below Target")</f>
        <v>Target Met</v>
      </c>
      <c r="AM17" t="str">
        <f>IF(YEAR(B17)=Settings!$B$5,"Correct Year","Wrong Year")</f>
        <v>Correct Year</v>
      </c>
      <c r="AN17">
        <f t="shared" si="10"/>
        <v>4</v>
      </c>
    </row>
    <row r="18" spans="1:40">
      <c r="A18" t="str">
        <f>Raw_Data!A18</f>
        <v>ORD-10017</v>
      </c>
      <c r="B18" s="13">
        <f>Raw_Data!B18</f>
        <v>45698</v>
      </c>
      <c r="C18" t="str">
        <f>Raw_Data!C18</f>
        <v>C1105</v>
      </c>
      <c r="D18" t="str">
        <f>Raw_Data!D18</f>
        <v>client18@example.com</v>
      </c>
      <c r="E18" t="str">
        <f>Raw_Data!E18</f>
        <v>P1010</v>
      </c>
      <c r="F18" t="str">
        <f>Raw_Data!F18</f>
        <v>Headset</v>
      </c>
      <c r="G18" t="str">
        <f>Raw_Data!G18</f>
        <v>Electronics</v>
      </c>
      <c r="H18" t="str">
        <f>Raw_Data!H18</f>
        <v>West</v>
      </c>
      <c r="I18" t="str">
        <f>Raw_Data!I18</f>
        <v>Online</v>
      </c>
      <c r="J18" t="str">
        <f>Raw_Data!J18</f>
        <v>Maria Ionescu</v>
      </c>
      <c r="K18">
        <f>Raw_Data!K18</f>
        <v>2</v>
      </c>
      <c r="L18" s="12">
        <f>Raw_Data!L18</f>
        <v>195</v>
      </c>
      <c r="M18" s="12">
        <f>Raw_Data!M18</f>
        <v>105</v>
      </c>
      <c r="N18" s="14">
        <f>Raw_Data!N18</f>
        <v>0.2</v>
      </c>
      <c r="O18" t="str">
        <f>Raw_Data!O18</f>
        <v>Online Wallet</v>
      </c>
      <c r="P18" t="str">
        <f>Raw_Data!P18</f>
        <v>Completed</v>
      </c>
      <c r="Q18" s="12">
        <f t="shared" si="0"/>
        <v>390</v>
      </c>
      <c r="R18" s="12">
        <f t="shared" si="1"/>
        <v>312</v>
      </c>
      <c r="S18" s="12">
        <f t="shared" si="2"/>
        <v>210</v>
      </c>
      <c r="T18" s="12">
        <f t="shared" si="3"/>
        <v>102</v>
      </c>
      <c r="U18" s="11">
        <f t="shared" si="4"/>
        <v>0.32692307692307693</v>
      </c>
      <c r="V18" t="str">
        <f>IF(OR(A18="",COUNTIF($A$2:$A$301,A18)&gt;1,C18="",D18="",ISERROR(SEARCH("@",D18)),ISERROR(SEARCH(".",D18)),COUNTIF(Lookups!$A$2:$A$11,E18)=0,F18="",H18="",K18&lt;=0,L18&lt;0,M18&lt;0,N18&lt;0,N18&gt;0.5,COUNTIF(Lookups!$K$2:$K$4,P18)=0),"ERROR","VALID")</f>
        <v>VALID</v>
      </c>
      <c r="W18" s="2" t="str">
        <f>IF(A18="","Missing Order ID; ","")&amp;IF(COUNTIF($A$2:$A$301,A18)&gt;1,"Duplicate Order ID; ","")&amp;IF(C18="","Missing Customer ID; ","")&amp;IF(OR(D18="",ISERROR(SEARCH("@",D18)),ISERROR(SEARCH(".",D18))),"Invalid Email; ","")&amp;IF(COUNTIF(Lookups!$A$2:$A$11,E18)=0,"Unknown Product; ","")&amp;IF(F18="","Missing Product Name; ","")&amp;IF(H18="","Missing Region; ","")&amp;IF(K18&lt;=0,"Invalid Quantity; ","")&amp;IF(L18&lt;0,"Invalid Price; ","")&amp;IF(M18&lt;0,"Invalid Cost; ","")&amp;IF(OR(N18&lt;0,N18&gt;0.5),"Invalid Discount; ","")&amp;IF(COUNTIF(Lookups!$K$2:$K$4,P18)=0,"Invalid Status; ","")</f>
        <v/>
      </c>
      <c r="X18" s="15" t="str">
        <f t="shared" si="5"/>
        <v>2025-02</v>
      </c>
      <c r="Y18" t="str">
        <f t="shared" si="6"/>
        <v>Q1</v>
      </c>
      <c r="Z18" t="str">
        <f>IF(R18&gt;=Settings!$B$9,"High Value Customer",IF(R18&gt;=Settings!$B$10,"Medium Value Customer","Standard Customer"))</f>
        <v>Standard Customer</v>
      </c>
      <c r="AA18" t="str">
        <f>IF(R18&gt;=Settings!$B$9,"Large Order",IF(R18&gt;=Settings!$B$10,"Medium Order","Small Order"))</f>
        <v>Small Order</v>
      </c>
      <c r="AB18" t="str">
        <f>IF(N18=0,"No Discount",IF(N18&lt;=0.1,"Low Discount",IF(N18&lt;=Settings!$B$8,"Medium Discount","High Discount")))</f>
        <v>Medium Discount</v>
      </c>
      <c r="AC18" t="str">
        <f t="shared" si="7"/>
        <v>Profitable</v>
      </c>
      <c r="AD18" t="str">
        <f>IFERROR(VLOOKUP(E18,Lookups!$A$2:$E$11,2,FALSE),"Product Not Found")</f>
        <v>Headset</v>
      </c>
      <c r="AE18" t="str">
        <f>IFERROR(VLOOKUP(E18,Lookups!$A$2:$E$11,3,FALSE),"Category Not Found")</f>
        <v>Electronics</v>
      </c>
      <c r="AF18" t="str">
        <f>IFERROR(IF(L18=VLOOKUP(E18,Lookups!$A$2:$E$11,4,FALSE),"Price OK","Price Mismatch"),"Product Missing")</f>
        <v>Price OK</v>
      </c>
      <c r="AG18" t="str">
        <f t="shared" si="8"/>
        <v>Valid Email</v>
      </c>
      <c r="AH18" t="str">
        <f t="shared" si="9"/>
        <v>READY FOR REPORTING</v>
      </c>
      <c r="AI18" t="str">
        <f>IF(AND(LEFT(A18,LEN(Settings!$B$13))=Settings!$B$13,LEN(A18)=9),"Valid Format","Invalid Format")</f>
        <v>Valid Format</v>
      </c>
      <c r="AJ18" t="str">
        <f>IF(LEFT(C18,LEN(Settings!$B$14))=Settings!$B$14,"Valid Format","Invalid Format")</f>
        <v>Valid Format</v>
      </c>
      <c r="AK18" t="str">
        <f>IF(COUNTIF(Master_Data!$G$5:$G$14,C18)=1,"Known Customer","Customer Not in Master")</f>
        <v>Customer Not in Master</v>
      </c>
      <c r="AL18" t="str">
        <f>IF(U18&gt;=Settings!$B$11,"Target Met","Below Target")</f>
        <v>Target Met</v>
      </c>
      <c r="AM18" t="str">
        <f>IF(YEAR(B18)=Settings!$B$5,"Correct Year","Wrong Year")</f>
        <v>Correct Year</v>
      </c>
      <c r="AN18">
        <f t="shared" si="10"/>
        <v>4</v>
      </c>
    </row>
    <row r="19" spans="1:40">
      <c r="A19" t="str">
        <f>Raw_Data!A19</f>
        <v>ORD-10018</v>
      </c>
      <c r="B19" s="13">
        <f>Raw_Data!B19</f>
        <v>45742</v>
      </c>
      <c r="C19" t="str">
        <f>Raw_Data!C19</f>
        <v>C1055</v>
      </c>
      <c r="D19" t="str">
        <f>Raw_Data!D19</f>
        <v>client55@example.com</v>
      </c>
      <c r="E19" t="str">
        <f>Raw_Data!E19</f>
        <v>P1009</v>
      </c>
      <c r="F19" t="str">
        <f>Raw_Data!F19</f>
        <v>Webcam</v>
      </c>
      <c r="G19" t="str">
        <f>Raw_Data!G19</f>
        <v>Electronics</v>
      </c>
      <c r="H19" t="str">
        <f>Raw_Data!H19</f>
        <v>West</v>
      </c>
      <c r="I19" t="str">
        <f>Raw_Data!I19</f>
        <v>Marketplace</v>
      </c>
      <c r="J19" t="str">
        <f>Raw_Data!J19</f>
        <v>Maria Ionescu</v>
      </c>
      <c r="K19">
        <f>Raw_Data!K19</f>
        <v>5</v>
      </c>
      <c r="L19" s="12">
        <f>Raw_Data!L19</f>
        <v>230</v>
      </c>
      <c r="M19" s="12">
        <f>Raw_Data!M19</f>
        <v>132</v>
      </c>
      <c r="N19" s="14">
        <f>Raw_Data!N19</f>
        <v>0.15</v>
      </c>
      <c r="O19" t="str">
        <f>Raw_Data!O19</f>
        <v>Cash</v>
      </c>
      <c r="P19" t="str">
        <f>Raw_Data!P19</f>
        <v>Returned</v>
      </c>
      <c r="Q19" s="12">
        <f t="shared" si="0"/>
        <v>1150</v>
      </c>
      <c r="R19" s="12">
        <f t="shared" si="1"/>
        <v>977.5</v>
      </c>
      <c r="S19" s="12">
        <f t="shared" si="2"/>
        <v>660</v>
      </c>
      <c r="T19" s="12">
        <f t="shared" si="3"/>
        <v>317.5</v>
      </c>
      <c r="U19" s="11">
        <f t="shared" si="4"/>
        <v>0.32480818414322249</v>
      </c>
      <c r="V19" t="str">
        <f>IF(OR(A19="",COUNTIF($A$2:$A$301,A19)&gt;1,C19="",D19="",ISERROR(SEARCH("@",D19)),ISERROR(SEARCH(".",D19)),COUNTIF(Lookups!$A$2:$A$11,E19)=0,F19="",H19="",K19&lt;=0,L19&lt;0,M19&lt;0,N19&lt;0,N19&gt;0.5,COUNTIF(Lookups!$K$2:$K$4,P19)=0),"ERROR","VALID")</f>
        <v>VALID</v>
      </c>
      <c r="W19" s="2" t="str">
        <f>IF(A19="","Missing Order ID; ","")&amp;IF(COUNTIF($A$2:$A$301,A19)&gt;1,"Duplicate Order ID; ","")&amp;IF(C19="","Missing Customer ID; ","")&amp;IF(OR(D19="",ISERROR(SEARCH("@",D19)),ISERROR(SEARCH(".",D19))),"Invalid Email; ","")&amp;IF(COUNTIF(Lookups!$A$2:$A$11,E19)=0,"Unknown Product; ","")&amp;IF(F19="","Missing Product Name; ","")&amp;IF(H19="","Missing Region; ","")&amp;IF(K19&lt;=0,"Invalid Quantity; ","")&amp;IF(L19&lt;0,"Invalid Price; ","")&amp;IF(M19&lt;0,"Invalid Cost; ","")&amp;IF(OR(N19&lt;0,N19&gt;0.5),"Invalid Discount; ","")&amp;IF(COUNTIF(Lookups!$K$2:$K$4,P19)=0,"Invalid Status; ","")</f>
        <v/>
      </c>
      <c r="X19" s="15" t="str">
        <f t="shared" si="5"/>
        <v>2025-03</v>
      </c>
      <c r="Y19" t="str">
        <f t="shared" si="6"/>
        <v>Q1</v>
      </c>
      <c r="Z19" t="str">
        <f>IF(R19&gt;=Settings!$B$9,"High Value Customer",IF(R19&gt;=Settings!$B$10,"Medium Value Customer","Standard Customer"))</f>
        <v>Standard Customer</v>
      </c>
      <c r="AA19" t="str">
        <f>IF(R19&gt;=Settings!$B$9,"Large Order",IF(R19&gt;=Settings!$B$10,"Medium Order","Small Order"))</f>
        <v>Small Order</v>
      </c>
      <c r="AB19" t="str">
        <f>IF(N19=0,"No Discount",IF(N19&lt;=0.1,"Low Discount",IF(N19&lt;=Settings!$B$8,"Medium Discount","High Discount")))</f>
        <v>Medium Discount</v>
      </c>
      <c r="AC19" t="str">
        <f t="shared" si="7"/>
        <v>Profitable</v>
      </c>
      <c r="AD19" t="str">
        <f>IFERROR(VLOOKUP(E19,Lookups!$A$2:$E$11,2,FALSE),"Product Not Found")</f>
        <v>Webcam</v>
      </c>
      <c r="AE19" t="str">
        <f>IFERROR(VLOOKUP(E19,Lookups!$A$2:$E$11,3,FALSE),"Category Not Found")</f>
        <v>Electronics</v>
      </c>
      <c r="AF19" t="str">
        <f>IFERROR(IF(L19=VLOOKUP(E19,Lookups!$A$2:$E$11,4,FALSE),"Price OK","Price Mismatch"),"Product Missing")</f>
        <v>Price OK</v>
      </c>
      <c r="AG19" t="str">
        <f t="shared" si="8"/>
        <v>Valid Email</v>
      </c>
      <c r="AH19" t="str">
        <f t="shared" si="9"/>
        <v>READY FOR REPORTING</v>
      </c>
      <c r="AI19" t="str">
        <f>IF(AND(LEFT(A19,LEN(Settings!$B$13))=Settings!$B$13,LEN(A19)=9),"Valid Format","Invalid Format")</f>
        <v>Valid Format</v>
      </c>
      <c r="AJ19" t="str">
        <f>IF(LEFT(C19,LEN(Settings!$B$14))=Settings!$B$14,"Valid Format","Invalid Format")</f>
        <v>Valid Format</v>
      </c>
      <c r="AK19" t="str">
        <f>IF(COUNTIF(Master_Data!$G$5:$G$14,C19)=1,"Known Customer","Customer Not in Master")</f>
        <v>Customer Not in Master</v>
      </c>
      <c r="AL19" t="str">
        <f>IF(U19&gt;=Settings!$B$11,"Target Met","Below Target")</f>
        <v>Target Met</v>
      </c>
      <c r="AM19" t="str">
        <f>IF(YEAR(B19)=Settings!$B$5,"Correct Year","Wrong Year")</f>
        <v>Correct Year</v>
      </c>
      <c r="AN19">
        <f t="shared" si="10"/>
        <v>4</v>
      </c>
    </row>
    <row r="20" spans="1:40">
      <c r="A20" t="str">
        <f>Raw_Data!A20</f>
        <v>ORD-10019</v>
      </c>
      <c r="B20" s="13">
        <f>Raw_Data!B20</f>
        <v>46001</v>
      </c>
      <c r="C20" t="str">
        <f>Raw_Data!C20</f>
        <v>C1116</v>
      </c>
      <c r="D20" t="str">
        <f>Raw_Data!D20</f>
        <v>client133@example.com</v>
      </c>
      <c r="E20" t="str">
        <f>Raw_Data!E20</f>
        <v>P1007</v>
      </c>
      <c r="F20" t="str">
        <f>Raw_Data!F20</f>
        <v>Office Chair</v>
      </c>
      <c r="G20" t="str">
        <f>Raw_Data!G20</f>
        <v>Furniture</v>
      </c>
      <c r="H20" t="str">
        <f>Raw_Data!H20</f>
        <v>East</v>
      </c>
      <c r="I20" t="str">
        <f>Raw_Data!I20</f>
        <v>Online</v>
      </c>
      <c r="J20" t="str">
        <f>Raw_Data!J20</f>
        <v>Maria Ionescu</v>
      </c>
      <c r="K20">
        <f>Raw_Data!K20</f>
        <v>11</v>
      </c>
      <c r="L20" s="12">
        <f>Raw_Data!L20</f>
        <v>840</v>
      </c>
      <c r="M20" s="12">
        <f>Raw_Data!M20</f>
        <v>590</v>
      </c>
      <c r="N20" s="14">
        <f>Raw_Data!N20</f>
        <v>0.05</v>
      </c>
      <c r="O20" t="str">
        <f>Raw_Data!O20</f>
        <v>Bank Transfer</v>
      </c>
      <c r="P20" t="str">
        <f>Raw_Data!P20</f>
        <v>Completed</v>
      </c>
      <c r="Q20" s="12">
        <f t="shared" si="0"/>
        <v>9240</v>
      </c>
      <c r="R20" s="12">
        <f t="shared" si="1"/>
        <v>8778</v>
      </c>
      <c r="S20" s="12">
        <f t="shared" si="2"/>
        <v>6490</v>
      </c>
      <c r="T20" s="12">
        <f t="shared" si="3"/>
        <v>2288</v>
      </c>
      <c r="U20" s="11">
        <f t="shared" si="4"/>
        <v>0.26065162907268169</v>
      </c>
      <c r="V20" t="str">
        <f>IF(OR(A20="",COUNTIF($A$2:$A$301,A20)&gt;1,C20="",D20="",ISERROR(SEARCH("@",D20)),ISERROR(SEARCH(".",D20)),COUNTIF(Lookups!$A$2:$A$11,E20)=0,F20="",H20="",K20&lt;=0,L20&lt;0,M20&lt;0,N20&lt;0,N20&gt;0.5,COUNTIF(Lookups!$K$2:$K$4,P20)=0),"ERROR","VALID")</f>
        <v>VALID</v>
      </c>
      <c r="W20" s="2" t="str">
        <f>IF(A20="","Missing Order ID; ","")&amp;IF(COUNTIF($A$2:$A$301,A20)&gt;1,"Duplicate Order ID; ","")&amp;IF(C20="","Missing Customer ID; ","")&amp;IF(OR(D20="",ISERROR(SEARCH("@",D20)),ISERROR(SEARCH(".",D20))),"Invalid Email; ","")&amp;IF(COUNTIF(Lookups!$A$2:$A$11,E20)=0,"Unknown Product; ","")&amp;IF(F20="","Missing Product Name; ","")&amp;IF(H20="","Missing Region; ","")&amp;IF(K20&lt;=0,"Invalid Quantity; ","")&amp;IF(L20&lt;0,"Invalid Price; ","")&amp;IF(M20&lt;0,"Invalid Cost; ","")&amp;IF(OR(N20&lt;0,N20&gt;0.5),"Invalid Discount; ","")&amp;IF(COUNTIF(Lookups!$K$2:$K$4,P20)=0,"Invalid Status; ","")</f>
        <v/>
      </c>
      <c r="X20" s="15" t="str">
        <f t="shared" si="5"/>
        <v>2025-12</v>
      </c>
      <c r="Y20" t="str">
        <f t="shared" si="6"/>
        <v>Q4</v>
      </c>
      <c r="Z20" t="str">
        <f>IF(R20&gt;=Settings!$B$9,"High Value Customer",IF(R20&gt;=Settings!$B$10,"Medium Value Customer","Standard Customer"))</f>
        <v>High Value Customer</v>
      </c>
      <c r="AA20" t="str">
        <f>IF(R20&gt;=Settings!$B$9,"Large Order",IF(R20&gt;=Settings!$B$10,"Medium Order","Small Order"))</f>
        <v>Large Order</v>
      </c>
      <c r="AB20" t="str">
        <f>IF(N20=0,"No Discount",IF(N20&lt;=0.1,"Low Discount",IF(N20&lt;=Settings!$B$8,"Medium Discount","High Discount")))</f>
        <v>Low Discount</v>
      </c>
      <c r="AC20" t="str">
        <f t="shared" si="7"/>
        <v>Profitable</v>
      </c>
      <c r="AD20" t="str">
        <f>IFERROR(VLOOKUP(E20,Lookups!$A$2:$E$11,2,FALSE),"Product Not Found")</f>
        <v>Office Chair</v>
      </c>
      <c r="AE20" t="str">
        <f>IFERROR(VLOOKUP(E20,Lookups!$A$2:$E$11,3,FALSE),"Category Not Found")</f>
        <v>Furniture</v>
      </c>
      <c r="AF20" t="str">
        <f>IFERROR(IF(L20=VLOOKUP(E20,Lookups!$A$2:$E$11,4,FALSE),"Price OK","Price Mismatch"),"Product Missing")</f>
        <v>Price OK</v>
      </c>
      <c r="AG20" t="str">
        <f t="shared" si="8"/>
        <v>Valid Email</v>
      </c>
      <c r="AH20" t="str">
        <f t="shared" si="9"/>
        <v>READY FOR REPORTING</v>
      </c>
      <c r="AI20" t="str">
        <f>IF(AND(LEFT(A20,LEN(Settings!$B$13))=Settings!$B$13,LEN(A20)=9),"Valid Format","Invalid Format")</f>
        <v>Valid Format</v>
      </c>
      <c r="AJ20" t="str">
        <f>IF(LEFT(C20,LEN(Settings!$B$14))=Settings!$B$14,"Valid Format","Invalid Format")</f>
        <v>Valid Format</v>
      </c>
      <c r="AK20" t="str">
        <f>IF(COUNTIF(Master_Data!$G$5:$G$14,C20)=1,"Known Customer","Customer Not in Master")</f>
        <v>Customer Not in Master</v>
      </c>
      <c r="AL20" t="str">
        <f>IF(U20&gt;=Settings!$B$11,"Target Met","Below Target")</f>
        <v>Target Met</v>
      </c>
      <c r="AM20" t="str">
        <f>IF(YEAR(B20)=Settings!$B$5,"Correct Year","Wrong Year")</f>
        <v>Correct Year</v>
      </c>
      <c r="AN20">
        <f t="shared" si="10"/>
        <v>4</v>
      </c>
    </row>
    <row r="21" spans="1:40">
      <c r="A21" t="str">
        <f>Raw_Data!A21</f>
        <v>ORD-10020</v>
      </c>
      <c r="B21" s="13">
        <f>Raw_Data!B21</f>
        <v>45831</v>
      </c>
      <c r="C21" t="str">
        <f>Raw_Data!C21</f>
        <v>C1030</v>
      </c>
      <c r="D21" t="str">
        <f>Raw_Data!D21</f>
        <v>client151@example.com</v>
      </c>
      <c r="E21" t="str">
        <f>Raw_Data!E21</f>
        <v>P1002</v>
      </c>
      <c r="F21" t="str">
        <f>Raw_Data!F21</f>
        <v>Wireless Mouse</v>
      </c>
      <c r="G21" t="str">
        <f>Raw_Data!G21</f>
        <v>Accessories</v>
      </c>
      <c r="H21" t="str">
        <f>Raw_Data!H21</f>
        <v>North</v>
      </c>
      <c r="I21" t="str">
        <f>Raw_Data!I21</f>
        <v>Online</v>
      </c>
      <c r="J21" t="str">
        <f>Raw_Data!J21</f>
        <v>Andrei Pop</v>
      </c>
      <c r="K21">
        <f>Raw_Data!K21</f>
        <v>1</v>
      </c>
      <c r="L21" s="12">
        <f>Raw_Data!L21</f>
        <v>85</v>
      </c>
      <c r="M21" s="12">
        <f>Raw_Data!M21</f>
        <v>44</v>
      </c>
      <c r="N21" s="14">
        <f>Raw_Data!N21</f>
        <v>0.15</v>
      </c>
      <c r="O21" t="str">
        <f>Raw_Data!O21</f>
        <v>Card</v>
      </c>
      <c r="P21" t="str">
        <f>Raw_Data!P21</f>
        <v>Returned</v>
      </c>
      <c r="Q21" s="12">
        <f t="shared" si="0"/>
        <v>85</v>
      </c>
      <c r="R21" s="12">
        <f t="shared" si="1"/>
        <v>72.25</v>
      </c>
      <c r="S21" s="12">
        <f t="shared" si="2"/>
        <v>44</v>
      </c>
      <c r="T21" s="12">
        <f t="shared" si="3"/>
        <v>28.25</v>
      </c>
      <c r="U21" s="11">
        <f t="shared" si="4"/>
        <v>0.39100346020761245</v>
      </c>
      <c r="V21" t="str">
        <f>IF(OR(A21="",COUNTIF($A$2:$A$301,A21)&gt;1,C21="",D21="",ISERROR(SEARCH("@",D21)),ISERROR(SEARCH(".",D21)),COUNTIF(Lookups!$A$2:$A$11,E21)=0,F21="",H21="",K21&lt;=0,L21&lt;0,M21&lt;0,N21&lt;0,N21&gt;0.5,COUNTIF(Lookups!$K$2:$K$4,P21)=0),"ERROR","VALID")</f>
        <v>VALID</v>
      </c>
      <c r="W21" s="2" t="str">
        <f>IF(A21="","Missing Order ID; ","")&amp;IF(COUNTIF($A$2:$A$301,A21)&gt;1,"Duplicate Order ID; ","")&amp;IF(C21="","Missing Customer ID; ","")&amp;IF(OR(D21="",ISERROR(SEARCH("@",D21)),ISERROR(SEARCH(".",D21))),"Invalid Email; ","")&amp;IF(COUNTIF(Lookups!$A$2:$A$11,E21)=0,"Unknown Product; ","")&amp;IF(F21="","Missing Product Name; ","")&amp;IF(H21="","Missing Region; ","")&amp;IF(K21&lt;=0,"Invalid Quantity; ","")&amp;IF(L21&lt;0,"Invalid Price; ","")&amp;IF(M21&lt;0,"Invalid Cost; ","")&amp;IF(OR(N21&lt;0,N21&gt;0.5),"Invalid Discount; ","")&amp;IF(COUNTIF(Lookups!$K$2:$K$4,P21)=0,"Invalid Status; ","")</f>
        <v/>
      </c>
      <c r="X21" s="15" t="str">
        <f t="shared" si="5"/>
        <v>2025-06</v>
      </c>
      <c r="Y21" t="str">
        <f t="shared" si="6"/>
        <v>Q2</v>
      </c>
      <c r="Z21" t="str">
        <f>IF(R21&gt;=Settings!$B$9,"High Value Customer",IF(R21&gt;=Settings!$B$10,"Medium Value Customer","Standard Customer"))</f>
        <v>Standard Customer</v>
      </c>
      <c r="AA21" t="str">
        <f>IF(R21&gt;=Settings!$B$9,"Large Order",IF(R21&gt;=Settings!$B$10,"Medium Order","Small Order"))</f>
        <v>Small Order</v>
      </c>
      <c r="AB21" t="str">
        <f>IF(N21=0,"No Discount",IF(N21&lt;=0.1,"Low Discount",IF(N21&lt;=Settings!$B$8,"Medium Discount","High Discount")))</f>
        <v>Medium Discount</v>
      </c>
      <c r="AC21" t="str">
        <f t="shared" si="7"/>
        <v>Profitable</v>
      </c>
      <c r="AD21" t="str">
        <f>IFERROR(VLOOKUP(E21,Lookups!$A$2:$E$11,2,FALSE),"Product Not Found")</f>
        <v>Wireless Mouse</v>
      </c>
      <c r="AE21" t="str">
        <f>IFERROR(VLOOKUP(E21,Lookups!$A$2:$E$11,3,FALSE),"Category Not Found")</f>
        <v>Accessories</v>
      </c>
      <c r="AF21" t="str">
        <f>IFERROR(IF(L21=VLOOKUP(E21,Lookups!$A$2:$E$11,4,FALSE),"Price OK","Price Mismatch"),"Product Missing")</f>
        <v>Price OK</v>
      </c>
      <c r="AG21" t="str">
        <f t="shared" si="8"/>
        <v>Valid Email</v>
      </c>
      <c r="AH21" t="str">
        <f t="shared" si="9"/>
        <v>READY FOR REPORTING</v>
      </c>
      <c r="AI21" t="str">
        <f>IF(AND(LEFT(A21,LEN(Settings!$B$13))=Settings!$B$13,LEN(A21)=9),"Valid Format","Invalid Format")</f>
        <v>Valid Format</v>
      </c>
      <c r="AJ21" t="str">
        <f>IF(LEFT(C21,LEN(Settings!$B$14))=Settings!$B$14,"Valid Format","Invalid Format")</f>
        <v>Valid Format</v>
      </c>
      <c r="AK21" t="str">
        <f>IF(COUNTIF(Master_Data!$G$5:$G$14,C21)=1,"Known Customer","Customer Not in Master")</f>
        <v>Customer Not in Master</v>
      </c>
      <c r="AL21" t="str">
        <f>IF(U21&gt;=Settings!$B$11,"Target Met","Below Target")</f>
        <v>Target Met</v>
      </c>
      <c r="AM21" t="str">
        <f>IF(YEAR(B21)=Settings!$B$5,"Correct Year","Wrong Year")</f>
        <v>Correct Year</v>
      </c>
      <c r="AN21">
        <f t="shared" si="10"/>
        <v>4</v>
      </c>
    </row>
    <row r="22" spans="1:40">
      <c r="A22" t="str">
        <f>Raw_Data!A22</f>
        <v>ORD-10021</v>
      </c>
      <c r="B22" s="13">
        <f>Raw_Data!B22</f>
        <v>45692</v>
      </c>
      <c r="C22" t="str">
        <f>Raw_Data!C22</f>
        <v>C1066</v>
      </c>
      <c r="D22" t="str">
        <f>Raw_Data!D22</f>
        <v>client61@example.com</v>
      </c>
      <c r="E22" t="str">
        <f>Raw_Data!E22</f>
        <v>P1004</v>
      </c>
      <c r="F22" t="str">
        <f>Raw_Data!F22</f>
        <v>USB-C Hub</v>
      </c>
      <c r="G22" t="str">
        <f>Raw_Data!G22</f>
        <v>Accessories</v>
      </c>
      <c r="H22" t="str">
        <f>Raw_Data!H22</f>
        <v>South</v>
      </c>
      <c r="I22" t="str">
        <f>Raw_Data!I22</f>
        <v>Marketplace</v>
      </c>
      <c r="J22" t="str">
        <f>Raw_Data!J22</f>
        <v>Mihai Radu</v>
      </c>
      <c r="K22">
        <f>Raw_Data!K22</f>
        <v>1</v>
      </c>
      <c r="L22" s="12">
        <f>Raw_Data!L22</f>
        <v>175</v>
      </c>
      <c r="M22" s="12">
        <f>Raw_Data!M22</f>
        <v>98</v>
      </c>
      <c r="N22" s="14">
        <f>Raw_Data!N22</f>
        <v>0.05</v>
      </c>
      <c r="O22" t="str">
        <f>Raw_Data!O22</f>
        <v>Bank Transfer</v>
      </c>
      <c r="P22" t="str">
        <f>Raw_Data!P22</f>
        <v>Completed</v>
      </c>
      <c r="Q22" s="12">
        <f t="shared" si="0"/>
        <v>175</v>
      </c>
      <c r="R22" s="12">
        <f t="shared" si="1"/>
        <v>166.25</v>
      </c>
      <c r="S22" s="12">
        <f t="shared" si="2"/>
        <v>98</v>
      </c>
      <c r="T22" s="12">
        <f t="shared" si="3"/>
        <v>68.25</v>
      </c>
      <c r="U22" s="11">
        <f t="shared" si="4"/>
        <v>0.41052631578947368</v>
      </c>
      <c r="V22" t="str">
        <f>IF(OR(A22="",COUNTIF($A$2:$A$301,A22)&gt;1,C22="",D22="",ISERROR(SEARCH("@",D22)),ISERROR(SEARCH(".",D22)),COUNTIF(Lookups!$A$2:$A$11,E22)=0,F22="",H22="",K22&lt;=0,L22&lt;0,M22&lt;0,N22&lt;0,N22&gt;0.5,COUNTIF(Lookups!$K$2:$K$4,P22)=0),"ERROR","VALID")</f>
        <v>VALID</v>
      </c>
      <c r="W22" s="2" t="str">
        <f>IF(A22="","Missing Order ID; ","")&amp;IF(COUNTIF($A$2:$A$301,A22)&gt;1,"Duplicate Order ID; ","")&amp;IF(C22="","Missing Customer ID; ","")&amp;IF(OR(D22="",ISERROR(SEARCH("@",D22)),ISERROR(SEARCH(".",D22))),"Invalid Email; ","")&amp;IF(COUNTIF(Lookups!$A$2:$A$11,E22)=0,"Unknown Product; ","")&amp;IF(F22="","Missing Product Name; ","")&amp;IF(H22="","Missing Region; ","")&amp;IF(K22&lt;=0,"Invalid Quantity; ","")&amp;IF(L22&lt;0,"Invalid Price; ","")&amp;IF(M22&lt;0,"Invalid Cost; ","")&amp;IF(OR(N22&lt;0,N22&gt;0.5),"Invalid Discount; ","")&amp;IF(COUNTIF(Lookups!$K$2:$K$4,P22)=0,"Invalid Status; ","")</f>
        <v/>
      </c>
      <c r="X22" s="15" t="str">
        <f t="shared" si="5"/>
        <v>2025-02</v>
      </c>
      <c r="Y22" t="str">
        <f t="shared" si="6"/>
        <v>Q1</v>
      </c>
      <c r="Z22" t="str">
        <f>IF(R22&gt;=Settings!$B$9,"High Value Customer",IF(R22&gt;=Settings!$B$10,"Medium Value Customer","Standard Customer"))</f>
        <v>Standard Customer</v>
      </c>
      <c r="AA22" t="str">
        <f>IF(R22&gt;=Settings!$B$9,"Large Order",IF(R22&gt;=Settings!$B$10,"Medium Order","Small Order"))</f>
        <v>Small Order</v>
      </c>
      <c r="AB22" t="str">
        <f>IF(N22=0,"No Discount",IF(N22&lt;=0.1,"Low Discount",IF(N22&lt;=Settings!$B$8,"Medium Discount","High Discount")))</f>
        <v>Low Discount</v>
      </c>
      <c r="AC22" t="str">
        <f t="shared" si="7"/>
        <v>Profitable</v>
      </c>
      <c r="AD22" t="str">
        <f>IFERROR(VLOOKUP(E22,Lookups!$A$2:$E$11,2,FALSE),"Product Not Found")</f>
        <v>USB-C Hub</v>
      </c>
      <c r="AE22" t="str">
        <f>IFERROR(VLOOKUP(E22,Lookups!$A$2:$E$11,3,FALSE),"Category Not Found")</f>
        <v>Accessories</v>
      </c>
      <c r="AF22" t="str">
        <f>IFERROR(IF(L22=VLOOKUP(E22,Lookups!$A$2:$E$11,4,FALSE),"Price OK","Price Mismatch"),"Product Missing")</f>
        <v>Price OK</v>
      </c>
      <c r="AG22" t="str">
        <f t="shared" si="8"/>
        <v>Valid Email</v>
      </c>
      <c r="AH22" t="str">
        <f t="shared" si="9"/>
        <v>READY FOR REPORTING</v>
      </c>
      <c r="AI22" t="str">
        <f>IF(AND(LEFT(A22,LEN(Settings!$B$13))=Settings!$B$13,LEN(A22)=9),"Valid Format","Invalid Format")</f>
        <v>Valid Format</v>
      </c>
      <c r="AJ22" t="str">
        <f>IF(LEFT(C22,LEN(Settings!$B$14))=Settings!$B$14,"Valid Format","Invalid Format")</f>
        <v>Valid Format</v>
      </c>
      <c r="AK22" t="str">
        <f>IF(COUNTIF(Master_Data!$G$5:$G$14,C22)=1,"Known Customer","Customer Not in Master")</f>
        <v>Customer Not in Master</v>
      </c>
      <c r="AL22" t="str">
        <f>IF(U22&gt;=Settings!$B$11,"Target Met","Below Target")</f>
        <v>Target Met</v>
      </c>
      <c r="AM22" t="str">
        <f>IF(YEAR(B22)=Settings!$B$5,"Correct Year","Wrong Year")</f>
        <v>Correct Year</v>
      </c>
      <c r="AN22">
        <f t="shared" si="10"/>
        <v>4</v>
      </c>
    </row>
    <row r="23" spans="1:40">
      <c r="A23" t="str">
        <f>Raw_Data!A23</f>
        <v>ORD-10022</v>
      </c>
      <c r="B23" s="13">
        <f>Raw_Data!B23</f>
        <v>45725</v>
      </c>
      <c r="C23" t="str">
        <f>Raw_Data!C23</f>
        <v>C1061</v>
      </c>
      <c r="D23" t="str">
        <f>Raw_Data!D23</f>
        <v>client63@example.com</v>
      </c>
      <c r="E23" t="str">
        <f>Raw_Data!E23</f>
        <v>P1009</v>
      </c>
      <c r="F23" t="str">
        <f>Raw_Data!F23</f>
        <v>Webcam</v>
      </c>
      <c r="G23" t="str">
        <f>Raw_Data!G23</f>
        <v>Electronics</v>
      </c>
      <c r="H23" t="str">
        <f>Raw_Data!H23</f>
        <v>East</v>
      </c>
      <c r="I23" t="str">
        <f>Raw_Data!I23</f>
        <v>Store</v>
      </c>
      <c r="J23" t="str">
        <f>Raw_Data!J23</f>
        <v>Maria Ionescu</v>
      </c>
      <c r="K23">
        <f>Raw_Data!K23</f>
        <v>12</v>
      </c>
      <c r="L23" s="12">
        <f>Raw_Data!L23</f>
        <v>230</v>
      </c>
      <c r="M23" s="12">
        <f>Raw_Data!M23</f>
        <v>132</v>
      </c>
      <c r="N23" s="14">
        <f>Raw_Data!N23</f>
        <v>0.15</v>
      </c>
      <c r="O23" t="str">
        <f>Raw_Data!O23</f>
        <v>Card</v>
      </c>
      <c r="P23" t="str">
        <f>Raw_Data!P23</f>
        <v>Returned</v>
      </c>
      <c r="Q23" s="12">
        <f t="shared" si="0"/>
        <v>2760</v>
      </c>
      <c r="R23" s="12">
        <f t="shared" si="1"/>
        <v>2346</v>
      </c>
      <c r="S23" s="12">
        <f t="shared" si="2"/>
        <v>1584</v>
      </c>
      <c r="T23" s="12">
        <f t="shared" si="3"/>
        <v>762</v>
      </c>
      <c r="U23" s="11">
        <f t="shared" si="4"/>
        <v>0.32480818414322249</v>
      </c>
      <c r="V23" t="str">
        <f>IF(OR(A23="",COUNTIF($A$2:$A$301,A23)&gt;1,C23="",D23="",ISERROR(SEARCH("@",D23)),ISERROR(SEARCH(".",D23)),COUNTIF(Lookups!$A$2:$A$11,E23)=0,F23="",H23="",K23&lt;=0,L23&lt;0,M23&lt;0,N23&lt;0,N23&gt;0.5,COUNTIF(Lookups!$K$2:$K$4,P23)=0),"ERROR","VALID")</f>
        <v>VALID</v>
      </c>
      <c r="W23" s="2" t="str">
        <f>IF(A23="","Missing Order ID; ","")&amp;IF(COUNTIF($A$2:$A$301,A23)&gt;1,"Duplicate Order ID; ","")&amp;IF(C23="","Missing Customer ID; ","")&amp;IF(OR(D23="",ISERROR(SEARCH("@",D23)),ISERROR(SEARCH(".",D23))),"Invalid Email; ","")&amp;IF(COUNTIF(Lookups!$A$2:$A$11,E23)=0,"Unknown Product; ","")&amp;IF(F23="","Missing Product Name; ","")&amp;IF(H23="","Missing Region; ","")&amp;IF(K23&lt;=0,"Invalid Quantity; ","")&amp;IF(L23&lt;0,"Invalid Price; ","")&amp;IF(M23&lt;0,"Invalid Cost; ","")&amp;IF(OR(N23&lt;0,N23&gt;0.5),"Invalid Discount; ","")&amp;IF(COUNTIF(Lookups!$K$2:$K$4,P23)=0,"Invalid Status; ","")</f>
        <v/>
      </c>
      <c r="X23" s="15" t="str">
        <f t="shared" si="5"/>
        <v>2025-03</v>
      </c>
      <c r="Y23" t="str">
        <f t="shared" si="6"/>
        <v>Q1</v>
      </c>
      <c r="Z23" t="str">
        <f>IF(R23&gt;=Settings!$B$9,"High Value Customer",IF(R23&gt;=Settings!$B$10,"Medium Value Customer","Standard Customer"))</f>
        <v>Medium Value Customer</v>
      </c>
      <c r="AA23" t="str">
        <f>IF(R23&gt;=Settings!$B$9,"Large Order",IF(R23&gt;=Settings!$B$10,"Medium Order","Small Order"))</f>
        <v>Medium Order</v>
      </c>
      <c r="AB23" t="str">
        <f>IF(N23=0,"No Discount",IF(N23&lt;=0.1,"Low Discount",IF(N23&lt;=Settings!$B$8,"Medium Discount","High Discount")))</f>
        <v>Medium Discount</v>
      </c>
      <c r="AC23" t="str">
        <f t="shared" si="7"/>
        <v>Profitable</v>
      </c>
      <c r="AD23" t="str">
        <f>IFERROR(VLOOKUP(E23,Lookups!$A$2:$E$11,2,FALSE),"Product Not Found")</f>
        <v>Webcam</v>
      </c>
      <c r="AE23" t="str">
        <f>IFERROR(VLOOKUP(E23,Lookups!$A$2:$E$11,3,FALSE),"Category Not Found")</f>
        <v>Electronics</v>
      </c>
      <c r="AF23" t="str">
        <f>IFERROR(IF(L23=VLOOKUP(E23,Lookups!$A$2:$E$11,4,FALSE),"Price OK","Price Mismatch"),"Product Missing")</f>
        <v>Price OK</v>
      </c>
      <c r="AG23" t="str">
        <f t="shared" si="8"/>
        <v>Valid Email</v>
      </c>
      <c r="AH23" t="str">
        <f t="shared" si="9"/>
        <v>READY FOR REPORTING</v>
      </c>
      <c r="AI23" t="str">
        <f>IF(AND(LEFT(A23,LEN(Settings!$B$13))=Settings!$B$13,LEN(A23)=9),"Valid Format","Invalid Format")</f>
        <v>Valid Format</v>
      </c>
      <c r="AJ23" t="str">
        <f>IF(LEFT(C23,LEN(Settings!$B$14))=Settings!$B$14,"Valid Format","Invalid Format")</f>
        <v>Valid Format</v>
      </c>
      <c r="AK23" t="str">
        <f>IF(COUNTIF(Master_Data!$G$5:$G$14,C23)=1,"Known Customer","Customer Not in Master")</f>
        <v>Customer Not in Master</v>
      </c>
      <c r="AL23" t="str">
        <f>IF(U23&gt;=Settings!$B$11,"Target Met","Below Target")</f>
        <v>Target Met</v>
      </c>
      <c r="AM23" t="str">
        <f>IF(YEAR(B23)=Settings!$B$5,"Correct Year","Wrong Year")</f>
        <v>Correct Year</v>
      </c>
      <c r="AN23">
        <f t="shared" si="10"/>
        <v>4</v>
      </c>
    </row>
    <row r="24" spans="1:40">
      <c r="A24" t="str">
        <f>Raw_Data!A24</f>
        <v>ORD-10023</v>
      </c>
      <c r="B24" s="13">
        <f>Raw_Data!B24</f>
        <v>45995</v>
      </c>
      <c r="C24" t="str">
        <f>Raw_Data!C24</f>
        <v>C1053</v>
      </c>
      <c r="D24" t="str">
        <f>Raw_Data!D24</f>
        <v>client120@example.com</v>
      </c>
      <c r="E24" t="str">
        <f>Raw_Data!E24</f>
        <v>P1002</v>
      </c>
      <c r="F24" t="str">
        <f>Raw_Data!F24</f>
        <v>Wireless Mouse</v>
      </c>
      <c r="G24" t="str">
        <f>Raw_Data!G24</f>
        <v>Accessories</v>
      </c>
      <c r="H24" t="str">
        <f>Raw_Data!H24</f>
        <v>Bucharest</v>
      </c>
      <c r="I24" t="str">
        <f>Raw_Data!I24</f>
        <v>Marketplace</v>
      </c>
      <c r="J24" t="str">
        <f>Raw_Data!J24</f>
        <v>Andrei Pop</v>
      </c>
      <c r="K24">
        <f>Raw_Data!K24</f>
        <v>7</v>
      </c>
      <c r="L24" s="12">
        <f>Raw_Data!L24</f>
        <v>85</v>
      </c>
      <c r="M24" s="12">
        <f>Raw_Data!M24</f>
        <v>44</v>
      </c>
      <c r="N24" s="14">
        <f>Raw_Data!N24</f>
        <v>0.05</v>
      </c>
      <c r="O24" t="str">
        <f>Raw_Data!O24</f>
        <v>Card</v>
      </c>
      <c r="P24" t="str">
        <f>Raw_Data!P24</f>
        <v>Completed</v>
      </c>
      <c r="Q24" s="12">
        <f t="shared" si="0"/>
        <v>595</v>
      </c>
      <c r="R24" s="12">
        <f t="shared" si="1"/>
        <v>565.25</v>
      </c>
      <c r="S24" s="12">
        <f t="shared" si="2"/>
        <v>308</v>
      </c>
      <c r="T24" s="12">
        <f t="shared" si="3"/>
        <v>257.25</v>
      </c>
      <c r="U24" s="11">
        <f t="shared" si="4"/>
        <v>0.45510835913312692</v>
      </c>
      <c r="V24" t="str">
        <f>IF(OR(A24="",COUNTIF($A$2:$A$301,A24)&gt;1,C24="",D24="",ISERROR(SEARCH("@",D24)),ISERROR(SEARCH(".",D24)),COUNTIF(Lookups!$A$2:$A$11,E24)=0,F24="",H24="",K24&lt;=0,L24&lt;0,M24&lt;0,N24&lt;0,N24&gt;0.5,COUNTIF(Lookups!$K$2:$K$4,P24)=0),"ERROR","VALID")</f>
        <v>VALID</v>
      </c>
      <c r="W24" s="2" t="str">
        <f>IF(A24="","Missing Order ID; ","")&amp;IF(COUNTIF($A$2:$A$301,A24)&gt;1,"Duplicate Order ID; ","")&amp;IF(C24="","Missing Customer ID; ","")&amp;IF(OR(D24="",ISERROR(SEARCH("@",D24)),ISERROR(SEARCH(".",D24))),"Invalid Email; ","")&amp;IF(COUNTIF(Lookups!$A$2:$A$11,E24)=0,"Unknown Product; ","")&amp;IF(F24="","Missing Product Name; ","")&amp;IF(H24="","Missing Region; ","")&amp;IF(K24&lt;=0,"Invalid Quantity; ","")&amp;IF(L24&lt;0,"Invalid Price; ","")&amp;IF(M24&lt;0,"Invalid Cost; ","")&amp;IF(OR(N24&lt;0,N24&gt;0.5),"Invalid Discount; ","")&amp;IF(COUNTIF(Lookups!$K$2:$K$4,P24)=0,"Invalid Status; ","")</f>
        <v/>
      </c>
      <c r="X24" s="15" t="str">
        <f t="shared" si="5"/>
        <v>2025-12</v>
      </c>
      <c r="Y24" t="str">
        <f t="shared" si="6"/>
        <v>Q4</v>
      </c>
      <c r="Z24" t="str">
        <f>IF(R24&gt;=Settings!$B$9,"High Value Customer",IF(R24&gt;=Settings!$B$10,"Medium Value Customer","Standard Customer"))</f>
        <v>Standard Customer</v>
      </c>
      <c r="AA24" t="str">
        <f>IF(R24&gt;=Settings!$B$9,"Large Order",IF(R24&gt;=Settings!$B$10,"Medium Order","Small Order"))</f>
        <v>Small Order</v>
      </c>
      <c r="AB24" t="str">
        <f>IF(N24=0,"No Discount",IF(N24&lt;=0.1,"Low Discount",IF(N24&lt;=Settings!$B$8,"Medium Discount","High Discount")))</f>
        <v>Low Discount</v>
      </c>
      <c r="AC24" t="str">
        <f t="shared" si="7"/>
        <v>Profitable</v>
      </c>
      <c r="AD24" t="str">
        <f>IFERROR(VLOOKUP(E24,Lookups!$A$2:$E$11,2,FALSE),"Product Not Found")</f>
        <v>Wireless Mouse</v>
      </c>
      <c r="AE24" t="str">
        <f>IFERROR(VLOOKUP(E24,Lookups!$A$2:$E$11,3,FALSE),"Category Not Found")</f>
        <v>Accessories</v>
      </c>
      <c r="AF24" t="str">
        <f>IFERROR(IF(L24=VLOOKUP(E24,Lookups!$A$2:$E$11,4,FALSE),"Price OK","Price Mismatch"),"Product Missing")</f>
        <v>Price OK</v>
      </c>
      <c r="AG24" t="str">
        <f t="shared" si="8"/>
        <v>Valid Email</v>
      </c>
      <c r="AH24" t="str">
        <f t="shared" si="9"/>
        <v>READY FOR REPORTING</v>
      </c>
      <c r="AI24" t="str">
        <f>IF(AND(LEFT(A24,LEN(Settings!$B$13))=Settings!$B$13,LEN(A24)=9),"Valid Format","Invalid Format")</f>
        <v>Valid Format</v>
      </c>
      <c r="AJ24" t="str">
        <f>IF(LEFT(C24,LEN(Settings!$B$14))=Settings!$B$14,"Valid Format","Invalid Format")</f>
        <v>Valid Format</v>
      </c>
      <c r="AK24" t="str">
        <f>IF(COUNTIF(Master_Data!$G$5:$G$14,C24)=1,"Known Customer","Customer Not in Master")</f>
        <v>Customer Not in Master</v>
      </c>
      <c r="AL24" t="str">
        <f>IF(U24&gt;=Settings!$B$11,"Target Met","Below Target")</f>
        <v>Target Met</v>
      </c>
      <c r="AM24" t="str">
        <f>IF(YEAR(B24)=Settings!$B$5,"Correct Year","Wrong Year")</f>
        <v>Correct Year</v>
      </c>
      <c r="AN24">
        <f t="shared" si="10"/>
        <v>4</v>
      </c>
    </row>
    <row r="25" spans="1:40">
      <c r="A25" t="str">
        <f>Raw_Data!A25</f>
        <v>ORD-10024</v>
      </c>
      <c r="B25" s="13">
        <f>Raw_Data!B25</f>
        <v>45831</v>
      </c>
      <c r="C25" t="str">
        <f>Raw_Data!C25</f>
        <v>C1025</v>
      </c>
      <c r="D25" t="str">
        <f>Raw_Data!D25</f>
        <v>client138@example.com</v>
      </c>
      <c r="E25" t="str">
        <f>Raw_Data!E25</f>
        <v>P1007</v>
      </c>
      <c r="F25" t="str">
        <f>Raw_Data!F25</f>
        <v>Office Chair</v>
      </c>
      <c r="G25" t="str">
        <f>Raw_Data!G25</f>
        <v>Furniture</v>
      </c>
      <c r="H25" t="str">
        <f>Raw_Data!H25</f>
        <v>East</v>
      </c>
      <c r="I25" t="str">
        <f>Raw_Data!I25</f>
        <v>Online</v>
      </c>
      <c r="J25" t="str">
        <f>Raw_Data!J25</f>
        <v>Mihai Radu</v>
      </c>
      <c r="K25">
        <f>Raw_Data!K25</f>
        <v>2</v>
      </c>
      <c r="L25" s="12">
        <f>Raw_Data!L25</f>
        <v>840</v>
      </c>
      <c r="M25" s="12">
        <f>Raw_Data!M25</f>
        <v>590</v>
      </c>
      <c r="N25" s="14">
        <f>Raw_Data!N25</f>
        <v>0</v>
      </c>
      <c r="O25" t="str">
        <f>Raw_Data!O25</f>
        <v>Bank Transfer</v>
      </c>
      <c r="P25" t="str">
        <f>Raw_Data!P25</f>
        <v>Completed</v>
      </c>
      <c r="Q25" s="12">
        <f t="shared" si="0"/>
        <v>1680</v>
      </c>
      <c r="R25" s="12">
        <f t="shared" si="1"/>
        <v>1680</v>
      </c>
      <c r="S25" s="12">
        <f t="shared" si="2"/>
        <v>1180</v>
      </c>
      <c r="T25" s="12">
        <f t="shared" si="3"/>
        <v>500</v>
      </c>
      <c r="U25" s="11">
        <f t="shared" si="4"/>
        <v>0.29761904761904762</v>
      </c>
      <c r="V25" t="str">
        <f>IF(OR(A25="",COUNTIF($A$2:$A$301,A25)&gt;1,C25="",D25="",ISERROR(SEARCH("@",D25)),ISERROR(SEARCH(".",D25)),COUNTIF(Lookups!$A$2:$A$11,E25)=0,F25="",H25="",K25&lt;=0,L25&lt;0,M25&lt;0,N25&lt;0,N25&gt;0.5,COUNTIF(Lookups!$K$2:$K$4,P25)=0),"ERROR","VALID")</f>
        <v>VALID</v>
      </c>
      <c r="W25" s="2" t="str">
        <f>IF(A25="","Missing Order ID; ","")&amp;IF(COUNTIF($A$2:$A$301,A25)&gt;1,"Duplicate Order ID; ","")&amp;IF(C25="","Missing Customer ID; ","")&amp;IF(OR(D25="",ISERROR(SEARCH("@",D25)),ISERROR(SEARCH(".",D25))),"Invalid Email; ","")&amp;IF(COUNTIF(Lookups!$A$2:$A$11,E25)=0,"Unknown Product; ","")&amp;IF(F25="","Missing Product Name; ","")&amp;IF(H25="","Missing Region; ","")&amp;IF(K25&lt;=0,"Invalid Quantity; ","")&amp;IF(L25&lt;0,"Invalid Price; ","")&amp;IF(M25&lt;0,"Invalid Cost; ","")&amp;IF(OR(N25&lt;0,N25&gt;0.5),"Invalid Discount; ","")&amp;IF(COUNTIF(Lookups!$K$2:$K$4,P25)=0,"Invalid Status; ","")</f>
        <v/>
      </c>
      <c r="X25" s="15" t="str">
        <f t="shared" si="5"/>
        <v>2025-06</v>
      </c>
      <c r="Y25" t="str">
        <f t="shared" si="6"/>
        <v>Q2</v>
      </c>
      <c r="Z25" t="str">
        <f>IF(R25&gt;=Settings!$B$9,"High Value Customer",IF(R25&gt;=Settings!$B$10,"Medium Value Customer","Standard Customer"))</f>
        <v>Standard Customer</v>
      </c>
      <c r="AA25" t="str">
        <f>IF(R25&gt;=Settings!$B$9,"Large Order",IF(R25&gt;=Settings!$B$10,"Medium Order","Small Order"))</f>
        <v>Small Order</v>
      </c>
      <c r="AB25" t="str">
        <f>IF(N25=0,"No Discount",IF(N25&lt;=0.1,"Low Discount",IF(N25&lt;=Settings!$B$8,"Medium Discount","High Discount")))</f>
        <v>No Discount</v>
      </c>
      <c r="AC25" t="str">
        <f t="shared" si="7"/>
        <v>Profitable</v>
      </c>
      <c r="AD25" t="str">
        <f>IFERROR(VLOOKUP(E25,Lookups!$A$2:$E$11,2,FALSE),"Product Not Found")</f>
        <v>Office Chair</v>
      </c>
      <c r="AE25" t="str">
        <f>IFERROR(VLOOKUP(E25,Lookups!$A$2:$E$11,3,FALSE),"Category Not Found")</f>
        <v>Furniture</v>
      </c>
      <c r="AF25" t="str">
        <f>IFERROR(IF(L25=VLOOKUP(E25,Lookups!$A$2:$E$11,4,FALSE),"Price OK","Price Mismatch"),"Product Missing")</f>
        <v>Price OK</v>
      </c>
      <c r="AG25" t="str">
        <f t="shared" si="8"/>
        <v>Valid Email</v>
      </c>
      <c r="AH25" t="str">
        <f t="shared" si="9"/>
        <v>READY FOR REPORTING</v>
      </c>
      <c r="AI25" t="str">
        <f>IF(AND(LEFT(A25,LEN(Settings!$B$13))=Settings!$B$13,LEN(A25)=9),"Valid Format","Invalid Format")</f>
        <v>Valid Format</v>
      </c>
      <c r="AJ25" t="str">
        <f>IF(LEFT(C25,LEN(Settings!$B$14))=Settings!$B$14,"Valid Format","Invalid Format")</f>
        <v>Valid Format</v>
      </c>
      <c r="AK25" t="str">
        <f>IF(COUNTIF(Master_Data!$G$5:$G$14,C25)=1,"Known Customer","Customer Not in Master")</f>
        <v>Customer Not in Master</v>
      </c>
      <c r="AL25" t="str">
        <f>IF(U25&gt;=Settings!$B$11,"Target Met","Below Target")</f>
        <v>Target Met</v>
      </c>
      <c r="AM25" t="str">
        <f>IF(YEAR(B25)=Settings!$B$5,"Correct Year","Wrong Year")</f>
        <v>Correct Year</v>
      </c>
      <c r="AN25">
        <f t="shared" si="10"/>
        <v>4</v>
      </c>
    </row>
    <row r="26" spans="1:40">
      <c r="A26" t="str">
        <f>Raw_Data!A26</f>
        <v>ORD-10025</v>
      </c>
      <c r="B26" s="13">
        <f>Raw_Data!B26</f>
        <v>45894</v>
      </c>
      <c r="C26" t="str">
        <f>Raw_Data!C26</f>
        <v>C1104</v>
      </c>
      <c r="D26" t="str">
        <f>Raw_Data!D26</f>
        <v>client141@example.com</v>
      </c>
      <c r="E26" t="str">
        <f>Raw_Data!E26</f>
        <v>P1005</v>
      </c>
      <c r="F26" t="str">
        <f>Raw_Data!F26</f>
        <v>24-inch Monitor</v>
      </c>
      <c r="G26" t="str">
        <f>Raw_Data!G26</f>
        <v>Electronics</v>
      </c>
      <c r="H26" t="str">
        <f>Raw_Data!H26</f>
        <v>Bucharest</v>
      </c>
      <c r="I26" t="str">
        <f>Raw_Data!I26</f>
        <v>Online</v>
      </c>
      <c r="J26" t="str">
        <f>Raw_Data!J26</f>
        <v>Ioana Pavel</v>
      </c>
      <c r="K26">
        <f>Raw_Data!K26</f>
        <v>0</v>
      </c>
      <c r="L26" s="12">
        <f>Raw_Data!L26</f>
        <v>720</v>
      </c>
      <c r="M26" s="12">
        <f>Raw_Data!M26</f>
        <v>510</v>
      </c>
      <c r="N26" s="14">
        <f>Raw_Data!N26</f>
        <v>0</v>
      </c>
      <c r="O26" t="str">
        <f>Raw_Data!O26</f>
        <v>Card</v>
      </c>
      <c r="P26" t="str">
        <f>Raw_Data!P26</f>
        <v>Completed</v>
      </c>
      <c r="Q26" s="12">
        <f t="shared" si="0"/>
        <v>0</v>
      </c>
      <c r="R26" s="12">
        <f t="shared" si="1"/>
        <v>0</v>
      </c>
      <c r="S26" s="12">
        <f t="shared" si="2"/>
        <v>0</v>
      </c>
      <c r="T26" s="12">
        <f t="shared" si="3"/>
        <v>0</v>
      </c>
      <c r="U26" s="11">
        <f t="shared" si="4"/>
        <v>0</v>
      </c>
      <c r="V26" t="str">
        <f>IF(OR(A26="",COUNTIF($A$2:$A$301,A26)&gt;1,C26="",D26="",ISERROR(SEARCH("@",D26)),ISERROR(SEARCH(".",D26)),COUNTIF(Lookups!$A$2:$A$11,E26)=0,F26="",H26="",K26&lt;=0,L26&lt;0,M26&lt;0,N26&lt;0,N26&gt;0.5,COUNTIF(Lookups!$K$2:$K$4,P26)=0),"ERROR","VALID")</f>
        <v>ERROR</v>
      </c>
      <c r="W26" s="2" t="str">
        <f>IF(A26="","Missing Order ID; ","")&amp;IF(COUNTIF($A$2:$A$301,A26)&gt;1,"Duplicate Order ID; ","")&amp;IF(C26="","Missing Customer ID; ","")&amp;IF(OR(D26="",ISERROR(SEARCH("@",D26)),ISERROR(SEARCH(".",D26))),"Invalid Email; ","")&amp;IF(COUNTIF(Lookups!$A$2:$A$11,E26)=0,"Unknown Product; ","")&amp;IF(F26="","Missing Product Name; ","")&amp;IF(H26="","Missing Region; ","")&amp;IF(K26&lt;=0,"Invalid Quantity; ","")&amp;IF(L26&lt;0,"Invalid Price; ","")&amp;IF(M26&lt;0,"Invalid Cost; ","")&amp;IF(OR(N26&lt;0,N26&gt;0.5),"Invalid Discount; ","")&amp;IF(COUNTIF(Lookups!$K$2:$K$4,P26)=0,"Invalid Status; ","")</f>
        <v xml:space="preserve">Invalid Quantity; </v>
      </c>
      <c r="X26" s="15" t="str">
        <f t="shared" si="5"/>
        <v>2025-08</v>
      </c>
      <c r="Y26" t="str">
        <f t="shared" si="6"/>
        <v>Q3</v>
      </c>
      <c r="Z26" t="str">
        <f>IF(R26&gt;=Settings!$B$9,"High Value Customer",IF(R26&gt;=Settings!$B$10,"Medium Value Customer","Standard Customer"))</f>
        <v>Standard Customer</v>
      </c>
      <c r="AA26" t="str">
        <f>IF(R26&gt;=Settings!$B$9,"Large Order",IF(R26&gt;=Settings!$B$10,"Medium Order","Small Order"))</f>
        <v>Small Order</v>
      </c>
      <c r="AB26" t="str">
        <f>IF(N26=0,"No Discount",IF(N26&lt;=0.1,"Low Discount",IF(N26&lt;=Settings!$B$8,"Medium Discount","High Discount")))</f>
        <v>No Discount</v>
      </c>
      <c r="AC26" t="str">
        <f t="shared" si="7"/>
        <v>Break-even</v>
      </c>
      <c r="AD26" t="str">
        <f>IFERROR(VLOOKUP(E26,Lookups!$A$2:$E$11,2,FALSE),"Product Not Found")</f>
        <v>24-inch Monitor</v>
      </c>
      <c r="AE26" t="str">
        <f>IFERROR(VLOOKUP(E26,Lookups!$A$2:$E$11,3,FALSE),"Category Not Found")</f>
        <v>Electronics</v>
      </c>
      <c r="AF26" t="str">
        <f>IFERROR(IF(L26=VLOOKUP(E26,Lookups!$A$2:$E$11,4,FALSE),"Price OK","Price Mismatch"),"Product Missing")</f>
        <v>Price OK</v>
      </c>
      <c r="AG26" t="str">
        <f t="shared" si="8"/>
        <v>Valid Email</v>
      </c>
      <c r="AH26" t="str">
        <f t="shared" si="9"/>
        <v>REVIEW REQUIRED</v>
      </c>
      <c r="AI26" t="str">
        <f>IF(AND(LEFT(A26,LEN(Settings!$B$13))=Settings!$B$13,LEN(A26)=9),"Valid Format","Invalid Format")</f>
        <v>Valid Format</v>
      </c>
      <c r="AJ26" t="str">
        <f>IF(LEFT(C26,LEN(Settings!$B$14))=Settings!$B$14,"Valid Format","Invalid Format")</f>
        <v>Valid Format</v>
      </c>
      <c r="AK26" t="str">
        <f>IF(COUNTIF(Master_Data!$G$5:$G$14,C26)=1,"Known Customer","Customer Not in Master")</f>
        <v>Customer Not in Master</v>
      </c>
      <c r="AL26" t="str">
        <f>IF(U26&gt;=Settings!$B$11,"Target Met","Below Target")</f>
        <v>Below Target</v>
      </c>
      <c r="AM26" t="str">
        <f>IF(YEAR(B26)=Settings!$B$5,"Correct Year","Wrong Year")</f>
        <v>Correct Year</v>
      </c>
      <c r="AN26">
        <f t="shared" si="10"/>
        <v>3</v>
      </c>
    </row>
    <row r="27" spans="1:40">
      <c r="A27" t="str">
        <f>Raw_Data!A27</f>
        <v>ORD-10026</v>
      </c>
      <c r="B27" s="13">
        <f>Raw_Data!B27</f>
        <v>45779</v>
      </c>
      <c r="C27" t="str">
        <f>Raw_Data!C27</f>
        <v>C1062</v>
      </c>
      <c r="D27" t="str">
        <f>Raw_Data!D27</f>
        <v>client55@example.com</v>
      </c>
      <c r="E27" t="str">
        <f>Raw_Data!E27</f>
        <v>P1002</v>
      </c>
      <c r="F27" t="str">
        <f>Raw_Data!F27</f>
        <v>Wireless Mouse</v>
      </c>
      <c r="G27" t="str">
        <f>Raw_Data!G27</f>
        <v>Accessories</v>
      </c>
      <c r="H27" t="str">
        <f>Raw_Data!H27</f>
        <v>East</v>
      </c>
      <c r="I27" t="str">
        <f>Raw_Data!I27</f>
        <v>Online</v>
      </c>
      <c r="J27" t="str">
        <f>Raw_Data!J27</f>
        <v>Maria Ionescu</v>
      </c>
      <c r="K27">
        <f>Raw_Data!K27</f>
        <v>3</v>
      </c>
      <c r="L27" s="12">
        <f>Raw_Data!L27</f>
        <v>85</v>
      </c>
      <c r="M27" s="12">
        <f>Raw_Data!M27</f>
        <v>44</v>
      </c>
      <c r="N27" s="14">
        <f>Raw_Data!N27</f>
        <v>0.1</v>
      </c>
      <c r="O27" t="str">
        <f>Raw_Data!O27</f>
        <v>Online Wallet</v>
      </c>
      <c r="P27" t="str">
        <f>Raw_Data!P27</f>
        <v>Completed</v>
      </c>
      <c r="Q27" s="12">
        <f t="shared" si="0"/>
        <v>255</v>
      </c>
      <c r="R27" s="12">
        <f t="shared" si="1"/>
        <v>229.5</v>
      </c>
      <c r="S27" s="12">
        <f t="shared" si="2"/>
        <v>132</v>
      </c>
      <c r="T27" s="12">
        <f t="shared" si="3"/>
        <v>97.5</v>
      </c>
      <c r="U27" s="11">
        <f t="shared" si="4"/>
        <v>0.42483660130718953</v>
      </c>
      <c r="V27" t="str">
        <f>IF(OR(A27="",COUNTIF($A$2:$A$301,A27)&gt;1,C27="",D27="",ISERROR(SEARCH("@",D27)),ISERROR(SEARCH(".",D27)),COUNTIF(Lookups!$A$2:$A$11,E27)=0,F27="",H27="",K27&lt;=0,L27&lt;0,M27&lt;0,N27&lt;0,N27&gt;0.5,COUNTIF(Lookups!$K$2:$K$4,P27)=0),"ERROR","VALID")</f>
        <v>VALID</v>
      </c>
      <c r="W27" s="2" t="str">
        <f>IF(A27="","Missing Order ID; ","")&amp;IF(COUNTIF($A$2:$A$301,A27)&gt;1,"Duplicate Order ID; ","")&amp;IF(C27="","Missing Customer ID; ","")&amp;IF(OR(D27="",ISERROR(SEARCH("@",D27)),ISERROR(SEARCH(".",D27))),"Invalid Email; ","")&amp;IF(COUNTIF(Lookups!$A$2:$A$11,E27)=0,"Unknown Product; ","")&amp;IF(F27="","Missing Product Name; ","")&amp;IF(H27="","Missing Region; ","")&amp;IF(K27&lt;=0,"Invalid Quantity; ","")&amp;IF(L27&lt;0,"Invalid Price; ","")&amp;IF(M27&lt;0,"Invalid Cost; ","")&amp;IF(OR(N27&lt;0,N27&gt;0.5),"Invalid Discount; ","")&amp;IF(COUNTIF(Lookups!$K$2:$K$4,P27)=0,"Invalid Status; ","")</f>
        <v/>
      </c>
      <c r="X27" s="15" t="str">
        <f t="shared" si="5"/>
        <v>2025-05</v>
      </c>
      <c r="Y27" t="str">
        <f t="shared" si="6"/>
        <v>Q2</v>
      </c>
      <c r="Z27" t="str">
        <f>IF(R27&gt;=Settings!$B$9,"High Value Customer",IF(R27&gt;=Settings!$B$10,"Medium Value Customer","Standard Customer"))</f>
        <v>Standard Customer</v>
      </c>
      <c r="AA27" t="str">
        <f>IF(R27&gt;=Settings!$B$9,"Large Order",IF(R27&gt;=Settings!$B$10,"Medium Order","Small Order"))</f>
        <v>Small Order</v>
      </c>
      <c r="AB27" t="str">
        <f>IF(N27=0,"No Discount",IF(N27&lt;=0.1,"Low Discount",IF(N27&lt;=Settings!$B$8,"Medium Discount","High Discount")))</f>
        <v>Low Discount</v>
      </c>
      <c r="AC27" t="str">
        <f t="shared" si="7"/>
        <v>Profitable</v>
      </c>
      <c r="AD27" t="str">
        <f>IFERROR(VLOOKUP(E27,Lookups!$A$2:$E$11,2,FALSE),"Product Not Found")</f>
        <v>Wireless Mouse</v>
      </c>
      <c r="AE27" t="str">
        <f>IFERROR(VLOOKUP(E27,Lookups!$A$2:$E$11,3,FALSE),"Category Not Found")</f>
        <v>Accessories</v>
      </c>
      <c r="AF27" t="str">
        <f>IFERROR(IF(L27=VLOOKUP(E27,Lookups!$A$2:$E$11,4,FALSE),"Price OK","Price Mismatch"),"Product Missing")</f>
        <v>Price OK</v>
      </c>
      <c r="AG27" t="str">
        <f t="shared" si="8"/>
        <v>Valid Email</v>
      </c>
      <c r="AH27" t="str">
        <f t="shared" si="9"/>
        <v>READY FOR REPORTING</v>
      </c>
      <c r="AI27" t="str">
        <f>IF(AND(LEFT(A27,LEN(Settings!$B$13))=Settings!$B$13,LEN(A27)=9),"Valid Format","Invalid Format")</f>
        <v>Valid Format</v>
      </c>
      <c r="AJ27" t="str">
        <f>IF(LEFT(C27,LEN(Settings!$B$14))=Settings!$B$14,"Valid Format","Invalid Format")</f>
        <v>Valid Format</v>
      </c>
      <c r="AK27" t="str">
        <f>IF(COUNTIF(Master_Data!$G$5:$G$14,C27)=1,"Known Customer","Customer Not in Master")</f>
        <v>Customer Not in Master</v>
      </c>
      <c r="AL27" t="str">
        <f>IF(U27&gt;=Settings!$B$11,"Target Met","Below Target")</f>
        <v>Target Met</v>
      </c>
      <c r="AM27" t="str">
        <f>IF(YEAR(B27)=Settings!$B$5,"Correct Year","Wrong Year")</f>
        <v>Correct Year</v>
      </c>
      <c r="AN27">
        <f t="shared" si="10"/>
        <v>4</v>
      </c>
    </row>
    <row r="28" spans="1:40">
      <c r="A28" t="str">
        <f>Raw_Data!A28</f>
        <v>ORD-10027</v>
      </c>
      <c r="B28" s="13">
        <f>Raw_Data!B28</f>
        <v>45857</v>
      </c>
      <c r="C28" t="str">
        <f>Raw_Data!C28</f>
        <v>C1055</v>
      </c>
      <c r="D28" t="str">
        <f>Raw_Data!D28</f>
        <v>client179@example.com</v>
      </c>
      <c r="E28" t="str">
        <f>Raw_Data!E28</f>
        <v>P1001</v>
      </c>
      <c r="F28" t="str">
        <f>Raw_Data!F28</f>
        <v>Laptop Stand</v>
      </c>
      <c r="G28" t="str">
        <f>Raw_Data!G28</f>
        <v>Accessories</v>
      </c>
      <c r="H28" t="str">
        <f>Raw_Data!H28</f>
        <v>West</v>
      </c>
      <c r="I28" t="str">
        <f>Raw_Data!I28</f>
        <v>Marketplace</v>
      </c>
      <c r="J28" t="str">
        <f>Raw_Data!J28</f>
        <v>Mihai Radu</v>
      </c>
      <c r="K28">
        <f>Raw_Data!K28</f>
        <v>5</v>
      </c>
      <c r="L28" s="12">
        <f>Raw_Data!L28</f>
        <v>95</v>
      </c>
      <c r="M28" s="12">
        <f>Raw_Data!M28</f>
        <v>52</v>
      </c>
      <c r="N28" s="14">
        <f>Raw_Data!N28</f>
        <v>0.1</v>
      </c>
      <c r="O28" t="str">
        <f>Raw_Data!O28</f>
        <v>Bank Transfer</v>
      </c>
      <c r="P28" t="str">
        <f>Raw_Data!P28</f>
        <v>Completed</v>
      </c>
      <c r="Q28" s="12">
        <f t="shared" si="0"/>
        <v>475</v>
      </c>
      <c r="R28" s="12">
        <f t="shared" si="1"/>
        <v>427.5</v>
      </c>
      <c r="S28" s="12">
        <f t="shared" si="2"/>
        <v>260</v>
      </c>
      <c r="T28" s="12">
        <f t="shared" si="3"/>
        <v>167.5</v>
      </c>
      <c r="U28" s="11">
        <f t="shared" si="4"/>
        <v>0.391812865497076</v>
      </c>
      <c r="V28" t="str">
        <f>IF(OR(A28="",COUNTIF($A$2:$A$301,A28)&gt;1,C28="",D28="",ISERROR(SEARCH("@",D28)),ISERROR(SEARCH(".",D28)),COUNTIF(Lookups!$A$2:$A$11,E28)=0,F28="",H28="",K28&lt;=0,L28&lt;0,M28&lt;0,N28&lt;0,N28&gt;0.5,COUNTIF(Lookups!$K$2:$K$4,P28)=0),"ERROR","VALID")</f>
        <v>VALID</v>
      </c>
      <c r="W28" s="2" t="str">
        <f>IF(A28="","Missing Order ID; ","")&amp;IF(COUNTIF($A$2:$A$301,A28)&gt;1,"Duplicate Order ID; ","")&amp;IF(C28="","Missing Customer ID; ","")&amp;IF(OR(D28="",ISERROR(SEARCH("@",D28)),ISERROR(SEARCH(".",D28))),"Invalid Email; ","")&amp;IF(COUNTIF(Lookups!$A$2:$A$11,E28)=0,"Unknown Product; ","")&amp;IF(F28="","Missing Product Name; ","")&amp;IF(H28="","Missing Region; ","")&amp;IF(K28&lt;=0,"Invalid Quantity; ","")&amp;IF(L28&lt;0,"Invalid Price; ","")&amp;IF(M28&lt;0,"Invalid Cost; ","")&amp;IF(OR(N28&lt;0,N28&gt;0.5),"Invalid Discount; ","")&amp;IF(COUNTIF(Lookups!$K$2:$K$4,P28)=0,"Invalid Status; ","")</f>
        <v/>
      </c>
      <c r="X28" s="15" t="str">
        <f t="shared" si="5"/>
        <v>2025-07</v>
      </c>
      <c r="Y28" t="str">
        <f t="shared" si="6"/>
        <v>Q3</v>
      </c>
      <c r="Z28" t="str">
        <f>IF(R28&gt;=Settings!$B$9,"High Value Customer",IF(R28&gt;=Settings!$B$10,"Medium Value Customer","Standard Customer"))</f>
        <v>Standard Customer</v>
      </c>
      <c r="AA28" t="str">
        <f>IF(R28&gt;=Settings!$B$9,"Large Order",IF(R28&gt;=Settings!$B$10,"Medium Order","Small Order"))</f>
        <v>Small Order</v>
      </c>
      <c r="AB28" t="str">
        <f>IF(N28=0,"No Discount",IF(N28&lt;=0.1,"Low Discount",IF(N28&lt;=Settings!$B$8,"Medium Discount","High Discount")))</f>
        <v>Low Discount</v>
      </c>
      <c r="AC28" t="str">
        <f t="shared" si="7"/>
        <v>Profitable</v>
      </c>
      <c r="AD28" t="str">
        <f>IFERROR(VLOOKUP(E28,Lookups!$A$2:$E$11,2,FALSE),"Product Not Found")</f>
        <v>Laptop Stand</v>
      </c>
      <c r="AE28" t="str">
        <f>IFERROR(VLOOKUP(E28,Lookups!$A$2:$E$11,3,FALSE),"Category Not Found")</f>
        <v>Accessories</v>
      </c>
      <c r="AF28" t="str">
        <f>IFERROR(IF(L28=VLOOKUP(E28,Lookups!$A$2:$E$11,4,FALSE),"Price OK","Price Mismatch"),"Product Missing")</f>
        <v>Price OK</v>
      </c>
      <c r="AG28" t="str">
        <f t="shared" si="8"/>
        <v>Valid Email</v>
      </c>
      <c r="AH28" t="str">
        <f t="shared" si="9"/>
        <v>READY FOR REPORTING</v>
      </c>
      <c r="AI28" t="str">
        <f>IF(AND(LEFT(A28,LEN(Settings!$B$13))=Settings!$B$13,LEN(A28)=9),"Valid Format","Invalid Format")</f>
        <v>Valid Format</v>
      </c>
      <c r="AJ28" t="str">
        <f>IF(LEFT(C28,LEN(Settings!$B$14))=Settings!$B$14,"Valid Format","Invalid Format")</f>
        <v>Valid Format</v>
      </c>
      <c r="AK28" t="str">
        <f>IF(COUNTIF(Master_Data!$G$5:$G$14,C28)=1,"Known Customer","Customer Not in Master")</f>
        <v>Customer Not in Master</v>
      </c>
      <c r="AL28" t="str">
        <f>IF(U28&gt;=Settings!$B$11,"Target Met","Below Target")</f>
        <v>Target Met</v>
      </c>
      <c r="AM28" t="str">
        <f>IF(YEAR(B28)=Settings!$B$5,"Correct Year","Wrong Year")</f>
        <v>Correct Year</v>
      </c>
      <c r="AN28">
        <f t="shared" si="10"/>
        <v>4</v>
      </c>
    </row>
    <row r="29" spans="1:40">
      <c r="A29" t="str">
        <f>Raw_Data!A29</f>
        <v>ORD-10028</v>
      </c>
      <c r="B29" s="13">
        <f>Raw_Data!B29</f>
        <v>45809</v>
      </c>
      <c r="C29" t="str">
        <f>Raw_Data!C29</f>
        <v>C1095</v>
      </c>
      <c r="D29" t="str">
        <f>Raw_Data!D29</f>
        <v>client139@example.com</v>
      </c>
      <c r="E29" t="str">
        <f>Raw_Data!E29</f>
        <v>P1004</v>
      </c>
      <c r="F29" t="str">
        <f>Raw_Data!F29</f>
        <v>USB-C Hub</v>
      </c>
      <c r="G29" t="str">
        <f>Raw_Data!G29</f>
        <v>Accessories</v>
      </c>
      <c r="H29" t="str">
        <f>Raw_Data!H29</f>
        <v>Bucharest</v>
      </c>
      <c r="I29" t="str">
        <f>Raw_Data!I29</f>
        <v>Marketplace</v>
      </c>
      <c r="J29" t="str">
        <f>Raw_Data!J29</f>
        <v>Elena Stan</v>
      </c>
      <c r="K29">
        <f>Raw_Data!K29</f>
        <v>4</v>
      </c>
      <c r="L29" s="12">
        <f>Raw_Data!L29</f>
        <v>175</v>
      </c>
      <c r="M29" s="12">
        <f>Raw_Data!M29</f>
        <v>98</v>
      </c>
      <c r="N29" s="14">
        <f>Raw_Data!N29</f>
        <v>0</v>
      </c>
      <c r="O29" t="str">
        <f>Raw_Data!O29</f>
        <v>Card</v>
      </c>
      <c r="P29" t="str">
        <f>Raw_Data!P29</f>
        <v>Returned</v>
      </c>
      <c r="Q29" s="12">
        <f t="shared" si="0"/>
        <v>700</v>
      </c>
      <c r="R29" s="12">
        <f t="shared" si="1"/>
        <v>700</v>
      </c>
      <c r="S29" s="12">
        <f t="shared" si="2"/>
        <v>392</v>
      </c>
      <c r="T29" s="12">
        <f t="shared" si="3"/>
        <v>308</v>
      </c>
      <c r="U29" s="11">
        <f t="shared" si="4"/>
        <v>0.44</v>
      </c>
      <c r="V29" t="str">
        <f>IF(OR(A29="",COUNTIF($A$2:$A$301,A29)&gt;1,C29="",D29="",ISERROR(SEARCH("@",D29)),ISERROR(SEARCH(".",D29)),COUNTIF(Lookups!$A$2:$A$11,E29)=0,F29="",H29="",K29&lt;=0,L29&lt;0,M29&lt;0,N29&lt;0,N29&gt;0.5,COUNTIF(Lookups!$K$2:$K$4,P29)=0),"ERROR","VALID")</f>
        <v>VALID</v>
      </c>
      <c r="W29" s="2" t="str">
        <f>IF(A29="","Missing Order ID; ","")&amp;IF(COUNTIF($A$2:$A$301,A29)&gt;1,"Duplicate Order ID; ","")&amp;IF(C29="","Missing Customer ID; ","")&amp;IF(OR(D29="",ISERROR(SEARCH("@",D29)),ISERROR(SEARCH(".",D29))),"Invalid Email; ","")&amp;IF(COUNTIF(Lookups!$A$2:$A$11,E29)=0,"Unknown Product; ","")&amp;IF(F29="","Missing Product Name; ","")&amp;IF(H29="","Missing Region; ","")&amp;IF(K29&lt;=0,"Invalid Quantity; ","")&amp;IF(L29&lt;0,"Invalid Price; ","")&amp;IF(M29&lt;0,"Invalid Cost; ","")&amp;IF(OR(N29&lt;0,N29&gt;0.5),"Invalid Discount; ","")&amp;IF(COUNTIF(Lookups!$K$2:$K$4,P29)=0,"Invalid Status; ","")</f>
        <v/>
      </c>
      <c r="X29" s="15" t="str">
        <f t="shared" si="5"/>
        <v>2025-06</v>
      </c>
      <c r="Y29" t="str">
        <f t="shared" si="6"/>
        <v>Q2</v>
      </c>
      <c r="Z29" t="str">
        <f>IF(R29&gt;=Settings!$B$9,"High Value Customer",IF(R29&gt;=Settings!$B$10,"Medium Value Customer","Standard Customer"))</f>
        <v>Standard Customer</v>
      </c>
      <c r="AA29" t="str">
        <f>IF(R29&gt;=Settings!$B$9,"Large Order",IF(R29&gt;=Settings!$B$10,"Medium Order","Small Order"))</f>
        <v>Small Order</v>
      </c>
      <c r="AB29" t="str">
        <f>IF(N29=0,"No Discount",IF(N29&lt;=0.1,"Low Discount",IF(N29&lt;=Settings!$B$8,"Medium Discount","High Discount")))</f>
        <v>No Discount</v>
      </c>
      <c r="AC29" t="str">
        <f t="shared" si="7"/>
        <v>Profitable</v>
      </c>
      <c r="AD29" t="str">
        <f>IFERROR(VLOOKUP(E29,Lookups!$A$2:$E$11,2,FALSE),"Product Not Found")</f>
        <v>USB-C Hub</v>
      </c>
      <c r="AE29" t="str">
        <f>IFERROR(VLOOKUP(E29,Lookups!$A$2:$E$11,3,FALSE),"Category Not Found")</f>
        <v>Accessories</v>
      </c>
      <c r="AF29" t="str">
        <f>IFERROR(IF(L29=VLOOKUP(E29,Lookups!$A$2:$E$11,4,FALSE),"Price OK","Price Mismatch"),"Product Missing")</f>
        <v>Price OK</v>
      </c>
      <c r="AG29" t="str">
        <f t="shared" si="8"/>
        <v>Valid Email</v>
      </c>
      <c r="AH29" t="str">
        <f t="shared" si="9"/>
        <v>READY FOR REPORTING</v>
      </c>
      <c r="AI29" t="str">
        <f>IF(AND(LEFT(A29,LEN(Settings!$B$13))=Settings!$B$13,LEN(A29)=9),"Valid Format","Invalid Format")</f>
        <v>Valid Format</v>
      </c>
      <c r="AJ29" t="str">
        <f>IF(LEFT(C29,LEN(Settings!$B$14))=Settings!$B$14,"Valid Format","Invalid Format")</f>
        <v>Valid Format</v>
      </c>
      <c r="AK29" t="str">
        <f>IF(COUNTIF(Master_Data!$G$5:$G$14,C29)=1,"Known Customer","Customer Not in Master")</f>
        <v>Customer Not in Master</v>
      </c>
      <c r="AL29" t="str">
        <f>IF(U29&gt;=Settings!$B$11,"Target Met","Below Target")</f>
        <v>Target Met</v>
      </c>
      <c r="AM29" t="str">
        <f>IF(YEAR(B29)=Settings!$B$5,"Correct Year","Wrong Year")</f>
        <v>Correct Year</v>
      </c>
      <c r="AN29">
        <f t="shared" si="10"/>
        <v>4</v>
      </c>
    </row>
    <row r="30" spans="1:40">
      <c r="A30" t="str">
        <f>Raw_Data!A30</f>
        <v>ORD-10029</v>
      </c>
      <c r="B30" s="13">
        <f>Raw_Data!B30</f>
        <v>45957</v>
      </c>
      <c r="C30" t="str">
        <f>Raw_Data!C30</f>
        <v>C1021</v>
      </c>
      <c r="D30" t="str">
        <f>Raw_Data!D30</f>
        <v>client15@example.com</v>
      </c>
      <c r="E30" t="str">
        <f>Raw_Data!E30</f>
        <v>P1001</v>
      </c>
      <c r="F30" t="str">
        <f>Raw_Data!F30</f>
        <v>Laptop Stand</v>
      </c>
      <c r="G30" t="str">
        <f>Raw_Data!G30</f>
        <v>Accessories</v>
      </c>
      <c r="H30" t="str">
        <f>Raw_Data!H30</f>
        <v>West</v>
      </c>
      <c r="I30" t="str">
        <f>Raw_Data!I30</f>
        <v>Online</v>
      </c>
      <c r="J30" t="str">
        <f>Raw_Data!J30</f>
        <v>Maria Ionescu</v>
      </c>
      <c r="K30">
        <f>Raw_Data!K30</f>
        <v>8</v>
      </c>
      <c r="L30" s="12">
        <f>Raw_Data!L30</f>
        <v>95</v>
      </c>
      <c r="M30" s="12">
        <f>Raw_Data!M30</f>
        <v>52</v>
      </c>
      <c r="N30" s="14">
        <f>Raw_Data!N30</f>
        <v>0.15</v>
      </c>
      <c r="O30" t="str">
        <f>Raw_Data!O30</f>
        <v>Card</v>
      </c>
      <c r="P30" t="str">
        <f>Raw_Data!P30</f>
        <v>Returned</v>
      </c>
      <c r="Q30" s="12">
        <f t="shared" si="0"/>
        <v>760</v>
      </c>
      <c r="R30" s="12">
        <f t="shared" si="1"/>
        <v>646</v>
      </c>
      <c r="S30" s="12">
        <f t="shared" si="2"/>
        <v>416</v>
      </c>
      <c r="T30" s="12">
        <f t="shared" si="3"/>
        <v>230</v>
      </c>
      <c r="U30" s="11">
        <f t="shared" si="4"/>
        <v>0.35603715170278638</v>
      </c>
      <c r="V30" t="str">
        <f>IF(OR(A30="",COUNTIF($A$2:$A$301,A30)&gt;1,C30="",D30="",ISERROR(SEARCH("@",D30)),ISERROR(SEARCH(".",D30)),COUNTIF(Lookups!$A$2:$A$11,E30)=0,F30="",H30="",K30&lt;=0,L30&lt;0,M30&lt;0,N30&lt;0,N30&gt;0.5,COUNTIF(Lookups!$K$2:$K$4,P30)=0),"ERROR","VALID")</f>
        <v>VALID</v>
      </c>
      <c r="W30" s="2" t="str">
        <f>IF(A30="","Missing Order ID; ","")&amp;IF(COUNTIF($A$2:$A$301,A30)&gt;1,"Duplicate Order ID; ","")&amp;IF(C30="","Missing Customer ID; ","")&amp;IF(OR(D30="",ISERROR(SEARCH("@",D30)),ISERROR(SEARCH(".",D30))),"Invalid Email; ","")&amp;IF(COUNTIF(Lookups!$A$2:$A$11,E30)=0,"Unknown Product; ","")&amp;IF(F30="","Missing Product Name; ","")&amp;IF(H30="","Missing Region; ","")&amp;IF(K30&lt;=0,"Invalid Quantity; ","")&amp;IF(L30&lt;0,"Invalid Price; ","")&amp;IF(M30&lt;0,"Invalid Cost; ","")&amp;IF(OR(N30&lt;0,N30&gt;0.5),"Invalid Discount; ","")&amp;IF(COUNTIF(Lookups!$K$2:$K$4,P30)=0,"Invalid Status; ","")</f>
        <v/>
      </c>
      <c r="X30" s="15" t="str">
        <f t="shared" si="5"/>
        <v>2025-10</v>
      </c>
      <c r="Y30" t="str">
        <f t="shared" si="6"/>
        <v>Q4</v>
      </c>
      <c r="Z30" t="str">
        <f>IF(R30&gt;=Settings!$B$9,"High Value Customer",IF(R30&gt;=Settings!$B$10,"Medium Value Customer","Standard Customer"))</f>
        <v>Standard Customer</v>
      </c>
      <c r="AA30" t="str">
        <f>IF(R30&gt;=Settings!$B$9,"Large Order",IF(R30&gt;=Settings!$B$10,"Medium Order","Small Order"))</f>
        <v>Small Order</v>
      </c>
      <c r="AB30" t="str">
        <f>IF(N30=0,"No Discount",IF(N30&lt;=0.1,"Low Discount",IF(N30&lt;=Settings!$B$8,"Medium Discount","High Discount")))</f>
        <v>Medium Discount</v>
      </c>
      <c r="AC30" t="str">
        <f t="shared" si="7"/>
        <v>Profitable</v>
      </c>
      <c r="AD30" t="str">
        <f>IFERROR(VLOOKUP(E30,Lookups!$A$2:$E$11,2,FALSE),"Product Not Found")</f>
        <v>Laptop Stand</v>
      </c>
      <c r="AE30" t="str">
        <f>IFERROR(VLOOKUP(E30,Lookups!$A$2:$E$11,3,FALSE),"Category Not Found")</f>
        <v>Accessories</v>
      </c>
      <c r="AF30" t="str">
        <f>IFERROR(IF(L30=VLOOKUP(E30,Lookups!$A$2:$E$11,4,FALSE),"Price OK","Price Mismatch"),"Product Missing")</f>
        <v>Price OK</v>
      </c>
      <c r="AG30" t="str">
        <f t="shared" si="8"/>
        <v>Valid Email</v>
      </c>
      <c r="AH30" t="str">
        <f t="shared" si="9"/>
        <v>READY FOR REPORTING</v>
      </c>
      <c r="AI30" t="str">
        <f>IF(AND(LEFT(A30,LEN(Settings!$B$13))=Settings!$B$13,LEN(A30)=9),"Valid Format","Invalid Format")</f>
        <v>Valid Format</v>
      </c>
      <c r="AJ30" t="str">
        <f>IF(LEFT(C30,LEN(Settings!$B$14))=Settings!$B$14,"Valid Format","Invalid Format")</f>
        <v>Valid Format</v>
      </c>
      <c r="AK30" t="str">
        <f>IF(COUNTIF(Master_Data!$G$5:$G$14,C30)=1,"Known Customer","Customer Not in Master")</f>
        <v>Customer Not in Master</v>
      </c>
      <c r="AL30" t="str">
        <f>IF(U30&gt;=Settings!$B$11,"Target Met","Below Target")</f>
        <v>Target Met</v>
      </c>
      <c r="AM30" t="str">
        <f>IF(YEAR(B30)=Settings!$B$5,"Correct Year","Wrong Year")</f>
        <v>Correct Year</v>
      </c>
      <c r="AN30">
        <f t="shared" si="10"/>
        <v>4</v>
      </c>
    </row>
    <row r="31" spans="1:40">
      <c r="A31" t="str">
        <f>Raw_Data!A31</f>
        <v>ORD-10030</v>
      </c>
      <c r="B31" s="13">
        <f>Raw_Data!B31</f>
        <v>45692</v>
      </c>
      <c r="C31" t="str">
        <f>Raw_Data!C31</f>
        <v>C1016</v>
      </c>
      <c r="D31" t="str">
        <f>Raw_Data!D31</f>
        <v>client146@example.com</v>
      </c>
      <c r="E31" t="str">
        <f>Raw_Data!E31</f>
        <v>P1010</v>
      </c>
      <c r="F31" t="str">
        <f>Raw_Data!F31</f>
        <v>Headset</v>
      </c>
      <c r="G31" t="str">
        <f>Raw_Data!G31</f>
        <v>Electronics</v>
      </c>
      <c r="H31" t="str">
        <f>Raw_Data!H31</f>
        <v>North</v>
      </c>
      <c r="I31" t="str">
        <f>Raw_Data!I31</f>
        <v>Marketplace</v>
      </c>
      <c r="J31" t="str">
        <f>Raw_Data!J31</f>
        <v>Ioana Pavel</v>
      </c>
      <c r="K31">
        <f>Raw_Data!K31</f>
        <v>11</v>
      </c>
      <c r="L31" s="12">
        <f>Raw_Data!L31</f>
        <v>195</v>
      </c>
      <c r="M31" s="12">
        <f>Raw_Data!M31</f>
        <v>105</v>
      </c>
      <c r="N31" s="14">
        <f>Raw_Data!N31</f>
        <v>0</v>
      </c>
      <c r="O31" t="str">
        <f>Raw_Data!O31</f>
        <v>Card</v>
      </c>
      <c r="P31" t="str">
        <f>Raw_Data!P31</f>
        <v>Completed</v>
      </c>
      <c r="Q31" s="12">
        <f t="shared" si="0"/>
        <v>2145</v>
      </c>
      <c r="R31" s="12">
        <f t="shared" si="1"/>
        <v>2145</v>
      </c>
      <c r="S31" s="12">
        <f t="shared" si="2"/>
        <v>1155</v>
      </c>
      <c r="T31" s="12">
        <f t="shared" si="3"/>
        <v>990</v>
      </c>
      <c r="U31" s="11">
        <f t="shared" si="4"/>
        <v>0.46153846153846156</v>
      </c>
      <c r="V31" t="str">
        <f>IF(OR(A31="",COUNTIF($A$2:$A$301,A31)&gt;1,C31="",D31="",ISERROR(SEARCH("@",D31)),ISERROR(SEARCH(".",D31)),COUNTIF(Lookups!$A$2:$A$11,E31)=0,F31="",H31="",K31&lt;=0,L31&lt;0,M31&lt;0,N31&lt;0,N31&gt;0.5,COUNTIF(Lookups!$K$2:$K$4,P31)=0),"ERROR","VALID")</f>
        <v>VALID</v>
      </c>
      <c r="W31" s="2" t="str">
        <f>IF(A31="","Missing Order ID; ","")&amp;IF(COUNTIF($A$2:$A$301,A31)&gt;1,"Duplicate Order ID; ","")&amp;IF(C31="","Missing Customer ID; ","")&amp;IF(OR(D31="",ISERROR(SEARCH("@",D31)),ISERROR(SEARCH(".",D31))),"Invalid Email; ","")&amp;IF(COUNTIF(Lookups!$A$2:$A$11,E31)=0,"Unknown Product; ","")&amp;IF(F31="","Missing Product Name; ","")&amp;IF(H31="","Missing Region; ","")&amp;IF(K31&lt;=0,"Invalid Quantity; ","")&amp;IF(L31&lt;0,"Invalid Price; ","")&amp;IF(M31&lt;0,"Invalid Cost; ","")&amp;IF(OR(N31&lt;0,N31&gt;0.5),"Invalid Discount; ","")&amp;IF(COUNTIF(Lookups!$K$2:$K$4,P31)=0,"Invalid Status; ","")</f>
        <v/>
      </c>
      <c r="X31" s="15" t="str">
        <f t="shared" si="5"/>
        <v>2025-02</v>
      </c>
      <c r="Y31" t="str">
        <f t="shared" si="6"/>
        <v>Q1</v>
      </c>
      <c r="Z31" t="str">
        <f>IF(R31&gt;=Settings!$B$9,"High Value Customer",IF(R31&gt;=Settings!$B$10,"Medium Value Customer","Standard Customer"))</f>
        <v>Medium Value Customer</v>
      </c>
      <c r="AA31" t="str">
        <f>IF(R31&gt;=Settings!$B$9,"Large Order",IF(R31&gt;=Settings!$B$10,"Medium Order","Small Order"))</f>
        <v>Medium Order</v>
      </c>
      <c r="AB31" t="str">
        <f>IF(N31=0,"No Discount",IF(N31&lt;=0.1,"Low Discount",IF(N31&lt;=Settings!$B$8,"Medium Discount","High Discount")))</f>
        <v>No Discount</v>
      </c>
      <c r="AC31" t="str">
        <f t="shared" si="7"/>
        <v>Profitable</v>
      </c>
      <c r="AD31" t="str">
        <f>IFERROR(VLOOKUP(E31,Lookups!$A$2:$E$11,2,FALSE),"Product Not Found")</f>
        <v>Headset</v>
      </c>
      <c r="AE31" t="str">
        <f>IFERROR(VLOOKUP(E31,Lookups!$A$2:$E$11,3,FALSE),"Category Not Found")</f>
        <v>Electronics</v>
      </c>
      <c r="AF31" t="str">
        <f>IFERROR(IF(L31=VLOOKUP(E31,Lookups!$A$2:$E$11,4,FALSE),"Price OK","Price Mismatch"),"Product Missing")</f>
        <v>Price OK</v>
      </c>
      <c r="AG31" t="str">
        <f t="shared" si="8"/>
        <v>Valid Email</v>
      </c>
      <c r="AH31" t="str">
        <f t="shared" si="9"/>
        <v>READY FOR REPORTING</v>
      </c>
      <c r="AI31" t="str">
        <f>IF(AND(LEFT(A31,LEN(Settings!$B$13))=Settings!$B$13,LEN(A31)=9),"Valid Format","Invalid Format")</f>
        <v>Valid Format</v>
      </c>
      <c r="AJ31" t="str">
        <f>IF(LEFT(C31,LEN(Settings!$B$14))=Settings!$B$14,"Valid Format","Invalid Format")</f>
        <v>Valid Format</v>
      </c>
      <c r="AK31" t="str">
        <f>IF(COUNTIF(Master_Data!$G$5:$G$14,C31)=1,"Known Customer","Customer Not in Master")</f>
        <v>Customer Not in Master</v>
      </c>
      <c r="AL31" t="str">
        <f>IF(U31&gt;=Settings!$B$11,"Target Met","Below Target")</f>
        <v>Target Met</v>
      </c>
      <c r="AM31" t="str">
        <f>IF(YEAR(B31)=Settings!$B$5,"Correct Year","Wrong Year")</f>
        <v>Correct Year</v>
      </c>
      <c r="AN31">
        <f t="shared" si="10"/>
        <v>4</v>
      </c>
    </row>
    <row r="32" spans="1:40">
      <c r="A32" t="str">
        <f>Raw_Data!A32</f>
        <v>ORD-10031</v>
      </c>
      <c r="B32" s="13">
        <f>Raw_Data!B32</f>
        <v>45699</v>
      </c>
      <c r="C32" t="str">
        <f>Raw_Data!C32</f>
        <v>C1073</v>
      </c>
      <c r="D32" t="str">
        <f>Raw_Data!D32</f>
        <v>client134@example.com</v>
      </c>
      <c r="E32" t="str">
        <f>Raw_Data!E32</f>
        <v>P1010</v>
      </c>
      <c r="F32" t="str">
        <f>Raw_Data!F32</f>
        <v>Headset</v>
      </c>
      <c r="G32" t="str">
        <f>Raw_Data!G32</f>
        <v>Electronics</v>
      </c>
      <c r="H32" t="str">
        <f>Raw_Data!H32</f>
        <v>South</v>
      </c>
      <c r="I32" t="str">
        <f>Raw_Data!I32</f>
        <v>Store</v>
      </c>
      <c r="J32" t="str">
        <f>Raw_Data!J32</f>
        <v>Maria Ionescu</v>
      </c>
      <c r="K32">
        <f>Raw_Data!K32</f>
        <v>7</v>
      </c>
      <c r="L32" s="12">
        <f>Raw_Data!L32</f>
        <v>195</v>
      </c>
      <c r="M32" s="12">
        <f>Raw_Data!M32</f>
        <v>105</v>
      </c>
      <c r="N32" s="14">
        <f>Raw_Data!N32</f>
        <v>0.2</v>
      </c>
      <c r="O32" t="str">
        <f>Raw_Data!O32</f>
        <v>Cash</v>
      </c>
      <c r="P32" t="str">
        <f>Raw_Data!P32</f>
        <v>Returned</v>
      </c>
      <c r="Q32" s="12">
        <f t="shared" si="0"/>
        <v>1365</v>
      </c>
      <c r="R32" s="12">
        <f t="shared" si="1"/>
        <v>1092</v>
      </c>
      <c r="S32" s="12">
        <f t="shared" si="2"/>
        <v>735</v>
      </c>
      <c r="T32" s="12">
        <f t="shared" si="3"/>
        <v>357</v>
      </c>
      <c r="U32" s="11">
        <f t="shared" si="4"/>
        <v>0.32692307692307693</v>
      </c>
      <c r="V32" t="str">
        <f>IF(OR(A32="",COUNTIF($A$2:$A$301,A32)&gt;1,C32="",D32="",ISERROR(SEARCH("@",D32)),ISERROR(SEARCH(".",D32)),COUNTIF(Lookups!$A$2:$A$11,E32)=0,F32="",H32="",K32&lt;=0,L32&lt;0,M32&lt;0,N32&lt;0,N32&gt;0.5,COUNTIF(Lookups!$K$2:$K$4,P32)=0),"ERROR","VALID")</f>
        <v>VALID</v>
      </c>
      <c r="W32" s="2" t="str">
        <f>IF(A32="","Missing Order ID; ","")&amp;IF(COUNTIF($A$2:$A$301,A32)&gt;1,"Duplicate Order ID; ","")&amp;IF(C32="","Missing Customer ID; ","")&amp;IF(OR(D32="",ISERROR(SEARCH("@",D32)),ISERROR(SEARCH(".",D32))),"Invalid Email; ","")&amp;IF(COUNTIF(Lookups!$A$2:$A$11,E32)=0,"Unknown Product; ","")&amp;IF(F32="","Missing Product Name; ","")&amp;IF(H32="","Missing Region; ","")&amp;IF(K32&lt;=0,"Invalid Quantity; ","")&amp;IF(L32&lt;0,"Invalid Price; ","")&amp;IF(M32&lt;0,"Invalid Cost; ","")&amp;IF(OR(N32&lt;0,N32&gt;0.5),"Invalid Discount; ","")&amp;IF(COUNTIF(Lookups!$K$2:$K$4,P32)=0,"Invalid Status; ","")</f>
        <v/>
      </c>
      <c r="X32" s="15" t="str">
        <f t="shared" si="5"/>
        <v>2025-02</v>
      </c>
      <c r="Y32" t="str">
        <f t="shared" si="6"/>
        <v>Q1</v>
      </c>
      <c r="Z32" t="str">
        <f>IF(R32&gt;=Settings!$B$9,"High Value Customer",IF(R32&gt;=Settings!$B$10,"Medium Value Customer","Standard Customer"))</f>
        <v>Standard Customer</v>
      </c>
      <c r="AA32" t="str">
        <f>IF(R32&gt;=Settings!$B$9,"Large Order",IF(R32&gt;=Settings!$B$10,"Medium Order","Small Order"))</f>
        <v>Small Order</v>
      </c>
      <c r="AB32" t="str">
        <f>IF(N32=0,"No Discount",IF(N32&lt;=0.1,"Low Discount",IF(N32&lt;=Settings!$B$8,"Medium Discount","High Discount")))</f>
        <v>Medium Discount</v>
      </c>
      <c r="AC32" t="str">
        <f t="shared" si="7"/>
        <v>Profitable</v>
      </c>
      <c r="AD32" t="str">
        <f>IFERROR(VLOOKUP(E32,Lookups!$A$2:$E$11,2,FALSE),"Product Not Found")</f>
        <v>Headset</v>
      </c>
      <c r="AE32" t="str">
        <f>IFERROR(VLOOKUP(E32,Lookups!$A$2:$E$11,3,FALSE),"Category Not Found")</f>
        <v>Electronics</v>
      </c>
      <c r="AF32" t="str">
        <f>IFERROR(IF(L32=VLOOKUP(E32,Lookups!$A$2:$E$11,4,FALSE),"Price OK","Price Mismatch"),"Product Missing")</f>
        <v>Price OK</v>
      </c>
      <c r="AG32" t="str">
        <f t="shared" si="8"/>
        <v>Valid Email</v>
      </c>
      <c r="AH32" t="str">
        <f t="shared" si="9"/>
        <v>READY FOR REPORTING</v>
      </c>
      <c r="AI32" t="str">
        <f>IF(AND(LEFT(A32,LEN(Settings!$B$13))=Settings!$B$13,LEN(A32)=9),"Valid Format","Invalid Format")</f>
        <v>Valid Format</v>
      </c>
      <c r="AJ32" t="str">
        <f>IF(LEFT(C32,LEN(Settings!$B$14))=Settings!$B$14,"Valid Format","Invalid Format")</f>
        <v>Valid Format</v>
      </c>
      <c r="AK32" t="str">
        <f>IF(COUNTIF(Master_Data!$G$5:$G$14,C32)=1,"Known Customer","Customer Not in Master")</f>
        <v>Customer Not in Master</v>
      </c>
      <c r="AL32" t="str">
        <f>IF(U32&gt;=Settings!$B$11,"Target Met","Below Target")</f>
        <v>Target Met</v>
      </c>
      <c r="AM32" t="str">
        <f>IF(YEAR(B32)=Settings!$B$5,"Correct Year","Wrong Year")</f>
        <v>Correct Year</v>
      </c>
      <c r="AN32">
        <f t="shared" si="10"/>
        <v>4</v>
      </c>
    </row>
    <row r="33" spans="1:40">
      <c r="A33" t="str">
        <f>Raw_Data!A33</f>
        <v>ORD-10032</v>
      </c>
      <c r="B33" s="13">
        <f>Raw_Data!B33</f>
        <v>45793</v>
      </c>
      <c r="C33" t="str">
        <f>Raw_Data!C33</f>
        <v>C1083</v>
      </c>
      <c r="D33" t="str">
        <f>Raw_Data!D33</f>
        <v>client77@example.com</v>
      </c>
      <c r="E33" t="str">
        <f>Raw_Data!E33</f>
        <v>P1004</v>
      </c>
      <c r="F33" t="str">
        <f>Raw_Data!F33</f>
        <v>USB-C Hub</v>
      </c>
      <c r="G33" t="str">
        <f>Raw_Data!G33</f>
        <v>Accessories</v>
      </c>
      <c r="H33" t="str">
        <f>Raw_Data!H33</f>
        <v>East</v>
      </c>
      <c r="I33" t="str">
        <f>Raw_Data!I33</f>
        <v>Store</v>
      </c>
      <c r="J33" t="str">
        <f>Raw_Data!J33</f>
        <v>Andrei Pop</v>
      </c>
      <c r="K33">
        <f>Raw_Data!K33</f>
        <v>7</v>
      </c>
      <c r="L33" s="12">
        <f>Raw_Data!L33</f>
        <v>175</v>
      </c>
      <c r="M33" s="12">
        <f>Raw_Data!M33</f>
        <v>98</v>
      </c>
      <c r="N33" s="14">
        <f>Raw_Data!N33</f>
        <v>0</v>
      </c>
      <c r="O33" t="str">
        <f>Raw_Data!O33</f>
        <v>Card</v>
      </c>
      <c r="P33" t="str">
        <f>Raw_Data!P33</f>
        <v>Cancelled</v>
      </c>
      <c r="Q33" s="12">
        <f t="shared" si="0"/>
        <v>1225</v>
      </c>
      <c r="R33" s="12">
        <f t="shared" si="1"/>
        <v>1225</v>
      </c>
      <c r="S33" s="12">
        <f t="shared" si="2"/>
        <v>686</v>
      </c>
      <c r="T33" s="12">
        <f t="shared" si="3"/>
        <v>539</v>
      </c>
      <c r="U33" s="11">
        <f t="shared" si="4"/>
        <v>0.44</v>
      </c>
      <c r="V33" t="str">
        <f>IF(OR(A33="",COUNTIF($A$2:$A$301,A33)&gt;1,C33="",D33="",ISERROR(SEARCH("@",D33)),ISERROR(SEARCH(".",D33)),COUNTIF(Lookups!$A$2:$A$11,E33)=0,F33="",H33="",K33&lt;=0,L33&lt;0,M33&lt;0,N33&lt;0,N33&gt;0.5,COUNTIF(Lookups!$K$2:$K$4,P33)=0),"ERROR","VALID")</f>
        <v>VALID</v>
      </c>
      <c r="W33" s="2" t="str">
        <f>IF(A33="","Missing Order ID; ","")&amp;IF(COUNTIF($A$2:$A$301,A33)&gt;1,"Duplicate Order ID; ","")&amp;IF(C33="","Missing Customer ID; ","")&amp;IF(OR(D33="",ISERROR(SEARCH("@",D33)),ISERROR(SEARCH(".",D33))),"Invalid Email; ","")&amp;IF(COUNTIF(Lookups!$A$2:$A$11,E33)=0,"Unknown Product; ","")&amp;IF(F33="","Missing Product Name; ","")&amp;IF(H33="","Missing Region; ","")&amp;IF(K33&lt;=0,"Invalid Quantity; ","")&amp;IF(L33&lt;0,"Invalid Price; ","")&amp;IF(M33&lt;0,"Invalid Cost; ","")&amp;IF(OR(N33&lt;0,N33&gt;0.5),"Invalid Discount; ","")&amp;IF(COUNTIF(Lookups!$K$2:$K$4,P33)=0,"Invalid Status; ","")</f>
        <v/>
      </c>
      <c r="X33" s="15" t="str">
        <f t="shared" si="5"/>
        <v>2025-05</v>
      </c>
      <c r="Y33" t="str">
        <f t="shared" si="6"/>
        <v>Q2</v>
      </c>
      <c r="Z33" t="str">
        <f>IF(R33&gt;=Settings!$B$9,"High Value Customer",IF(R33&gt;=Settings!$B$10,"Medium Value Customer","Standard Customer"))</f>
        <v>Standard Customer</v>
      </c>
      <c r="AA33" t="str">
        <f>IF(R33&gt;=Settings!$B$9,"Large Order",IF(R33&gt;=Settings!$B$10,"Medium Order","Small Order"))</f>
        <v>Small Order</v>
      </c>
      <c r="AB33" t="str">
        <f>IF(N33=0,"No Discount",IF(N33&lt;=0.1,"Low Discount",IF(N33&lt;=Settings!$B$8,"Medium Discount","High Discount")))</f>
        <v>No Discount</v>
      </c>
      <c r="AC33" t="str">
        <f t="shared" si="7"/>
        <v>Profitable</v>
      </c>
      <c r="AD33" t="str">
        <f>IFERROR(VLOOKUP(E33,Lookups!$A$2:$E$11,2,FALSE),"Product Not Found")</f>
        <v>USB-C Hub</v>
      </c>
      <c r="AE33" t="str">
        <f>IFERROR(VLOOKUP(E33,Lookups!$A$2:$E$11,3,FALSE),"Category Not Found")</f>
        <v>Accessories</v>
      </c>
      <c r="AF33" t="str">
        <f>IFERROR(IF(L33=VLOOKUP(E33,Lookups!$A$2:$E$11,4,FALSE),"Price OK","Price Mismatch"),"Product Missing")</f>
        <v>Price OK</v>
      </c>
      <c r="AG33" t="str">
        <f t="shared" si="8"/>
        <v>Valid Email</v>
      </c>
      <c r="AH33" t="str">
        <f t="shared" si="9"/>
        <v>READY FOR REPORTING</v>
      </c>
      <c r="AI33" t="str">
        <f>IF(AND(LEFT(A33,LEN(Settings!$B$13))=Settings!$B$13,LEN(A33)=9),"Valid Format","Invalid Format")</f>
        <v>Valid Format</v>
      </c>
      <c r="AJ33" t="str">
        <f>IF(LEFT(C33,LEN(Settings!$B$14))=Settings!$B$14,"Valid Format","Invalid Format")</f>
        <v>Valid Format</v>
      </c>
      <c r="AK33" t="str">
        <f>IF(COUNTIF(Master_Data!$G$5:$G$14,C33)=1,"Known Customer","Customer Not in Master")</f>
        <v>Customer Not in Master</v>
      </c>
      <c r="AL33" t="str">
        <f>IF(U33&gt;=Settings!$B$11,"Target Met","Below Target")</f>
        <v>Target Met</v>
      </c>
      <c r="AM33" t="str">
        <f>IF(YEAR(B33)=Settings!$B$5,"Correct Year","Wrong Year")</f>
        <v>Correct Year</v>
      </c>
      <c r="AN33">
        <f t="shared" si="10"/>
        <v>4</v>
      </c>
    </row>
    <row r="34" spans="1:40">
      <c r="A34" t="str">
        <f>Raw_Data!A34</f>
        <v>ORD-10033</v>
      </c>
      <c r="B34" s="13">
        <f>Raw_Data!B34</f>
        <v>45976</v>
      </c>
      <c r="C34" t="str">
        <f>Raw_Data!C34</f>
        <v>C1069</v>
      </c>
      <c r="D34" t="str">
        <f>Raw_Data!D34</f>
        <v>client55@example.com</v>
      </c>
      <c r="E34" t="str">
        <f>Raw_Data!E34</f>
        <v>P1008</v>
      </c>
      <c r="F34" t="str">
        <f>Raw_Data!F34</f>
        <v>Standing Desk</v>
      </c>
      <c r="G34" t="str">
        <f>Raw_Data!G34</f>
        <v>Furniture</v>
      </c>
      <c r="H34" t="str">
        <f>Raw_Data!H34</f>
        <v>West</v>
      </c>
      <c r="I34" t="str">
        <f>Raw_Data!I34</f>
        <v>Store</v>
      </c>
      <c r="J34" t="str">
        <f>Raw_Data!J34</f>
        <v>Maria Ionescu</v>
      </c>
      <c r="K34">
        <f>Raw_Data!K34</f>
        <v>10</v>
      </c>
      <c r="L34" s="12">
        <f>Raw_Data!L34</f>
        <v>1450</v>
      </c>
      <c r="M34" s="12">
        <f>Raw_Data!M34</f>
        <v>1030</v>
      </c>
      <c r="N34" s="14">
        <f>Raw_Data!N34</f>
        <v>0</v>
      </c>
      <c r="O34" t="str">
        <f>Raw_Data!O34</f>
        <v>Cash</v>
      </c>
      <c r="P34" t="str">
        <f>Raw_Data!P34</f>
        <v>Completed</v>
      </c>
      <c r="Q34" s="12">
        <f t="shared" si="0"/>
        <v>14500</v>
      </c>
      <c r="R34" s="12">
        <f t="shared" si="1"/>
        <v>14500</v>
      </c>
      <c r="S34" s="12">
        <f t="shared" si="2"/>
        <v>10300</v>
      </c>
      <c r="T34" s="12">
        <f t="shared" si="3"/>
        <v>4200</v>
      </c>
      <c r="U34" s="11">
        <f t="shared" si="4"/>
        <v>0.28965517241379313</v>
      </c>
      <c r="V34" t="str">
        <f>IF(OR(A34="",COUNTIF($A$2:$A$301,A34)&gt;1,C34="",D34="",ISERROR(SEARCH("@",D34)),ISERROR(SEARCH(".",D34)),COUNTIF(Lookups!$A$2:$A$11,E34)=0,F34="",H34="",K34&lt;=0,L34&lt;0,M34&lt;0,N34&lt;0,N34&gt;0.5,COUNTIF(Lookups!$K$2:$K$4,P34)=0),"ERROR","VALID")</f>
        <v>VALID</v>
      </c>
      <c r="W34" s="2" t="str">
        <f>IF(A34="","Missing Order ID; ","")&amp;IF(COUNTIF($A$2:$A$301,A34)&gt;1,"Duplicate Order ID; ","")&amp;IF(C34="","Missing Customer ID; ","")&amp;IF(OR(D34="",ISERROR(SEARCH("@",D34)),ISERROR(SEARCH(".",D34))),"Invalid Email; ","")&amp;IF(COUNTIF(Lookups!$A$2:$A$11,E34)=0,"Unknown Product; ","")&amp;IF(F34="","Missing Product Name; ","")&amp;IF(H34="","Missing Region; ","")&amp;IF(K34&lt;=0,"Invalid Quantity; ","")&amp;IF(L34&lt;0,"Invalid Price; ","")&amp;IF(M34&lt;0,"Invalid Cost; ","")&amp;IF(OR(N34&lt;0,N34&gt;0.5),"Invalid Discount; ","")&amp;IF(COUNTIF(Lookups!$K$2:$K$4,P34)=0,"Invalid Status; ","")</f>
        <v/>
      </c>
      <c r="X34" s="15" t="str">
        <f t="shared" si="5"/>
        <v>2025-11</v>
      </c>
      <c r="Y34" t="str">
        <f t="shared" si="6"/>
        <v>Q4</v>
      </c>
      <c r="Z34" t="str">
        <f>IF(R34&gt;=Settings!$B$9,"High Value Customer",IF(R34&gt;=Settings!$B$10,"Medium Value Customer","Standard Customer"))</f>
        <v>High Value Customer</v>
      </c>
      <c r="AA34" t="str">
        <f>IF(R34&gt;=Settings!$B$9,"Large Order",IF(R34&gt;=Settings!$B$10,"Medium Order","Small Order"))</f>
        <v>Large Order</v>
      </c>
      <c r="AB34" t="str">
        <f>IF(N34=0,"No Discount",IF(N34&lt;=0.1,"Low Discount",IF(N34&lt;=Settings!$B$8,"Medium Discount","High Discount")))</f>
        <v>No Discount</v>
      </c>
      <c r="AC34" t="str">
        <f t="shared" si="7"/>
        <v>Profitable</v>
      </c>
      <c r="AD34" t="str">
        <f>IFERROR(VLOOKUP(E34,Lookups!$A$2:$E$11,2,FALSE),"Product Not Found")</f>
        <v>Standing Desk</v>
      </c>
      <c r="AE34" t="str">
        <f>IFERROR(VLOOKUP(E34,Lookups!$A$2:$E$11,3,FALSE),"Category Not Found")</f>
        <v>Furniture</v>
      </c>
      <c r="AF34" t="str">
        <f>IFERROR(IF(L34=VLOOKUP(E34,Lookups!$A$2:$E$11,4,FALSE),"Price OK","Price Mismatch"),"Product Missing")</f>
        <v>Price OK</v>
      </c>
      <c r="AG34" t="str">
        <f t="shared" si="8"/>
        <v>Valid Email</v>
      </c>
      <c r="AH34" t="str">
        <f t="shared" si="9"/>
        <v>READY FOR REPORTING</v>
      </c>
      <c r="AI34" t="str">
        <f>IF(AND(LEFT(A34,LEN(Settings!$B$13))=Settings!$B$13,LEN(A34)=9),"Valid Format","Invalid Format")</f>
        <v>Valid Format</v>
      </c>
      <c r="AJ34" t="str">
        <f>IF(LEFT(C34,LEN(Settings!$B$14))=Settings!$B$14,"Valid Format","Invalid Format")</f>
        <v>Valid Format</v>
      </c>
      <c r="AK34" t="str">
        <f>IF(COUNTIF(Master_Data!$G$5:$G$14,C34)=1,"Known Customer","Customer Not in Master")</f>
        <v>Customer Not in Master</v>
      </c>
      <c r="AL34" t="str">
        <f>IF(U34&gt;=Settings!$B$11,"Target Met","Below Target")</f>
        <v>Target Met</v>
      </c>
      <c r="AM34" t="str">
        <f>IF(YEAR(B34)=Settings!$B$5,"Correct Year","Wrong Year")</f>
        <v>Correct Year</v>
      </c>
      <c r="AN34">
        <f t="shared" si="10"/>
        <v>4</v>
      </c>
    </row>
    <row r="35" spans="1:40">
      <c r="A35" t="str">
        <f>Raw_Data!A35</f>
        <v>ORD-10034</v>
      </c>
      <c r="B35" s="13">
        <f>Raw_Data!B35</f>
        <v>45783</v>
      </c>
      <c r="C35" t="str">
        <f>Raw_Data!C35</f>
        <v>C1057</v>
      </c>
      <c r="D35" t="str">
        <f>Raw_Data!D35</f>
        <v>client140@example.com</v>
      </c>
      <c r="E35" t="str">
        <f>Raw_Data!E35</f>
        <v>P1002</v>
      </c>
      <c r="F35" t="str">
        <f>Raw_Data!F35</f>
        <v>Wireless Mouse</v>
      </c>
      <c r="G35" t="str">
        <f>Raw_Data!G35</f>
        <v>Accessories</v>
      </c>
      <c r="H35" t="str">
        <f>Raw_Data!H35</f>
        <v>South</v>
      </c>
      <c r="I35" t="str">
        <f>Raw_Data!I35</f>
        <v>Marketplace</v>
      </c>
      <c r="J35" t="str">
        <f>Raw_Data!J35</f>
        <v>Ioana Pavel</v>
      </c>
      <c r="K35">
        <f>Raw_Data!K35</f>
        <v>6</v>
      </c>
      <c r="L35" s="12">
        <f>Raw_Data!L35</f>
        <v>85</v>
      </c>
      <c r="M35" s="12">
        <f>Raw_Data!M35</f>
        <v>44</v>
      </c>
      <c r="N35" s="14">
        <f>Raw_Data!N35</f>
        <v>0.05</v>
      </c>
      <c r="O35" t="str">
        <f>Raw_Data!O35</f>
        <v>Card</v>
      </c>
      <c r="P35" t="str">
        <f>Raw_Data!P35</f>
        <v>Completed</v>
      </c>
      <c r="Q35" s="12">
        <f t="shared" si="0"/>
        <v>510</v>
      </c>
      <c r="R35" s="12">
        <f t="shared" si="1"/>
        <v>484.5</v>
      </c>
      <c r="S35" s="12">
        <f t="shared" si="2"/>
        <v>264</v>
      </c>
      <c r="T35" s="12">
        <f t="shared" si="3"/>
        <v>220.5</v>
      </c>
      <c r="U35" s="11">
        <f t="shared" si="4"/>
        <v>0.45510835913312692</v>
      </c>
      <c r="V35" t="str">
        <f>IF(OR(A35="",COUNTIF($A$2:$A$301,A35)&gt;1,C35="",D35="",ISERROR(SEARCH("@",D35)),ISERROR(SEARCH(".",D35)),COUNTIF(Lookups!$A$2:$A$11,E35)=0,F35="",H35="",K35&lt;=0,L35&lt;0,M35&lt;0,N35&lt;0,N35&gt;0.5,COUNTIF(Lookups!$K$2:$K$4,P35)=0),"ERROR","VALID")</f>
        <v>VALID</v>
      </c>
      <c r="W35" s="2" t="str">
        <f>IF(A35="","Missing Order ID; ","")&amp;IF(COUNTIF($A$2:$A$301,A35)&gt;1,"Duplicate Order ID; ","")&amp;IF(C35="","Missing Customer ID; ","")&amp;IF(OR(D35="",ISERROR(SEARCH("@",D35)),ISERROR(SEARCH(".",D35))),"Invalid Email; ","")&amp;IF(COUNTIF(Lookups!$A$2:$A$11,E35)=0,"Unknown Product; ","")&amp;IF(F35="","Missing Product Name; ","")&amp;IF(H35="","Missing Region; ","")&amp;IF(K35&lt;=0,"Invalid Quantity; ","")&amp;IF(L35&lt;0,"Invalid Price; ","")&amp;IF(M35&lt;0,"Invalid Cost; ","")&amp;IF(OR(N35&lt;0,N35&gt;0.5),"Invalid Discount; ","")&amp;IF(COUNTIF(Lookups!$K$2:$K$4,P35)=0,"Invalid Status; ","")</f>
        <v/>
      </c>
      <c r="X35" s="15" t="str">
        <f t="shared" si="5"/>
        <v>2025-05</v>
      </c>
      <c r="Y35" t="str">
        <f t="shared" si="6"/>
        <v>Q2</v>
      </c>
      <c r="Z35" t="str">
        <f>IF(R35&gt;=Settings!$B$9,"High Value Customer",IF(R35&gt;=Settings!$B$10,"Medium Value Customer","Standard Customer"))</f>
        <v>Standard Customer</v>
      </c>
      <c r="AA35" t="str">
        <f>IF(R35&gt;=Settings!$B$9,"Large Order",IF(R35&gt;=Settings!$B$10,"Medium Order","Small Order"))</f>
        <v>Small Order</v>
      </c>
      <c r="AB35" t="str">
        <f>IF(N35=0,"No Discount",IF(N35&lt;=0.1,"Low Discount",IF(N35&lt;=Settings!$B$8,"Medium Discount","High Discount")))</f>
        <v>Low Discount</v>
      </c>
      <c r="AC35" t="str">
        <f t="shared" si="7"/>
        <v>Profitable</v>
      </c>
      <c r="AD35" t="str">
        <f>IFERROR(VLOOKUP(E35,Lookups!$A$2:$E$11,2,FALSE),"Product Not Found")</f>
        <v>Wireless Mouse</v>
      </c>
      <c r="AE35" t="str">
        <f>IFERROR(VLOOKUP(E35,Lookups!$A$2:$E$11,3,FALSE),"Category Not Found")</f>
        <v>Accessories</v>
      </c>
      <c r="AF35" t="str">
        <f>IFERROR(IF(L35=VLOOKUP(E35,Lookups!$A$2:$E$11,4,FALSE),"Price OK","Price Mismatch"),"Product Missing")</f>
        <v>Price OK</v>
      </c>
      <c r="AG35" t="str">
        <f t="shared" si="8"/>
        <v>Valid Email</v>
      </c>
      <c r="AH35" t="str">
        <f t="shared" si="9"/>
        <v>READY FOR REPORTING</v>
      </c>
      <c r="AI35" t="str">
        <f>IF(AND(LEFT(A35,LEN(Settings!$B$13))=Settings!$B$13,LEN(A35)=9),"Valid Format","Invalid Format")</f>
        <v>Valid Format</v>
      </c>
      <c r="AJ35" t="str">
        <f>IF(LEFT(C35,LEN(Settings!$B$14))=Settings!$B$14,"Valid Format","Invalid Format")</f>
        <v>Valid Format</v>
      </c>
      <c r="AK35" t="str">
        <f>IF(COUNTIF(Master_Data!$G$5:$G$14,C35)=1,"Known Customer","Customer Not in Master")</f>
        <v>Customer Not in Master</v>
      </c>
      <c r="AL35" t="str">
        <f>IF(U35&gt;=Settings!$B$11,"Target Met","Below Target")</f>
        <v>Target Met</v>
      </c>
      <c r="AM35" t="str">
        <f>IF(YEAR(B35)=Settings!$B$5,"Correct Year","Wrong Year")</f>
        <v>Correct Year</v>
      </c>
      <c r="AN35">
        <f t="shared" si="10"/>
        <v>4</v>
      </c>
    </row>
    <row r="36" spans="1:40">
      <c r="A36" t="str">
        <f>Raw_Data!A36</f>
        <v>ORD-10035</v>
      </c>
      <c r="B36" s="13">
        <f>Raw_Data!B36</f>
        <v>45811</v>
      </c>
      <c r="C36" t="str">
        <f>Raw_Data!C36</f>
        <v>C1034</v>
      </c>
      <c r="D36" t="str">
        <f>Raw_Data!D36</f>
        <v>client30@example.com</v>
      </c>
      <c r="E36" t="str">
        <f>Raw_Data!E36</f>
        <v>P1009</v>
      </c>
      <c r="F36" t="str">
        <f>Raw_Data!F36</f>
        <v>Webcam</v>
      </c>
      <c r="G36" t="str">
        <f>Raw_Data!G36</f>
        <v>Electronics</v>
      </c>
      <c r="H36" t="str">
        <f>Raw_Data!H36</f>
        <v>Bucharest</v>
      </c>
      <c r="I36" t="str">
        <f>Raw_Data!I36</f>
        <v>Marketplace</v>
      </c>
      <c r="J36" t="str">
        <f>Raw_Data!J36</f>
        <v>Ioana Pavel</v>
      </c>
      <c r="K36">
        <f>Raw_Data!K36</f>
        <v>11</v>
      </c>
      <c r="L36" s="12">
        <f>Raw_Data!L36</f>
        <v>230</v>
      </c>
      <c r="M36" s="12">
        <f>Raw_Data!M36</f>
        <v>132</v>
      </c>
      <c r="N36" s="14">
        <f>Raw_Data!N36</f>
        <v>0</v>
      </c>
      <c r="O36" t="str">
        <f>Raw_Data!O36</f>
        <v>Bank Transfer</v>
      </c>
      <c r="P36" t="str">
        <f>Raw_Data!P36</f>
        <v>Completed</v>
      </c>
      <c r="Q36" s="12">
        <f t="shared" si="0"/>
        <v>2530</v>
      </c>
      <c r="R36" s="12">
        <f t="shared" si="1"/>
        <v>2530</v>
      </c>
      <c r="S36" s="12">
        <f t="shared" si="2"/>
        <v>1452</v>
      </c>
      <c r="T36" s="12">
        <f t="shared" si="3"/>
        <v>1078</v>
      </c>
      <c r="U36" s="11">
        <f t="shared" si="4"/>
        <v>0.42608695652173911</v>
      </c>
      <c r="V36" t="str">
        <f>IF(OR(A36="",COUNTIF($A$2:$A$301,A36)&gt;1,C36="",D36="",ISERROR(SEARCH("@",D36)),ISERROR(SEARCH(".",D36)),COUNTIF(Lookups!$A$2:$A$11,E36)=0,F36="",H36="",K36&lt;=0,L36&lt;0,M36&lt;0,N36&lt;0,N36&gt;0.5,COUNTIF(Lookups!$K$2:$K$4,P36)=0),"ERROR","VALID")</f>
        <v>VALID</v>
      </c>
      <c r="W36" s="2" t="str">
        <f>IF(A36="","Missing Order ID; ","")&amp;IF(COUNTIF($A$2:$A$301,A36)&gt;1,"Duplicate Order ID; ","")&amp;IF(C36="","Missing Customer ID; ","")&amp;IF(OR(D36="",ISERROR(SEARCH("@",D36)),ISERROR(SEARCH(".",D36))),"Invalid Email; ","")&amp;IF(COUNTIF(Lookups!$A$2:$A$11,E36)=0,"Unknown Product; ","")&amp;IF(F36="","Missing Product Name; ","")&amp;IF(H36="","Missing Region; ","")&amp;IF(K36&lt;=0,"Invalid Quantity; ","")&amp;IF(L36&lt;0,"Invalid Price; ","")&amp;IF(M36&lt;0,"Invalid Cost; ","")&amp;IF(OR(N36&lt;0,N36&gt;0.5),"Invalid Discount; ","")&amp;IF(COUNTIF(Lookups!$K$2:$K$4,P36)=0,"Invalid Status; ","")</f>
        <v/>
      </c>
      <c r="X36" s="15" t="str">
        <f t="shared" si="5"/>
        <v>2025-06</v>
      </c>
      <c r="Y36" t="str">
        <f t="shared" si="6"/>
        <v>Q2</v>
      </c>
      <c r="Z36" t="str">
        <f>IF(R36&gt;=Settings!$B$9,"High Value Customer",IF(R36&gt;=Settings!$B$10,"Medium Value Customer","Standard Customer"))</f>
        <v>Medium Value Customer</v>
      </c>
      <c r="AA36" t="str">
        <f>IF(R36&gt;=Settings!$B$9,"Large Order",IF(R36&gt;=Settings!$B$10,"Medium Order","Small Order"))</f>
        <v>Medium Order</v>
      </c>
      <c r="AB36" t="str">
        <f>IF(N36=0,"No Discount",IF(N36&lt;=0.1,"Low Discount",IF(N36&lt;=Settings!$B$8,"Medium Discount","High Discount")))</f>
        <v>No Discount</v>
      </c>
      <c r="AC36" t="str">
        <f t="shared" si="7"/>
        <v>Profitable</v>
      </c>
      <c r="AD36" t="str">
        <f>IFERROR(VLOOKUP(E36,Lookups!$A$2:$E$11,2,FALSE),"Product Not Found")</f>
        <v>Webcam</v>
      </c>
      <c r="AE36" t="str">
        <f>IFERROR(VLOOKUP(E36,Lookups!$A$2:$E$11,3,FALSE),"Category Not Found")</f>
        <v>Electronics</v>
      </c>
      <c r="AF36" t="str">
        <f>IFERROR(IF(L36=VLOOKUP(E36,Lookups!$A$2:$E$11,4,FALSE),"Price OK","Price Mismatch"),"Product Missing")</f>
        <v>Price OK</v>
      </c>
      <c r="AG36" t="str">
        <f t="shared" si="8"/>
        <v>Valid Email</v>
      </c>
      <c r="AH36" t="str">
        <f t="shared" si="9"/>
        <v>READY FOR REPORTING</v>
      </c>
      <c r="AI36" t="str">
        <f>IF(AND(LEFT(A36,LEN(Settings!$B$13))=Settings!$B$13,LEN(A36)=9),"Valid Format","Invalid Format")</f>
        <v>Valid Format</v>
      </c>
      <c r="AJ36" t="str">
        <f>IF(LEFT(C36,LEN(Settings!$B$14))=Settings!$B$14,"Valid Format","Invalid Format")</f>
        <v>Valid Format</v>
      </c>
      <c r="AK36" t="str">
        <f>IF(COUNTIF(Master_Data!$G$5:$G$14,C36)=1,"Known Customer","Customer Not in Master")</f>
        <v>Customer Not in Master</v>
      </c>
      <c r="AL36" t="str">
        <f>IF(U36&gt;=Settings!$B$11,"Target Met","Below Target")</f>
        <v>Target Met</v>
      </c>
      <c r="AM36" t="str">
        <f>IF(YEAR(B36)=Settings!$B$5,"Correct Year","Wrong Year")</f>
        <v>Correct Year</v>
      </c>
      <c r="AN36">
        <f t="shared" si="10"/>
        <v>4</v>
      </c>
    </row>
    <row r="37" spans="1:40">
      <c r="A37" t="str">
        <f>Raw_Data!A37</f>
        <v>ORD-10036</v>
      </c>
      <c r="B37" s="13">
        <f>Raw_Data!B37</f>
        <v>45802</v>
      </c>
      <c r="C37" t="str">
        <f>Raw_Data!C37</f>
        <v>C1044</v>
      </c>
      <c r="D37" t="str">
        <f>Raw_Data!D37</f>
        <v>client53@example.com</v>
      </c>
      <c r="E37" t="str">
        <f>Raw_Data!E37</f>
        <v>P1005</v>
      </c>
      <c r="F37" t="str">
        <f>Raw_Data!F37</f>
        <v>24-inch Monitor</v>
      </c>
      <c r="G37" t="str">
        <f>Raw_Data!G37</f>
        <v>Electronics</v>
      </c>
      <c r="H37" t="str">
        <f>Raw_Data!H37</f>
        <v>South</v>
      </c>
      <c r="I37" t="str">
        <f>Raw_Data!I37</f>
        <v>Marketplace</v>
      </c>
      <c r="J37" t="str">
        <f>Raw_Data!J37</f>
        <v>Mihai Radu</v>
      </c>
      <c r="K37">
        <f>Raw_Data!K37</f>
        <v>10</v>
      </c>
      <c r="L37" s="12">
        <f>Raw_Data!L37</f>
        <v>720</v>
      </c>
      <c r="M37" s="12">
        <f>Raw_Data!M37</f>
        <v>510</v>
      </c>
      <c r="N37" s="14">
        <f>Raw_Data!N37</f>
        <v>0</v>
      </c>
      <c r="O37" t="str">
        <f>Raw_Data!O37</f>
        <v>Cash</v>
      </c>
      <c r="P37" t="str">
        <f>Raw_Data!P37</f>
        <v>Cancelled</v>
      </c>
      <c r="Q37" s="12">
        <f t="shared" si="0"/>
        <v>7200</v>
      </c>
      <c r="R37" s="12">
        <f t="shared" si="1"/>
        <v>7200</v>
      </c>
      <c r="S37" s="12">
        <f t="shared" si="2"/>
        <v>5100</v>
      </c>
      <c r="T37" s="12">
        <f t="shared" si="3"/>
        <v>2100</v>
      </c>
      <c r="U37" s="11">
        <f t="shared" si="4"/>
        <v>0.29166666666666669</v>
      </c>
      <c r="V37" t="str">
        <f>IF(OR(A37="",COUNTIF($A$2:$A$301,A37)&gt;1,C37="",D37="",ISERROR(SEARCH("@",D37)),ISERROR(SEARCH(".",D37)),COUNTIF(Lookups!$A$2:$A$11,E37)=0,F37="",H37="",K37&lt;=0,L37&lt;0,M37&lt;0,N37&lt;0,N37&gt;0.5,COUNTIF(Lookups!$K$2:$K$4,P37)=0),"ERROR","VALID")</f>
        <v>VALID</v>
      </c>
      <c r="W37" s="2" t="str">
        <f>IF(A37="","Missing Order ID; ","")&amp;IF(COUNTIF($A$2:$A$301,A37)&gt;1,"Duplicate Order ID; ","")&amp;IF(C37="","Missing Customer ID; ","")&amp;IF(OR(D37="",ISERROR(SEARCH("@",D37)),ISERROR(SEARCH(".",D37))),"Invalid Email; ","")&amp;IF(COUNTIF(Lookups!$A$2:$A$11,E37)=0,"Unknown Product; ","")&amp;IF(F37="","Missing Product Name; ","")&amp;IF(H37="","Missing Region; ","")&amp;IF(K37&lt;=0,"Invalid Quantity; ","")&amp;IF(L37&lt;0,"Invalid Price; ","")&amp;IF(M37&lt;0,"Invalid Cost; ","")&amp;IF(OR(N37&lt;0,N37&gt;0.5),"Invalid Discount; ","")&amp;IF(COUNTIF(Lookups!$K$2:$K$4,P37)=0,"Invalid Status; ","")</f>
        <v/>
      </c>
      <c r="X37" s="15" t="str">
        <f t="shared" si="5"/>
        <v>2025-05</v>
      </c>
      <c r="Y37" t="str">
        <f t="shared" si="6"/>
        <v>Q2</v>
      </c>
      <c r="Z37" t="str">
        <f>IF(R37&gt;=Settings!$B$9,"High Value Customer",IF(R37&gt;=Settings!$B$10,"Medium Value Customer","Standard Customer"))</f>
        <v>High Value Customer</v>
      </c>
      <c r="AA37" t="str">
        <f>IF(R37&gt;=Settings!$B$9,"Large Order",IF(R37&gt;=Settings!$B$10,"Medium Order","Small Order"))</f>
        <v>Large Order</v>
      </c>
      <c r="AB37" t="str">
        <f>IF(N37=0,"No Discount",IF(N37&lt;=0.1,"Low Discount",IF(N37&lt;=Settings!$B$8,"Medium Discount","High Discount")))</f>
        <v>No Discount</v>
      </c>
      <c r="AC37" t="str">
        <f t="shared" si="7"/>
        <v>Profitable</v>
      </c>
      <c r="AD37" t="str">
        <f>IFERROR(VLOOKUP(E37,Lookups!$A$2:$E$11,2,FALSE),"Product Not Found")</f>
        <v>24-inch Monitor</v>
      </c>
      <c r="AE37" t="str">
        <f>IFERROR(VLOOKUP(E37,Lookups!$A$2:$E$11,3,FALSE),"Category Not Found")</f>
        <v>Electronics</v>
      </c>
      <c r="AF37" t="str">
        <f>IFERROR(IF(L37=VLOOKUP(E37,Lookups!$A$2:$E$11,4,FALSE),"Price OK","Price Mismatch"),"Product Missing")</f>
        <v>Price OK</v>
      </c>
      <c r="AG37" t="str">
        <f t="shared" si="8"/>
        <v>Valid Email</v>
      </c>
      <c r="AH37" t="str">
        <f t="shared" si="9"/>
        <v>READY FOR REPORTING</v>
      </c>
      <c r="AI37" t="str">
        <f>IF(AND(LEFT(A37,LEN(Settings!$B$13))=Settings!$B$13,LEN(A37)=9),"Valid Format","Invalid Format")</f>
        <v>Valid Format</v>
      </c>
      <c r="AJ37" t="str">
        <f>IF(LEFT(C37,LEN(Settings!$B$14))=Settings!$B$14,"Valid Format","Invalid Format")</f>
        <v>Valid Format</v>
      </c>
      <c r="AK37" t="str">
        <f>IF(COUNTIF(Master_Data!$G$5:$G$14,C37)=1,"Known Customer","Customer Not in Master")</f>
        <v>Customer Not in Master</v>
      </c>
      <c r="AL37" t="str">
        <f>IF(U37&gt;=Settings!$B$11,"Target Met","Below Target")</f>
        <v>Target Met</v>
      </c>
      <c r="AM37" t="str">
        <f>IF(YEAR(B37)=Settings!$B$5,"Correct Year","Wrong Year")</f>
        <v>Correct Year</v>
      </c>
      <c r="AN37">
        <f t="shared" si="10"/>
        <v>4</v>
      </c>
    </row>
    <row r="38" spans="1:40">
      <c r="A38" t="str">
        <f>Raw_Data!A38</f>
        <v>ORD-10037</v>
      </c>
      <c r="B38" s="13">
        <f>Raw_Data!B38</f>
        <v>45705</v>
      </c>
      <c r="C38" t="str">
        <f>Raw_Data!C38</f>
        <v>C1006</v>
      </c>
      <c r="D38" t="str">
        <f>Raw_Data!D38</f>
        <v>client1@example.com</v>
      </c>
      <c r="E38" t="str">
        <f>Raw_Data!E38</f>
        <v>P1001</v>
      </c>
      <c r="F38" t="str">
        <f>Raw_Data!F38</f>
        <v>Laptop Stand</v>
      </c>
      <c r="G38" t="str">
        <f>Raw_Data!G38</f>
        <v>Accessories</v>
      </c>
      <c r="H38" t="str">
        <f>Raw_Data!H38</f>
        <v>South</v>
      </c>
      <c r="I38" t="str">
        <f>Raw_Data!I38</f>
        <v>Online</v>
      </c>
      <c r="J38" t="str">
        <f>Raw_Data!J38</f>
        <v>Elena Stan</v>
      </c>
      <c r="K38">
        <f>Raw_Data!K38</f>
        <v>11</v>
      </c>
      <c r="L38" s="12">
        <f>Raw_Data!L38</f>
        <v>95</v>
      </c>
      <c r="M38" s="12">
        <f>Raw_Data!M38</f>
        <v>52</v>
      </c>
      <c r="N38" s="14">
        <f>Raw_Data!N38</f>
        <v>0.1</v>
      </c>
      <c r="O38" t="str">
        <f>Raw_Data!O38</f>
        <v>Bank Transfer</v>
      </c>
      <c r="P38" t="str">
        <f>Raw_Data!P38</f>
        <v>Completed</v>
      </c>
      <c r="Q38" s="12">
        <f t="shared" si="0"/>
        <v>1045</v>
      </c>
      <c r="R38" s="12">
        <f t="shared" si="1"/>
        <v>940.5</v>
      </c>
      <c r="S38" s="12">
        <f t="shared" si="2"/>
        <v>572</v>
      </c>
      <c r="T38" s="12">
        <f t="shared" si="3"/>
        <v>368.5</v>
      </c>
      <c r="U38" s="11">
        <f t="shared" si="4"/>
        <v>0.391812865497076</v>
      </c>
      <c r="V38" t="str">
        <f>IF(OR(A38="",COUNTIF($A$2:$A$301,A38)&gt;1,C38="",D38="",ISERROR(SEARCH("@",D38)),ISERROR(SEARCH(".",D38)),COUNTIF(Lookups!$A$2:$A$11,E38)=0,F38="",H38="",K38&lt;=0,L38&lt;0,M38&lt;0,N38&lt;0,N38&gt;0.5,COUNTIF(Lookups!$K$2:$K$4,P38)=0),"ERROR","VALID")</f>
        <v>VALID</v>
      </c>
      <c r="W38" s="2" t="str">
        <f>IF(A38="","Missing Order ID; ","")&amp;IF(COUNTIF($A$2:$A$301,A38)&gt;1,"Duplicate Order ID; ","")&amp;IF(C38="","Missing Customer ID; ","")&amp;IF(OR(D38="",ISERROR(SEARCH("@",D38)),ISERROR(SEARCH(".",D38))),"Invalid Email; ","")&amp;IF(COUNTIF(Lookups!$A$2:$A$11,E38)=0,"Unknown Product; ","")&amp;IF(F38="","Missing Product Name; ","")&amp;IF(H38="","Missing Region; ","")&amp;IF(K38&lt;=0,"Invalid Quantity; ","")&amp;IF(L38&lt;0,"Invalid Price; ","")&amp;IF(M38&lt;0,"Invalid Cost; ","")&amp;IF(OR(N38&lt;0,N38&gt;0.5),"Invalid Discount; ","")&amp;IF(COUNTIF(Lookups!$K$2:$K$4,P38)=0,"Invalid Status; ","")</f>
        <v/>
      </c>
      <c r="X38" s="15" t="str">
        <f t="shared" si="5"/>
        <v>2025-02</v>
      </c>
      <c r="Y38" t="str">
        <f t="shared" si="6"/>
        <v>Q1</v>
      </c>
      <c r="Z38" t="str">
        <f>IF(R38&gt;=Settings!$B$9,"High Value Customer",IF(R38&gt;=Settings!$B$10,"Medium Value Customer","Standard Customer"))</f>
        <v>Standard Customer</v>
      </c>
      <c r="AA38" t="str">
        <f>IF(R38&gt;=Settings!$B$9,"Large Order",IF(R38&gt;=Settings!$B$10,"Medium Order","Small Order"))</f>
        <v>Small Order</v>
      </c>
      <c r="AB38" t="str">
        <f>IF(N38=0,"No Discount",IF(N38&lt;=0.1,"Low Discount",IF(N38&lt;=Settings!$B$8,"Medium Discount","High Discount")))</f>
        <v>Low Discount</v>
      </c>
      <c r="AC38" t="str">
        <f t="shared" si="7"/>
        <v>Profitable</v>
      </c>
      <c r="AD38" t="str">
        <f>IFERROR(VLOOKUP(E38,Lookups!$A$2:$E$11,2,FALSE),"Product Not Found")</f>
        <v>Laptop Stand</v>
      </c>
      <c r="AE38" t="str">
        <f>IFERROR(VLOOKUP(E38,Lookups!$A$2:$E$11,3,FALSE),"Category Not Found")</f>
        <v>Accessories</v>
      </c>
      <c r="AF38" t="str">
        <f>IFERROR(IF(L38=VLOOKUP(E38,Lookups!$A$2:$E$11,4,FALSE),"Price OK","Price Mismatch"),"Product Missing")</f>
        <v>Price OK</v>
      </c>
      <c r="AG38" t="str">
        <f t="shared" si="8"/>
        <v>Valid Email</v>
      </c>
      <c r="AH38" t="str">
        <f t="shared" si="9"/>
        <v>READY FOR REPORTING</v>
      </c>
      <c r="AI38" t="str">
        <f>IF(AND(LEFT(A38,LEN(Settings!$B$13))=Settings!$B$13,LEN(A38)=9),"Valid Format","Invalid Format")</f>
        <v>Valid Format</v>
      </c>
      <c r="AJ38" t="str">
        <f>IF(LEFT(C38,LEN(Settings!$B$14))=Settings!$B$14,"Valid Format","Invalid Format")</f>
        <v>Valid Format</v>
      </c>
      <c r="AK38" t="str">
        <f>IF(COUNTIF(Master_Data!$G$5:$G$14,C38)=1,"Known Customer","Customer Not in Master")</f>
        <v>Known Customer</v>
      </c>
      <c r="AL38" t="str">
        <f>IF(U38&gt;=Settings!$B$11,"Target Met","Below Target")</f>
        <v>Target Met</v>
      </c>
      <c r="AM38" t="str">
        <f>IF(YEAR(B38)=Settings!$B$5,"Correct Year","Wrong Year")</f>
        <v>Correct Year</v>
      </c>
      <c r="AN38">
        <f t="shared" si="10"/>
        <v>5</v>
      </c>
    </row>
    <row r="39" spans="1:40">
      <c r="A39" t="str">
        <f>Raw_Data!A39</f>
        <v>ORD-10038</v>
      </c>
      <c r="B39" s="13">
        <f>Raw_Data!B39</f>
        <v>45940</v>
      </c>
      <c r="C39" t="str">
        <f>Raw_Data!C39</f>
        <v>C1002</v>
      </c>
      <c r="D39" t="str">
        <f>Raw_Data!D39</f>
        <v>client29@example.com</v>
      </c>
      <c r="E39" t="str">
        <f>Raw_Data!E39</f>
        <v>P1008</v>
      </c>
      <c r="F39" t="str">
        <f>Raw_Data!F39</f>
        <v>Standing Desk</v>
      </c>
      <c r="G39" t="str">
        <f>Raw_Data!G39</f>
        <v>Furniture</v>
      </c>
      <c r="H39" t="str">
        <f>Raw_Data!H39</f>
        <v>Bucharest</v>
      </c>
      <c r="I39" t="str">
        <f>Raw_Data!I39</f>
        <v>Marketplace</v>
      </c>
      <c r="J39" t="str">
        <f>Raw_Data!J39</f>
        <v>Maria Ionescu</v>
      </c>
      <c r="K39">
        <f>Raw_Data!K39</f>
        <v>12</v>
      </c>
      <c r="L39" s="12">
        <f>Raw_Data!L39</f>
        <v>1450</v>
      </c>
      <c r="M39" s="12">
        <f>Raw_Data!M39</f>
        <v>1030</v>
      </c>
      <c r="N39" s="14">
        <f>Raw_Data!N39</f>
        <v>0.1</v>
      </c>
      <c r="O39" t="str">
        <f>Raw_Data!O39</f>
        <v>Card</v>
      </c>
      <c r="P39" t="str">
        <f>Raw_Data!P39</f>
        <v>Returned</v>
      </c>
      <c r="Q39" s="12">
        <f t="shared" si="0"/>
        <v>17400</v>
      </c>
      <c r="R39" s="12">
        <f t="shared" si="1"/>
        <v>15660</v>
      </c>
      <c r="S39" s="12">
        <f t="shared" si="2"/>
        <v>12360</v>
      </c>
      <c r="T39" s="12">
        <f t="shared" si="3"/>
        <v>3300</v>
      </c>
      <c r="U39" s="11">
        <f t="shared" si="4"/>
        <v>0.21072796934865901</v>
      </c>
      <c r="V39" t="str">
        <f>IF(OR(A39="",COUNTIF($A$2:$A$301,A39)&gt;1,C39="",D39="",ISERROR(SEARCH("@",D39)),ISERROR(SEARCH(".",D39)),COUNTIF(Lookups!$A$2:$A$11,E39)=0,F39="",H39="",K39&lt;=0,L39&lt;0,M39&lt;0,N39&lt;0,N39&gt;0.5,COUNTIF(Lookups!$K$2:$K$4,P39)=0),"ERROR","VALID")</f>
        <v>VALID</v>
      </c>
      <c r="W39" s="2" t="str">
        <f>IF(A39="","Missing Order ID; ","")&amp;IF(COUNTIF($A$2:$A$301,A39)&gt;1,"Duplicate Order ID; ","")&amp;IF(C39="","Missing Customer ID; ","")&amp;IF(OR(D39="",ISERROR(SEARCH("@",D39)),ISERROR(SEARCH(".",D39))),"Invalid Email; ","")&amp;IF(COUNTIF(Lookups!$A$2:$A$11,E39)=0,"Unknown Product; ","")&amp;IF(F39="","Missing Product Name; ","")&amp;IF(H39="","Missing Region; ","")&amp;IF(K39&lt;=0,"Invalid Quantity; ","")&amp;IF(L39&lt;0,"Invalid Price; ","")&amp;IF(M39&lt;0,"Invalid Cost; ","")&amp;IF(OR(N39&lt;0,N39&gt;0.5),"Invalid Discount; ","")&amp;IF(COUNTIF(Lookups!$K$2:$K$4,P39)=0,"Invalid Status; ","")</f>
        <v/>
      </c>
      <c r="X39" s="15" t="str">
        <f t="shared" si="5"/>
        <v>2025-10</v>
      </c>
      <c r="Y39" t="str">
        <f t="shared" si="6"/>
        <v>Q4</v>
      </c>
      <c r="Z39" t="str">
        <f>IF(R39&gt;=Settings!$B$9,"High Value Customer",IF(R39&gt;=Settings!$B$10,"Medium Value Customer","Standard Customer"))</f>
        <v>High Value Customer</v>
      </c>
      <c r="AA39" t="str">
        <f>IF(R39&gt;=Settings!$B$9,"Large Order",IF(R39&gt;=Settings!$B$10,"Medium Order","Small Order"))</f>
        <v>Large Order</v>
      </c>
      <c r="AB39" t="str">
        <f>IF(N39=0,"No Discount",IF(N39&lt;=0.1,"Low Discount",IF(N39&lt;=Settings!$B$8,"Medium Discount","High Discount")))</f>
        <v>Low Discount</v>
      </c>
      <c r="AC39" t="str">
        <f t="shared" si="7"/>
        <v>Profitable</v>
      </c>
      <c r="AD39" t="str">
        <f>IFERROR(VLOOKUP(E39,Lookups!$A$2:$E$11,2,FALSE),"Product Not Found")</f>
        <v>Standing Desk</v>
      </c>
      <c r="AE39" t="str">
        <f>IFERROR(VLOOKUP(E39,Lookups!$A$2:$E$11,3,FALSE),"Category Not Found")</f>
        <v>Furniture</v>
      </c>
      <c r="AF39" t="str">
        <f>IFERROR(IF(L39=VLOOKUP(E39,Lookups!$A$2:$E$11,4,FALSE),"Price OK","Price Mismatch"),"Product Missing")</f>
        <v>Price OK</v>
      </c>
      <c r="AG39" t="str">
        <f t="shared" si="8"/>
        <v>Valid Email</v>
      </c>
      <c r="AH39" t="str">
        <f t="shared" si="9"/>
        <v>READY FOR REPORTING</v>
      </c>
      <c r="AI39" t="str">
        <f>IF(AND(LEFT(A39,LEN(Settings!$B$13))=Settings!$B$13,LEN(A39)=9),"Valid Format","Invalid Format")</f>
        <v>Valid Format</v>
      </c>
      <c r="AJ39" t="str">
        <f>IF(LEFT(C39,LEN(Settings!$B$14))=Settings!$B$14,"Valid Format","Invalid Format")</f>
        <v>Valid Format</v>
      </c>
      <c r="AK39" t="str">
        <f>IF(COUNTIF(Master_Data!$G$5:$G$14,C39)=1,"Known Customer","Customer Not in Master")</f>
        <v>Known Customer</v>
      </c>
      <c r="AL39" t="str">
        <f>IF(U39&gt;=Settings!$B$11,"Target Met","Below Target")</f>
        <v>Below Target</v>
      </c>
      <c r="AM39" t="str">
        <f>IF(YEAR(B39)=Settings!$B$5,"Correct Year","Wrong Year")</f>
        <v>Correct Year</v>
      </c>
      <c r="AN39">
        <f t="shared" si="10"/>
        <v>4</v>
      </c>
    </row>
    <row r="40" spans="1:40">
      <c r="A40" t="str">
        <f>Raw_Data!A40</f>
        <v>ORD-10039</v>
      </c>
      <c r="B40" s="13">
        <f>Raw_Data!B40</f>
        <v>45956</v>
      </c>
      <c r="C40" t="str">
        <f>Raw_Data!C40</f>
        <v>C1017</v>
      </c>
      <c r="D40" t="str">
        <f>Raw_Data!D40</f>
        <v>client11@example.com</v>
      </c>
      <c r="E40" t="str">
        <f>Raw_Data!E40</f>
        <v>P1006</v>
      </c>
      <c r="F40" t="str">
        <f>Raw_Data!F40</f>
        <v>27-inch Monitor</v>
      </c>
      <c r="G40" t="str">
        <f>Raw_Data!G40</f>
        <v>Electronics</v>
      </c>
      <c r="H40" t="str">
        <f>Raw_Data!H40</f>
        <v>South</v>
      </c>
      <c r="I40" t="str">
        <f>Raw_Data!I40</f>
        <v>Store</v>
      </c>
      <c r="J40" t="str">
        <f>Raw_Data!J40</f>
        <v>Andrei Pop</v>
      </c>
      <c r="K40">
        <f>Raw_Data!K40</f>
        <v>9</v>
      </c>
      <c r="L40" s="12">
        <f>Raw_Data!L40</f>
        <v>1090</v>
      </c>
      <c r="M40" s="12">
        <f>Raw_Data!M40</f>
        <v>790</v>
      </c>
      <c r="N40" s="14">
        <f>Raw_Data!N40</f>
        <v>0</v>
      </c>
      <c r="O40" t="str">
        <f>Raw_Data!O40</f>
        <v>Cash</v>
      </c>
      <c r="P40" t="str">
        <f>Raw_Data!P40</f>
        <v>Completed</v>
      </c>
      <c r="Q40" s="12">
        <f t="shared" si="0"/>
        <v>9810</v>
      </c>
      <c r="R40" s="12">
        <f t="shared" si="1"/>
        <v>9810</v>
      </c>
      <c r="S40" s="12">
        <f t="shared" si="2"/>
        <v>7110</v>
      </c>
      <c r="T40" s="12">
        <f t="shared" si="3"/>
        <v>2700</v>
      </c>
      <c r="U40" s="11">
        <f t="shared" si="4"/>
        <v>0.27522935779816515</v>
      </c>
      <c r="V40" t="str">
        <f>IF(OR(A40="",COUNTIF($A$2:$A$301,A40)&gt;1,C40="",D40="",ISERROR(SEARCH("@",D40)),ISERROR(SEARCH(".",D40)),COUNTIF(Lookups!$A$2:$A$11,E40)=0,F40="",H40="",K40&lt;=0,L40&lt;0,M40&lt;0,N40&lt;0,N40&gt;0.5,COUNTIF(Lookups!$K$2:$K$4,P40)=0),"ERROR","VALID")</f>
        <v>VALID</v>
      </c>
      <c r="W40" s="2" t="str">
        <f>IF(A40="","Missing Order ID; ","")&amp;IF(COUNTIF($A$2:$A$301,A40)&gt;1,"Duplicate Order ID; ","")&amp;IF(C40="","Missing Customer ID; ","")&amp;IF(OR(D40="",ISERROR(SEARCH("@",D40)),ISERROR(SEARCH(".",D40))),"Invalid Email; ","")&amp;IF(COUNTIF(Lookups!$A$2:$A$11,E40)=0,"Unknown Product; ","")&amp;IF(F40="","Missing Product Name; ","")&amp;IF(H40="","Missing Region; ","")&amp;IF(K40&lt;=0,"Invalid Quantity; ","")&amp;IF(L40&lt;0,"Invalid Price; ","")&amp;IF(M40&lt;0,"Invalid Cost; ","")&amp;IF(OR(N40&lt;0,N40&gt;0.5),"Invalid Discount; ","")&amp;IF(COUNTIF(Lookups!$K$2:$K$4,P40)=0,"Invalid Status; ","")</f>
        <v/>
      </c>
      <c r="X40" s="15" t="str">
        <f t="shared" si="5"/>
        <v>2025-10</v>
      </c>
      <c r="Y40" t="str">
        <f t="shared" si="6"/>
        <v>Q4</v>
      </c>
      <c r="Z40" t="str">
        <f>IF(R40&gt;=Settings!$B$9,"High Value Customer",IF(R40&gt;=Settings!$B$10,"Medium Value Customer","Standard Customer"))</f>
        <v>High Value Customer</v>
      </c>
      <c r="AA40" t="str">
        <f>IF(R40&gt;=Settings!$B$9,"Large Order",IF(R40&gt;=Settings!$B$10,"Medium Order","Small Order"))</f>
        <v>Large Order</v>
      </c>
      <c r="AB40" t="str">
        <f>IF(N40=0,"No Discount",IF(N40&lt;=0.1,"Low Discount",IF(N40&lt;=Settings!$B$8,"Medium Discount","High Discount")))</f>
        <v>No Discount</v>
      </c>
      <c r="AC40" t="str">
        <f t="shared" si="7"/>
        <v>Profitable</v>
      </c>
      <c r="AD40" t="str">
        <f>IFERROR(VLOOKUP(E40,Lookups!$A$2:$E$11,2,FALSE),"Product Not Found")</f>
        <v>27-inch Monitor</v>
      </c>
      <c r="AE40" t="str">
        <f>IFERROR(VLOOKUP(E40,Lookups!$A$2:$E$11,3,FALSE),"Category Not Found")</f>
        <v>Electronics</v>
      </c>
      <c r="AF40" t="str">
        <f>IFERROR(IF(L40=VLOOKUP(E40,Lookups!$A$2:$E$11,4,FALSE),"Price OK","Price Mismatch"),"Product Missing")</f>
        <v>Price OK</v>
      </c>
      <c r="AG40" t="str">
        <f t="shared" si="8"/>
        <v>Valid Email</v>
      </c>
      <c r="AH40" t="str">
        <f t="shared" si="9"/>
        <v>READY FOR REPORTING</v>
      </c>
      <c r="AI40" t="str">
        <f>IF(AND(LEFT(A40,LEN(Settings!$B$13))=Settings!$B$13,LEN(A40)=9),"Valid Format","Invalid Format")</f>
        <v>Valid Format</v>
      </c>
      <c r="AJ40" t="str">
        <f>IF(LEFT(C40,LEN(Settings!$B$14))=Settings!$B$14,"Valid Format","Invalid Format")</f>
        <v>Valid Format</v>
      </c>
      <c r="AK40" t="str">
        <f>IF(COUNTIF(Master_Data!$G$5:$G$14,C40)=1,"Known Customer","Customer Not in Master")</f>
        <v>Customer Not in Master</v>
      </c>
      <c r="AL40" t="str">
        <f>IF(U40&gt;=Settings!$B$11,"Target Met","Below Target")</f>
        <v>Target Met</v>
      </c>
      <c r="AM40" t="str">
        <f>IF(YEAR(B40)=Settings!$B$5,"Correct Year","Wrong Year")</f>
        <v>Correct Year</v>
      </c>
      <c r="AN40">
        <f t="shared" si="10"/>
        <v>4</v>
      </c>
    </row>
    <row r="41" spans="1:40">
      <c r="A41" t="str">
        <f>Raw_Data!A41</f>
        <v>ORD-10040</v>
      </c>
      <c r="B41" s="13">
        <f>Raw_Data!B41</f>
        <v>46007</v>
      </c>
      <c r="C41" t="str">
        <f>Raw_Data!C41</f>
        <v>C1046</v>
      </c>
      <c r="D41" t="str">
        <f>Raw_Data!D41</f>
        <v>client144@example.com</v>
      </c>
      <c r="E41" t="str">
        <f>Raw_Data!E41</f>
        <v>P1004</v>
      </c>
      <c r="F41" t="str">
        <f>Raw_Data!F41</f>
        <v>USB-C Hub</v>
      </c>
      <c r="G41" t="str">
        <f>Raw_Data!G41</f>
        <v>Accessories</v>
      </c>
      <c r="H41" t="str">
        <f>Raw_Data!H41</f>
        <v>East</v>
      </c>
      <c r="I41" t="str">
        <f>Raw_Data!I41</f>
        <v>Marketplace</v>
      </c>
      <c r="J41" t="str">
        <f>Raw_Data!J41</f>
        <v>Maria Ionescu</v>
      </c>
      <c r="K41">
        <f>Raw_Data!K41</f>
        <v>4</v>
      </c>
      <c r="L41" s="12">
        <f>Raw_Data!L41</f>
        <v>175</v>
      </c>
      <c r="M41" s="12">
        <f>Raw_Data!M41</f>
        <v>98</v>
      </c>
      <c r="N41" s="14">
        <f>Raw_Data!N41</f>
        <v>0.2</v>
      </c>
      <c r="O41" t="str">
        <f>Raw_Data!O41</f>
        <v>Bank Transfer</v>
      </c>
      <c r="P41" t="str">
        <f>Raw_Data!P41</f>
        <v>Completed</v>
      </c>
      <c r="Q41" s="12">
        <f t="shared" si="0"/>
        <v>700</v>
      </c>
      <c r="R41" s="12">
        <f t="shared" si="1"/>
        <v>560</v>
      </c>
      <c r="S41" s="12">
        <f t="shared" si="2"/>
        <v>392</v>
      </c>
      <c r="T41" s="12">
        <f t="shared" si="3"/>
        <v>168</v>
      </c>
      <c r="U41" s="11">
        <f t="shared" si="4"/>
        <v>0.3</v>
      </c>
      <c r="V41" t="str">
        <f>IF(OR(A41="",COUNTIF($A$2:$A$301,A41)&gt;1,C41="",D41="",ISERROR(SEARCH("@",D41)),ISERROR(SEARCH(".",D41)),COUNTIF(Lookups!$A$2:$A$11,E41)=0,F41="",H41="",K41&lt;=0,L41&lt;0,M41&lt;0,N41&lt;0,N41&gt;0.5,COUNTIF(Lookups!$K$2:$K$4,P41)=0),"ERROR","VALID")</f>
        <v>VALID</v>
      </c>
      <c r="W41" s="2" t="str">
        <f>IF(A41="","Missing Order ID; ","")&amp;IF(COUNTIF($A$2:$A$301,A41)&gt;1,"Duplicate Order ID; ","")&amp;IF(C41="","Missing Customer ID; ","")&amp;IF(OR(D41="",ISERROR(SEARCH("@",D41)),ISERROR(SEARCH(".",D41))),"Invalid Email; ","")&amp;IF(COUNTIF(Lookups!$A$2:$A$11,E41)=0,"Unknown Product; ","")&amp;IF(F41="","Missing Product Name; ","")&amp;IF(H41="","Missing Region; ","")&amp;IF(K41&lt;=0,"Invalid Quantity; ","")&amp;IF(L41&lt;0,"Invalid Price; ","")&amp;IF(M41&lt;0,"Invalid Cost; ","")&amp;IF(OR(N41&lt;0,N41&gt;0.5),"Invalid Discount; ","")&amp;IF(COUNTIF(Lookups!$K$2:$K$4,P41)=0,"Invalid Status; ","")</f>
        <v/>
      </c>
      <c r="X41" s="15" t="str">
        <f t="shared" si="5"/>
        <v>2025-12</v>
      </c>
      <c r="Y41" t="str">
        <f t="shared" si="6"/>
        <v>Q4</v>
      </c>
      <c r="Z41" t="str">
        <f>IF(R41&gt;=Settings!$B$9,"High Value Customer",IF(R41&gt;=Settings!$B$10,"Medium Value Customer","Standard Customer"))</f>
        <v>Standard Customer</v>
      </c>
      <c r="AA41" t="str">
        <f>IF(R41&gt;=Settings!$B$9,"Large Order",IF(R41&gt;=Settings!$B$10,"Medium Order","Small Order"))</f>
        <v>Small Order</v>
      </c>
      <c r="AB41" t="str">
        <f>IF(N41=0,"No Discount",IF(N41&lt;=0.1,"Low Discount",IF(N41&lt;=Settings!$B$8,"Medium Discount","High Discount")))</f>
        <v>Medium Discount</v>
      </c>
      <c r="AC41" t="str">
        <f t="shared" si="7"/>
        <v>Profitable</v>
      </c>
      <c r="AD41" t="str">
        <f>IFERROR(VLOOKUP(E41,Lookups!$A$2:$E$11,2,FALSE),"Product Not Found")</f>
        <v>USB-C Hub</v>
      </c>
      <c r="AE41" t="str">
        <f>IFERROR(VLOOKUP(E41,Lookups!$A$2:$E$11,3,FALSE),"Category Not Found")</f>
        <v>Accessories</v>
      </c>
      <c r="AF41" t="str">
        <f>IFERROR(IF(L41=VLOOKUP(E41,Lookups!$A$2:$E$11,4,FALSE),"Price OK","Price Mismatch"),"Product Missing")</f>
        <v>Price OK</v>
      </c>
      <c r="AG41" t="str">
        <f t="shared" si="8"/>
        <v>Valid Email</v>
      </c>
      <c r="AH41" t="str">
        <f t="shared" si="9"/>
        <v>READY FOR REPORTING</v>
      </c>
      <c r="AI41" t="str">
        <f>IF(AND(LEFT(A41,LEN(Settings!$B$13))=Settings!$B$13,LEN(A41)=9),"Valid Format","Invalid Format")</f>
        <v>Valid Format</v>
      </c>
      <c r="AJ41" t="str">
        <f>IF(LEFT(C41,LEN(Settings!$B$14))=Settings!$B$14,"Valid Format","Invalid Format")</f>
        <v>Valid Format</v>
      </c>
      <c r="AK41" t="str">
        <f>IF(COUNTIF(Master_Data!$G$5:$G$14,C41)=1,"Known Customer","Customer Not in Master")</f>
        <v>Customer Not in Master</v>
      </c>
      <c r="AL41" t="str">
        <f>IF(U41&gt;=Settings!$B$11,"Target Met","Below Target")</f>
        <v>Target Met</v>
      </c>
      <c r="AM41" t="str">
        <f>IF(YEAR(B41)=Settings!$B$5,"Correct Year","Wrong Year")</f>
        <v>Correct Year</v>
      </c>
      <c r="AN41">
        <f t="shared" si="10"/>
        <v>4</v>
      </c>
    </row>
    <row r="42" spans="1:40">
      <c r="A42" t="str">
        <f>Raw_Data!A42</f>
        <v>ORD-10041</v>
      </c>
      <c r="B42" s="13">
        <f>Raw_Data!B42</f>
        <v>45748</v>
      </c>
      <c r="C42" t="str">
        <f>Raw_Data!C42</f>
        <v>C1095</v>
      </c>
      <c r="D42" t="str">
        <f>Raw_Data!D42</f>
        <v>client86@example.com</v>
      </c>
      <c r="E42" t="str">
        <f>Raw_Data!E42</f>
        <v>P1003</v>
      </c>
      <c r="F42" t="str">
        <f>Raw_Data!F42</f>
        <v>Mechanical Keyboard</v>
      </c>
      <c r="G42" t="str">
        <f>Raw_Data!G42</f>
        <v>Accessories</v>
      </c>
      <c r="H42" t="str">
        <f>Raw_Data!H42</f>
        <v>East</v>
      </c>
      <c r="I42" t="str">
        <f>Raw_Data!I42</f>
        <v>Marketplace</v>
      </c>
      <c r="J42" t="str">
        <f>Raw_Data!J42</f>
        <v>Maria Ionescu</v>
      </c>
      <c r="K42">
        <f>Raw_Data!K42</f>
        <v>7</v>
      </c>
      <c r="L42" s="12">
        <f>Raw_Data!L42</f>
        <v>265</v>
      </c>
      <c r="M42" s="12">
        <f>Raw_Data!M42</f>
        <v>155</v>
      </c>
      <c r="N42" s="14">
        <f>Raw_Data!N42</f>
        <v>0</v>
      </c>
      <c r="O42" t="str">
        <f>Raw_Data!O42</f>
        <v>Cash</v>
      </c>
      <c r="P42" t="str">
        <f>Raw_Data!P42</f>
        <v>Completed</v>
      </c>
      <c r="Q42" s="12">
        <f t="shared" si="0"/>
        <v>1855</v>
      </c>
      <c r="R42" s="12">
        <f t="shared" si="1"/>
        <v>1855</v>
      </c>
      <c r="S42" s="12">
        <f t="shared" si="2"/>
        <v>1085</v>
      </c>
      <c r="T42" s="12">
        <f t="shared" si="3"/>
        <v>770</v>
      </c>
      <c r="U42" s="11">
        <f t="shared" si="4"/>
        <v>0.41509433962264153</v>
      </c>
      <c r="V42" t="str">
        <f>IF(OR(A42="",COUNTIF($A$2:$A$301,A42)&gt;1,C42="",D42="",ISERROR(SEARCH("@",D42)),ISERROR(SEARCH(".",D42)),COUNTIF(Lookups!$A$2:$A$11,E42)=0,F42="",H42="",K42&lt;=0,L42&lt;0,M42&lt;0,N42&lt;0,N42&gt;0.5,COUNTIF(Lookups!$K$2:$K$4,P42)=0),"ERROR","VALID")</f>
        <v>VALID</v>
      </c>
      <c r="W42" s="2" t="str">
        <f>IF(A42="","Missing Order ID; ","")&amp;IF(COUNTIF($A$2:$A$301,A42)&gt;1,"Duplicate Order ID; ","")&amp;IF(C42="","Missing Customer ID; ","")&amp;IF(OR(D42="",ISERROR(SEARCH("@",D42)),ISERROR(SEARCH(".",D42))),"Invalid Email; ","")&amp;IF(COUNTIF(Lookups!$A$2:$A$11,E42)=0,"Unknown Product; ","")&amp;IF(F42="","Missing Product Name; ","")&amp;IF(H42="","Missing Region; ","")&amp;IF(K42&lt;=0,"Invalid Quantity; ","")&amp;IF(L42&lt;0,"Invalid Price; ","")&amp;IF(M42&lt;0,"Invalid Cost; ","")&amp;IF(OR(N42&lt;0,N42&gt;0.5),"Invalid Discount; ","")&amp;IF(COUNTIF(Lookups!$K$2:$K$4,P42)=0,"Invalid Status; ","")</f>
        <v/>
      </c>
      <c r="X42" s="15" t="str">
        <f t="shared" si="5"/>
        <v>2025-04</v>
      </c>
      <c r="Y42" t="str">
        <f t="shared" si="6"/>
        <v>Q2</v>
      </c>
      <c r="Z42" t="str">
        <f>IF(R42&gt;=Settings!$B$9,"High Value Customer",IF(R42&gt;=Settings!$B$10,"Medium Value Customer","Standard Customer"))</f>
        <v>Standard Customer</v>
      </c>
      <c r="AA42" t="str">
        <f>IF(R42&gt;=Settings!$B$9,"Large Order",IF(R42&gt;=Settings!$B$10,"Medium Order","Small Order"))</f>
        <v>Small Order</v>
      </c>
      <c r="AB42" t="str">
        <f>IF(N42=0,"No Discount",IF(N42&lt;=0.1,"Low Discount",IF(N42&lt;=Settings!$B$8,"Medium Discount","High Discount")))</f>
        <v>No Discount</v>
      </c>
      <c r="AC42" t="str">
        <f t="shared" si="7"/>
        <v>Profitable</v>
      </c>
      <c r="AD42" t="str">
        <f>IFERROR(VLOOKUP(E42,Lookups!$A$2:$E$11,2,FALSE),"Product Not Found")</f>
        <v>Mechanical Keyboard</v>
      </c>
      <c r="AE42" t="str">
        <f>IFERROR(VLOOKUP(E42,Lookups!$A$2:$E$11,3,FALSE),"Category Not Found")</f>
        <v>Accessories</v>
      </c>
      <c r="AF42" t="str">
        <f>IFERROR(IF(L42=VLOOKUP(E42,Lookups!$A$2:$E$11,4,FALSE),"Price OK","Price Mismatch"),"Product Missing")</f>
        <v>Price OK</v>
      </c>
      <c r="AG42" t="str">
        <f t="shared" si="8"/>
        <v>Valid Email</v>
      </c>
      <c r="AH42" t="str">
        <f t="shared" si="9"/>
        <v>READY FOR REPORTING</v>
      </c>
      <c r="AI42" t="str">
        <f>IF(AND(LEFT(A42,LEN(Settings!$B$13))=Settings!$B$13,LEN(A42)=9),"Valid Format","Invalid Format")</f>
        <v>Valid Format</v>
      </c>
      <c r="AJ42" t="str">
        <f>IF(LEFT(C42,LEN(Settings!$B$14))=Settings!$B$14,"Valid Format","Invalid Format")</f>
        <v>Valid Format</v>
      </c>
      <c r="AK42" t="str">
        <f>IF(COUNTIF(Master_Data!$G$5:$G$14,C42)=1,"Known Customer","Customer Not in Master")</f>
        <v>Customer Not in Master</v>
      </c>
      <c r="AL42" t="str">
        <f>IF(U42&gt;=Settings!$B$11,"Target Met","Below Target")</f>
        <v>Target Met</v>
      </c>
      <c r="AM42" t="str">
        <f>IF(YEAR(B42)=Settings!$B$5,"Correct Year","Wrong Year")</f>
        <v>Correct Year</v>
      </c>
      <c r="AN42">
        <f t="shared" si="10"/>
        <v>4</v>
      </c>
    </row>
    <row r="43" spans="1:40">
      <c r="A43" t="str">
        <f>Raw_Data!A43</f>
        <v>ORD-10042</v>
      </c>
      <c r="B43" s="13">
        <f>Raw_Data!B43</f>
        <v>46017</v>
      </c>
      <c r="C43" t="str">
        <f>Raw_Data!C43</f>
        <v>C1110</v>
      </c>
      <c r="D43" t="str">
        <f>Raw_Data!D43</f>
        <v>client121@example.com</v>
      </c>
      <c r="E43" t="str">
        <f>Raw_Data!E43</f>
        <v>P1003</v>
      </c>
      <c r="F43" t="str">
        <f>Raw_Data!F43</f>
        <v>Mechanical Keyboard</v>
      </c>
      <c r="G43" t="str">
        <f>Raw_Data!G43</f>
        <v>Accessories</v>
      </c>
      <c r="H43" t="str">
        <f>Raw_Data!H43</f>
        <v>North</v>
      </c>
      <c r="I43" t="str">
        <f>Raw_Data!I43</f>
        <v>Online</v>
      </c>
      <c r="J43" t="str">
        <f>Raw_Data!J43</f>
        <v>Mihai Radu</v>
      </c>
      <c r="K43">
        <f>Raw_Data!K43</f>
        <v>2</v>
      </c>
      <c r="L43" s="12">
        <f>Raw_Data!L43</f>
        <v>265</v>
      </c>
      <c r="M43" s="12">
        <f>Raw_Data!M43</f>
        <v>155</v>
      </c>
      <c r="N43" s="14">
        <f>Raw_Data!N43</f>
        <v>0.1</v>
      </c>
      <c r="O43" t="str">
        <f>Raw_Data!O43</f>
        <v>Cash</v>
      </c>
      <c r="P43" t="str">
        <f>Raw_Data!P43</f>
        <v>Completed</v>
      </c>
      <c r="Q43" s="12">
        <f t="shared" si="0"/>
        <v>530</v>
      </c>
      <c r="R43" s="12">
        <f t="shared" si="1"/>
        <v>477</v>
      </c>
      <c r="S43" s="12">
        <f t="shared" si="2"/>
        <v>310</v>
      </c>
      <c r="T43" s="12">
        <f t="shared" si="3"/>
        <v>167</v>
      </c>
      <c r="U43" s="11">
        <f t="shared" si="4"/>
        <v>0.35010482180293501</v>
      </c>
      <c r="V43" t="str">
        <f>IF(OR(A43="",COUNTIF($A$2:$A$301,A43)&gt;1,C43="",D43="",ISERROR(SEARCH("@",D43)),ISERROR(SEARCH(".",D43)),COUNTIF(Lookups!$A$2:$A$11,E43)=0,F43="",H43="",K43&lt;=0,L43&lt;0,M43&lt;0,N43&lt;0,N43&gt;0.5,COUNTIF(Lookups!$K$2:$K$4,P43)=0),"ERROR","VALID")</f>
        <v>VALID</v>
      </c>
      <c r="W43" s="2" t="str">
        <f>IF(A43="","Missing Order ID; ","")&amp;IF(COUNTIF($A$2:$A$301,A43)&gt;1,"Duplicate Order ID; ","")&amp;IF(C43="","Missing Customer ID; ","")&amp;IF(OR(D43="",ISERROR(SEARCH("@",D43)),ISERROR(SEARCH(".",D43))),"Invalid Email; ","")&amp;IF(COUNTIF(Lookups!$A$2:$A$11,E43)=0,"Unknown Product; ","")&amp;IF(F43="","Missing Product Name; ","")&amp;IF(H43="","Missing Region; ","")&amp;IF(K43&lt;=0,"Invalid Quantity; ","")&amp;IF(L43&lt;0,"Invalid Price; ","")&amp;IF(M43&lt;0,"Invalid Cost; ","")&amp;IF(OR(N43&lt;0,N43&gt;0.5),"Invalid Discount; ","")&amp;IF(COUNTIF(Lookups!$K$2:$K$4,P43)=0,"Invalid Status; ","")</f>
        <v/>
      </c>
      <c r="X43" s="15" t="str">
        <f t="shared" si="5"/>
        <v>2025-12</v>
      </c>
      <c r="Y43" t="str">
        <f t="shared" si="6"/>
        <v>Q4</v>
      </c>
      <c r="Z43" t="str">
        <f>IF(R43&gt;=Settings!$B$9,"High Value Customer",IF(R43&gt;=Settings!$B$10,"Medium Value Customer","Standard Customer"))</f>
        <v>Standard Customer</v>
      </c>
      <c r="AA43" t="str">
        <f>IF(R43&gt;=Settings!$B$9,"Large Order",IF(R43&gt;=Settings!$B$10,"Medium Order","Small Order"))</f>
        <v>Small Order</v>
      </c>
      <c r="AB43" t="str">
        <f>IF(N43=0,"No Discount",IF(N43&lt;=0.1,"Low Discount",IF(N43&lt;=Settings!$B$8,"Medium Discount","High Discount")))</f>
        <v>Low Discount</v>
      </c>
      <c r="AC43" t="str">
        <f t="shared" si="7"/>
        <v>Profitable</v>
      </c>
      <c r="AD43" t="str">
        <f>IFERROR(VLOOKUP(E43,Lookups!$A$2:$E$11,2,FALSE),"Product Not Found")</f>
        <v>Mechanical Keyboard</v>
      </c>
      <c r="AE43" t="str">
        <f>IFERROR(VLOOKUP(E43,Lookups!$A$2:$E$11,3,FALSE),"Category Not Found")</f>
        <v>Accessories</v>
      </c>
      <c r="AF43" t="str">
        <f>IFERROR(IF(L43=VLOOKUP(E43,Lookups!$A$2:$E$11,4,FALSE),"Price OK","Price Mismatch"),"Product Missing")</f>
        <v>Price OK</v>
      </c>
      <c r="AG43" t="str">
        <f t="shared" si="8"/>
        <v>Valid Email</v>
      </c>
      <c r="AH43" t="str">
        <f t="shared" si="9"/>
        <v>READY FOR REPORTING</v>
      </c>
      <c r="AI43" t="str">
        <f>IF(AND(LEFT(A43,LEN(Settings!$B$13))=Settings!$B$13,LEN(A43)=9),"Valid Format","Invalid Format")</f>
        <v>Valid Format</v>
      </c>
      <c r="AJ43" t="str">
        <f>IF(LEFT(C43,LEN(Settings!$B$14))=Settings!$B$14,"Valid Format","Invalid Format")</f>
        <v>Valid Format</v>
      </c>
      <c r="AK43" t="str">
        <f>IF(COUNTIF(Master_Data!$G$5:$G$14,C43)=1,"Known Customer","Customer Not in Master")</f>
        <v>Customer Not in Master</v>
      </c>
      <c r="AL43" t="str">
        <f>IF(U43&gt;=Settings!$B$11,"Target Met","Below Target")</f>
        <v>Target Met</v>
      </c>
      <c r="AM43" t="str">
        <f>IF(YEAR(B43)=Settings!$B$5,"Correct Year","Wrong Year")</f>
        <v>Correct Year</v>
      </c>
      <c r="AN43">
        <f t="shared" si="10"/>
        <v>4</v>
      </c>
    </row>
    <row r="44" spans="1:40">
      <c r="A44" t="str">
        <f>Raw_Data!A44</f>
        <v>ORD-10043</v>
      </c>
      <c r="B44" s="13">
        <f>Raw_Data!B44</f>
        <v>45774</v>
      </c>
      <c r="C44" t="str">
        <f>Raw_Data!C44</f>
        <v>C1025</v>
      </c>
      <c r="D44" t="str">
        <f>Raw_Data!D44</f>
        <v>client103@example.com</v>
      </c>
      <c r="E44" t="str">
        <f>Raw_Data!E44</f>
        <v>P1005</v>
      </c>
      <c r="F44" t="str">
        <f>Raw_Data!F44</f>
        <v>24-inch Monitor</v>
      </c>
      <c r="G44" t="str">
        <f>Raw_Data!G44</f>
        <v>Electronics</v>
      </c>
      <c r="H44" t="str">
        <f>Raw_Data!H44</f>
        <v>South</v>
      </c>
      <c r="I44" t="str">
        <f>Raw_Data!I44</f>
        <v>Store</v>
      </c>
      <c r="J44" t="str">
        <f>Raw_Data!J44</f>
        <v>Andrei Pop</v>
      </c>
      <c r="K44">
        <f>Raw_Data!K44</f>
        <v>4</v>
      </c>
      <c r="L44" s="12">
        <f>Raw_Data!L44</f>
        <v>720</v>
      </c>
      <c r="M44" s="12">
        <f>Raw_Data!M44</f>
        <v>510</v>
      </c>
      <c r="N44" s="14">
        <f>Raw_Data!N44</f>
        <v>0</v>
      </c>
      <c r="O44" t="str">
        <f>Raw_Data!O44</f>
        <v>Cash</v>
      </c>
      <c r="P44" t="str">
        <f>Raw_Data!P44</f>
        <v>Cancelled</v>
      </c>
      <c r="Q44" s="12">
        <f t="shared" si="0"/>
        <v>2880</v>
      </c>
      <c r="R44" s="12">
        <f t="shared" si="1"/>
        <v>2880</v>
      </c>
      <c r="S44" s="12">
        <f t="shared" si="2"/>
        <v>2040</v>
      </c>
      <c r="T44" s="12">
        <f t="shared" si="3"/>
        <v>840</v>
      </c>
      <c r="U44" s="11">
        <f t="shared" si="4"/>
        <v>0.29166666666666669</v>
      </c>
      <c r="V44" t="str">
        <f>IF(OR(A44="",COUNTIF($A$2:$A$301,A44)&gt;1,C44="",D44="",ISERROR(SEARCH("@",D44)),ISERROR(SEARCH(".",D44)),COUNTIF(Lookups!$A$2:$A$11,E44)=0,F44="",H44="",K44&lt;=0,L44&lt;0,M44&lt;0,N44&lt;0,N44&gt;0.5,COUNTIF(Lookups!$K$2:$K$4,P44)=0),"ERROR","VALID")</f>
        <v>VALID</v>
      </c>
      <c r="W44" s="2" t="str">
        <f>IF(A44="","Missing Order ID; ","")&amp;IF(COUNTIF($A$2:$A$301,A44)&gt;1,"Duplicate Order ID; ","")&amp;IF(C44="","Missing Customer ID; ","")&amp;IF(OR(D44="",ISERROR(SEARCH("@",D44)),ISERROR(SEARCH(".",D44))),"Invalid Email; ","")&amp;IF(COUNTIF(Lookups!$A$2:$A$11,E44)=0,"Unknown Product; ","")&amp;IF(F44="","Missing Product Name; ","")&amp;IF(H44="","Missing Region; ","")&amp;IF(K44&lt;=0,"Invalid Quantity; ","")&amp;IF(L44&lt;0,"Invalid Price; ","")&amp;IF(M44&lt;0,"Invalid Cost; ","")&amp;IF(OR(N44&lt;0,N44&gt;0.5),"Invalid Discount; ","")&amp;IF(COUNTIF(Lookups!$K$2:$K$4,P44)=0,"Invalid Status; ","")</f>
        <v/>
      </c>
      <c r="X44" s="15" t="str">
        <f t="shared" si="5"/>
        <v>2025-04</v>
      </c>
      <c r="Y44" t="str">
        <f t="shared" si="6"/>
        <v>Q2</v>
      </c>
      <c r="Z44" t="str">
        <f>IF(R44&gt;=Settings!$B$9,"High Value Customer",IF(R44&gt;=Settings!$B$10,"Medium Value Customer","Standard Customer"))</f>
        <v>Medium Value Customer</v>
      </c>
      <c r="AA44" t="str">
        <f>IF(R44&gt;=Settings!$B$9,"Large Order",IF(R44&gt;=Settings!$B$10,"Medium Order","Small Order"))</f>
        <v>Medium Order</v>
      </c>
      <c r="AB44" t="str">
        <f>IF(N44=0,"No Discount",IF(N44&lt;=0.1,"Low Discount",IF(N44&lt;=Settings!$B$8,"Medium Discount","High Discount")))</f>
        <v>No Discount</v>
      </c>
      <c r="AC44" t="str">
        <f t="shared" si="7"/>
        <v>Profitable</v>
      </c>
      <c r="AD44" t="str">
        <f>IFERROR(VLOOKUP(E44,Lookups!$A$2:$E$11,2,FALSE),"Product Not Found")</f>
        <v>24-inch Monitor</v>
      </c>
      <c r="AE44" t="str">
        <f>IFERROR(VLOOKUP(E44,Lookups!$A$2:$E$11,3,FALSE),"Category Not Found")</f>
        <v>Electronics</v>
      </c>
      <c r="AF44" t="str">
        <f>IFERROR(IF(L44=VLOOKUP(E44,Lookups!$A$2:$E$11,4,FALSE),"Price OK","Price Mismatch"),"Product Missing")</f>
        <v>Price OK</v>
      </c>
      <c r="AG44" t="str">
        <f t="shared" si="8"/>
        <v>Valid Email</v>
      </c>
      <c r="AH44" t="str">
        <f t="shared" si="9"/>
        <v>READY FOR REPORTING</v>
      </c>
      <c r="AI44" t="str">
        <f>IF(AND(LEFT(A44,LEN(Settings!$B$13))=Settings!$B$13,LEN(A44)=9),"Valid Format","Invalid Format")</f>
        <v>Valid Format</v>
      </c>
      <c r="AJ44" t="str">
        <f>IF(LEFT(C44,LEN(Settings!$B$14))=Settings!$B$14,"Valid Format","Invalid Format")</f>
        <v>Valid Format</v>
      </c>
      <c r="AK44" t="str">
        <f>IF(COUNTIF(Master_Data!$G$5:$G$14,C44)=1,"Known Customer","Customer Not in Master")</f>
        <v>Customer Not in Master</v>
      </c>
      <c r="AL44" t="str">
        <f>IF(U44&gt;=Settings!$B$11,"Target Met","Below Target")</f>
        <v>Target Met</v>
      </c>
      <c r="AM44" t="str">
        <f>IF(YEAR(B44)=Settings!$B$5,"Correct Year","Wrong Year")</f>
        <v>Correct Year</v>
      </c>
      <c r="AN44">
        <f t="shared" si="10"/>
        <v>4</v>
      </c>
    </row>
    <row r="45" spans="1:40">
      <c r="A45" t="str">
        <f>Raw_Data!A45</f>
        <v>ORD-10044</v>
      </c>
      <c r="B45" s="13">
        <f>Raw_Data!B45</f>
        <v>45986</v>
      </c>
      <c r="C45" t="str">
        <f>Raw_Data!C45</f>
        <v>C1108</v>
      </c>
      <c r="D45" t="str">
        <f>Raw_Data!D45</f>
        <v>client138@example.com</v>
      </c>
      <c r="E45" t="str">
        <f>Raw_Data!E45</f>
        <v>P1006</v>
      </c>
      <c r="F45" t="str">
        <f>Raw_Data!F45</f>
        <v>27-inch Monitor</v>
      </c>
      <c r="G45" t="str">
        <f>Raw_Data!G45</f>
        <v>Electronics</v>
      </c>
      <c r="H45" t="str">
        <f>Raw_Data!H45</f>
        <v>South</v>
      </c>
      <c r="I45" t="str">
        <f>Raw_Data!I45</f>
        <v>Online</v>
      </c>
      <c r="J45" t="str">
        <f>Raw_Data!J45</f>
        <v>Andrei Pop</v>
      </c>
      <c r="K45">
        <f>Raw_Data!K45</f>
        <v>9</v>
      </c>
      <c r="L45" s="12">
        <f>Raw_Data!L45</f>
        <v>1090</v>
      </c>
      <c r="M45" s="12">
        <f>Raw_Data!M45</f>
        <v>790</v>
      </c>
      <c r="N45" s="14">
        <f>Raw_Data!N45</f>
        <v>0.1</v>
      </c>
      <c r="O45" t="str">
        <f>Raw_Data!O45</f>
        <v>Cash</v>
      </c>
      <c r="P45" t="str">
        <f>Raw_Data!P45</f>
        <v>Cancelled</v>
      </c>
      <c r="Q45" s="12">
        <f t="shared" si="0"/>
        <v>9810</v>
      </c>
      <c r="R45" s="12">
        <f t="shared" si="1"/>
        <v>8829</v>
      </c>
      <c r="S45" s="12">
        <f t="shared" si="2"/>
        <v>7110</v>
      </c>
      <c r="T45" s="12">
        <f t="shared" si="3"/>
        <v>1719</v>
      </c>
      <c r="U45" s="11">
        <f t="shared" si="4"/>
        <v>0.19469928644240569</v>
      </c>
      <c r="V45" t="str">
        <f>IF(OR(A45="",COUNTIF($A$2:$A$301,A45)&gt;1,C45="",D45="",ISERROR(SEARCH("@",D45)),ISERROR(SEARCH(".",D45)),COUNTIF(Lookups!$A$2:$A$11,E45)=0,F45="",H45="",K45&lt;=0,L45&lt;0,M45&lt;0,N45&lt;0,N45&gt;0.5,COUNTIF(Lookups!$K$2:$K$4,P45)=0),"ERROR","VALID")</f>
        <v>VALID</v>
      </c>
      <c r="W45" s="2" t="str">
        <f>IF(A45="","Missing Order ID; ","")&amp;IF(COUNTIF($A$2:$A$301,A45)&gt;1,"Duplicate Order ID; ","")&amp;IF(C45="","Missing Customer ID; ","")&amp;IF(OR(D45="",ISERROR(SEARCH("@",D45)),ISERROR(SEARCH(".",D45))),"Invalid Email; ","")&amp;IF(COUNTIF(Lookups!$A$2:$A$11,E45)=0,"Unknown Product; ","")&amp;IF(F45="","Missing Product Name; ","")&amp;IF(H45="","Missing Region; ","")&amp;IF(K45&lt;=0,"Invalid Quantity; ","")&amp;IF(L45&lt;0,"Invalid Price; ","")&amp;IF(M45&lt;0,"Invalid Cost; ","")&amp;IF(OR(N45&lt;0,N45&gt;0.5),"Invalid Discount; ","")&amp;IF(COUNTIF(Lookups!$K$2:$K$4,P45)=0,"Invalid Status; ","")</f>
        <v/>
      </c>
      <c r="X45" s="15" t="str">
        <f t="shared" si="5"/>
        <v>2025-11</v>
      </c>
      <c r="Y45" t="str">
        <f t="shared" si="6"/>
        <v>Q4</v>
      </c>
      <c r="Z45" t="str">
        <f>IF(R45&gt;=Settings!$B$9,"High Value Customer",IF(R45&gt;=Settings!$B$10,"Medium Value Customer","Standard Customer"))</f>
        <v>High Value Customer</v>
      </c>
      <c r="AA45" t="str">
        <f>IF(R45&gt;=Settings!$B$9,"Large Order",IF(R45&gt;=Settings!$B$10,"Medium Order","Small Order"))</f>
        <v>Large Order</v>
      </c>
      <c r="AB45" t="str">
        <f>IF(N45=0,"No Discount",IF(N45&lt;=0.1,"Low Discount",IF(N45&lt;=Settings!$B$8,"Medium Discount","High Discount")))</f>
        <v>Low Discount</v>
      </c>
      <c r="AC45" t="str">
        <f t="shared" si="7"/>
        <v>Profitable</v>
      </c>
      <c r="AD45" t="str">
        <f>IFERROR(VLOOKUP(E45,Lookups!$A$2:$E$11,2,FALSE),"Product Not Found")</f>
        <v>27-inch Monitor</v>
      </c>
      <c r="AE45" t="str">
        <f>IFERROR(VLOOKUP(E45,Lookups!$A$2:$E$11,3,FALSE),"Category Not Found")</f>
        <v>Electronics</v>
      </c>
      <c r="AF45" t="str">
        <f>IFERROR(IF(L45=VLOOKUP(E45,Lookups!$A$2:$E$11,4,FALSE),"Price OK","Price Mismatch"),"Product Missing")</f>
        <v>Price OK</v>
      </c>
      <c r="AG45" t="str">
        <f t="shared" si="8"/>
        <v>Valid Email</v>
      </c>
      <c r="AH45" t="str">
        <f t="shared" si="9"/>
        <v>READY FOR REPORTING</v>
      </c>
      <c r="AI45" t="str">
        <f>IF(AND(LEFT(A45,LEN(Settings!$B$13))=Settings!$B$13,LEN(A45)=9),"Valid Format","Invalid Format")</f>
        <v>Valid Format</v>
      </c>
      <c r="AJ45" t="str">
        <f>IF(LEFT(C45,LEN(Settings!$B$14))=Settings!$B$14,"Valid Format","Invalid Format")</f>
        <v>Valid Format</v>
      </c>
      <c r="AK45" t="str">
        <f>IF(COUNTIF(Master_Data!$G$5:$G$14,C45)=1,"Known Customer","Customer Not in Master")</f>
        <v>Customer Not in Master</v>
      </c>
      <c r="AL45" t="str">
        <f>IF(U45&gt;=Settings!$B$11,"Target Met","Below Target")</f>
        <v>Below Target</v>
      </c>
      <c r="AM45" t="str">
        <f>IF(YEAR(B45)=Settings!$B$5,"Correct Year","Wrong Year")</f>
        <v>Correct Year</v>
      </c>
      <c r="AN45">
        <f t="shared" si="10"/>
        <v>3</v>
      </c>
    </row>
    <row r="46" spans="1:40">
      <c r="A46" t="str">
        <f>Raw_Data!A46</f>
        <v>ORD-10045</v>
      </c>
      <c r="B46" s="13">
        <f>Raw_Data!B46</f>
        <v>45955</v>
      </c>
      <c r="C46" t="str">
        <f>Raw_Data!C46</f>
        <v>C1077</v>
      </c>
      <c r="D46" t="str">
        <f>Raw_Data!D46</f>
        <v>client112@example.com</v>
      </c>
      <c r="E46" t="str">
        <f>Raw_Data!E46</f>
        <v>P1003</v>
      </c>
      <c r="F46" t="str">
        <f>Raw_Data!F46</f>
        <v>Mechanical Keyboard</v>
      </c>
      <c r="G46" t="str">
        <f>Raw_Data!G46</f>
        <v>Accessories</v>
      </c>
      <c r="H46" t="str">
        <f>Raw_Data!H46</f>
        <v>South</v>
      </c>
      <c r="I46" t="str">
        <f>Raw_Data!I46</f>
        <v>Marketplace</v>
      </c>
      <c r="J46" t="str">
        <f>Raw_Data!J46</f>
        <v>Elena Stan</v>
      </c>
      <c r="K46">
        <f>Raw_Data!K46</f>
        <v>5</v>
      </c>
      <c r="L46" s="12">
        <f>Raw_Data!L46</f>
        <v>265</v>
      </c>
      <c r="M46" s="12">
        <f>Raw_Data!M46</f>
        <v>155</v>
      </c>
      <c r="N46" s="14">
        <f>Raw_Data!N46</f>
        <v>0</v>
      </c>
      <c r="O46" t="str">
        <f>Raw_Data!O46</f>
        <v>Online Wallet</v>
      </c>
      <c r="P46" t="str">
        <f>Raw_Data!P46</f>
        <v>Completed</v>
      </c>
      <c r="Q46" s="12">
        <f t="shared" si="0"/>
        <v>1325</v>
      </c>
      <c r="R46" s="12">
        <f t="shared" si="1"/>
        <v>1325</v>
      </c>
      <c r="S46" s="12">
        <f t="shared" si="2"/>
        <v>775</v>
      </c>
      <c r="T46" s="12">
        <f t="shared" si="3"/>
        <v>550</v>
      </c>
      <c r="U46" s="11">
        <f t="shared" si="4"/>
        <v>0.41509433962264153</v>
      </c>
      <c r="V46" t="str">
        <f>IF(OR(A46="",COUNTIF($A$2:$A$301,A46)&gt;1,C46="",D46="",ISERROR(SEARCH("@",D46)),ISERROR(SEARCH(".",D46)),COUNTIF(Lookups!$A$2:$A$11,E46)=0,F46="",H46="",K46&lt;=0,L46&lt;0,M46&lt;0,N46&lt;0,N46&gt;0.5,COUNTIF(Lookups!$K$2:$K$4,P46)=0),"ERROR","VALID")</f>
        <v>VALID</v>
      </c>
      <c r="W46" s="2" t="str">
        <f>IF(A46="","Missing Order ID; ","")&amp;IF(COUNTIF($A$2:$A$301,A46)&gt;1,"Duplicate Order ID; ","")&amp;IF(C46="","Missing Customer ID; ","")&amp;IF(OR(D46="",ISERROR(SEARCH("@",D46)),ISERROR(SEARCH(".",D46))),"Invalid Email; ","")&amp;IF(COUNTIF(Lookups!$A$2:$A$11,E46)=0,"Unknown Product; ","")&amp;IF(F46="","Missing Product Name; ","")&amp;IF(H46="","Missing Region; ","")&amp;IF(K46&lt;=0,"Invalid Quantity; ","")&amp;IF(L46&lt;0,"Invalid Price; ","")&amp;IF(M46&lt;0,"Invalid Cost; ","")&amp;IF(OR(N46&lt;0,N46&gt;0.5),"Invalid Discount; ","")&amp;IF(COUNTIF(Lookups!$K$2:$K$4,P46)=0,"Invalid Status; ","")</f>
        <v/>
      </c>
      <c r="X46" s="15" t="str">
        <f t="shared" si="5"/>
        <v>2025-10</v>
      </c>
      <c r="Y46" t="str">
        <f t="shared" si="6"/>
        <v>Q4</v>
      </c>
      <c r="Z46" t="str">
        <f>IF(R46&gt;=Settings!$B$9,"High Value Customer",IF(R46&gt;=Settings!$B$10,"Medium Value Customer","Standard Customer"))</f>
        <v>Standard Customer</v>
      </c>
      <c r="AA46" t="str">
        <f>IF(R46&gt;=Settings!$B$9,"Large Order",IF(R46&gt;=Settings!$B$10,"Medium Order","Small Order"))</f>
        <v>Small Order</v>
      </c>
      <c r="AB46" t="str">
        <f>IF(N46=0,"No Discount",IF(N46&lt;=0.1,"Low Discount",IF(N46&lt;=Settings!$B$8,"Medium Discount","High Discount")))</f>
        <v>No Discount</v>
      </c>
      <c r="AC46" t="str">
        <f t="shared" si="7"/>
        <v>Profitable</v>
      </c>
      <c r="AD46" t="str">
        <f>IFERROR(VLOOKUP(E46,Lookups!$A$2:$E$11,2,FALSE),"Product Not Found")</f>
        <v>Mechanical Keyboard</v>
      </c>
      <c r="AE46" t="str">
        <f>IFERROR(VLOOKUP(E46,Lookups!$A$2:$E$11,3,FALSE),"Category Not Found")</f>
        <v>Accessories</v>
      </c>
      <c r="AF46" t="str">
        <f>IFERROR(IF(L46=VLOOKUP(E46,Lookups!$A$2:$E$11,4,FALSE),"Price OK","Price Mismatch"),"Product Missing")</f>
        <v>Price OK</v>
      </c>
      <c r="AG46" t="str">
        <f t="shared" si="8"/>
        <v>Valid Email</v>
      </c>
      <c r="AH46" t="str">
        <f t="shared" si="9"/>
        <v>READY FOR REPORTING</v>
      </c>
      <c r="AI46" t="str">
        <f>IF(AND(LEFT(A46,LEN(Settings!$B$13))=Settings!$B$13,LEN(A46)=9),"Valid Format","Invalid Format")</f>
        <v>Valid Format</v>
      </c>
      <c r="AJ46" t="str">
        <f>IF(LEFT(C46,LEN(Settings!$B$14))=Settings!$B$14,"Valid Format","Invalid Format")</f>
        <v>Valid Format</v>
      </c>
      <c r="AK46" t="str">
        <f>IF(COUNTIF(Master_Data!$G$5:$G$14,C46)=1,"Known Customer","Customer Not in Master")</f>
        <v>Customer Not in Master</v>
      </c>
      <c r="AL46" t="str">
        <f>IF(U46&gt;=Settings!$B$11,"Target Met","Below Target")</f>
        <v>Target Met</v>
      </c>
      <c r="AM46" t="str">
        <f>IF(YEAR(B46)=Settings!$B$5,"Correct Year","Wrong Year")</f>
        <v>Correct Year</v>
      </c>
      <c r="AN46">
        <f t="shared" si="10"/>
        <v>4</v>
      </c>
    </row>
    <row r="47" spans="1:40">
      <c r="A47" t="str">
        <f>Raw_Data!A47</f>
        <v>ORD-10046</v>
      </c>
      <c r="B47" s="13">
        <f>Raw_Data!B47</f>
        <v>45919</v>
      </c>
      <c r="C47" t="str">
        <f>Raw_Data!C47</f>
        <v>C1025</v>
      </c>
      <c r="D47" t="str">
        <f>Raw_Data!D47</f>
        <v>client66@example.com</v>
      </c>
      <c r="E47" t="str">
        <f>Raw_Data!E47</f>
        <v>P1010</v>
      </c>
      <c r="F47" t="str">
        <f>Raw_Data!F47</f>
        <v>Headset</v>
      </c>
      <c r="G47" t="str">
        <f>Raw_Data!G47</f>
        <v>Electronics</v>
      </c>
      <c r="H47" t="str">
        <f>Raw_Data!H47</f>
        <v>Bucharest</v>
      </c>
      <c r="I47" t="str">
        <f>Raw_Data!I47</f>
        <v>Marketplace</v>
      </c>
      <c r="J47" t="str">
        <f>Raw_Data!J47</f>
        <v>Mihai Radu</v>
      </c>
      <c r="K47">
        <f>Raw_Data!K47</f>
        <v>2</v>
      </c>
      <c r="L47" s="12">
        <f>Raw_Data!L47</f>
        <v>195</v>
      </c>
      <c r="M47" s="12">
        <f>Raw_Data!M47</f>
        <v>105</v>
      </c>
      <c r="N47" s="14">
        <f>Raw_Data!N47</f>
        <v>0.1</v>
      </c>
      <c r="O47" t="str">
        <f>Raw_Data!O47</f>
        <v>Card</v>
      </c>
      <c r="P47" t="str">
        <f>Raw_Data!P47</f>
        <v>Returned</v>
      </c>
      <c r="Q47" s="12">
        <f t="shared" si="0"/>
        <v>390</v>
      </c>
      <c r="R47" s="12">
        <f t="shared" si="1"/>
        <v>351</v>
      </c>
      <c r="S47" s="12">
        <f t="shared" si="2"/>
        <v>210</v>
      </c>
      <c r="T47" s="12">
        <f t="shared" si="3"/>
        <v>141</v>
      </c>
      <c r="U47" s="11">
        <f t="shared" si="4"/>
        <v>0.40170940170940173</v>
      </c>
      <c r="V47" t="str">
        <f>IF(OR(A47="",COUNTIF($A$2:$A$301,A47)&gt;1,C47="",D47="",ISERROR(SEARCH("@",D47)),ISERROR(SEARCH(".",D47)),COUNTIF(Lookups!$A$2:$A$11,E47)=0,F47="",H47="",K47&lt;=0,L47&lt;0,M47&lt;0,N47&lt;0,N47&gt;0.5,COUNTIF(Lookups!$K$2:$K$4,P47)=0),"ERROR","VALID")</f>
        <v>VALID</v>
      </c>
      <c r="W47" s="2" t="str">
        <f>IF(A47="","Missing Order ID; ","")&amp;IF(COUNTIF($A$2:$A$301,A47)&gt;1,"Duplicate Order ID; ","")&amp;IF(C47="","Missing Customer ID; ","")&amp;IF(OR(D47="",ISERROR(SEARCH("@",D47)),ISERROR(SEARCH(".",D47))),"Invalid Email; ","")&amp;IF(COUNTIF(Lookups!$A$2:$A$11,E47)=0,"Unknown Product; ","")&amp;IF(F47="","Missing Product Name; ","")&amp;IF(H47="","Missing Region; ","")&amp;IF(K47&lt;=0,"Invalid Quantity; ","")&amp;IF(L47&lt;0,"Invalid Price; ","")&amp;IF(M47&lt;0,"Invalid Cost; ","")&amp;IF(OR(N47&lt;0,N47&gt;0.5),"Invalid Discount; ","")&amp;IF(COUNTIF(Lookups!$K$2:$K$4,P47)=0,"Invalid Status; ","")</f>
        <v/>
      </c>
      <c r="X47" s="15" t="str">
        <f t="shared" si="5"/>
        <v>2025-09</v>
      </c>
      <c r="Y47" t="str">
        <f t="shared" si="6"/>
        <v>Q3</v>
      </c>
      <c r="Z47" t="str">
        <f>IF(R47&gt;=Settings!$B$9,"High Value Customer",IF(R47&gt;=Settings!$B$10,"Medium Value Customer","Standard Customer"))</f>
        <v>Standard Customer</v>
      </c>
      <c r="AA47" t="str">
        <f>IF(R47&gt;=Settings!$B$9,"Large Order",IF(R47&gt;=Settings!$B$10,"Medium Order","Small Order"))</f>
        <v>Small Order</v>
      </c>
      <c r="AB47" t="str">
        <f>IF(N47=0,"No Discount",IF(N47&lt;=0.1,"Low Discount",IF(N47&lt;=Settings!$B$8,"Medium Discount","High Discount")))</f>
        <v>Low Discount</v>
      </c>
      <c r="AC47" t="str">
        <f t="shared" si="7"/>
        <v>Profitable</v>
      </c>
      <c r="AD47" t="str">
        <f>IFERROR(VLOOKUP(E47,Lookups!$A$2:$E$11,2,FALSE),"Product Not Found")</f>
        <v>Headset</v>
      </c>
      <c r="AE47" t="str">
        <f>IFERROR(VLOOKUP(E47,Lookups!$A$2:$E$11,3,FALSE),"Category Not Found")</f>
        <v>Electronics</v>
      </c>
      <c r="AF47" t="str">
        <f>IFERROR(IF(L47=VLOOKUP(E47,Lookups!$A$2:$E$11,4,FALSE),"Price OK","Price Mismatch"),"Product Missing")</f>
        <v>Price OK</v>
      </c>
      <c r="AG47" t="str">
        <f t="shared" si="8"/>
        <v>Valid Email</v>
      </c>
      <c r="AH47" t="str">
        <f t="shared" si="9"/>
        <v>READY FOR REPORTING</v>
      </c>
      <c r="AI47" t="str">
        <f>IF(AND(LEFT(A47,LEN(Settings!$B$13))=Settings!$B$13,LEN(A47)=9),"Valid Format","Invalid Format")</f>
        <v>Valid Format</v>
      </c>
      <c r="AJ47" t="str">
        <f>IF(LEFT(C47,LEN(Settings!$B$14))=Settings!$B$14,"Valid Format","Invalid Format")</f>
        <v>Valid Format</v>
      </c>
      <c r="AK47" t="str">
        <f>IF(COUNTIF(Master_Data!$G$5:$G$14,C47)=1,"Known Customer","Customer Not in Master")</f>
        <v>Customer Not in Master</v>
      </c>
      <c r="AL47" t="str">
        <f>IF(U47&gt;=Settings!$B$11,"Target Met","Below Target")</f>
        <v>Target Met</v>
      </c>
      <c r="AM47" t="str">
        <f>IF(YEAR(B47)=Settings!$B$5,"Correct Year","Wrong Year")</f>
        <v>Correct Year</v>
      </c>
      <c r="AN47">
        <f t="shared" si="10"/>
        <v>4</v>
      </c>
    </row>
    <row r="48" spans="1:40">
      <c r="A48" t="str">
        <f>Raw_Data!A48</f>
        <v>ORD-10047</v>
      </c>
      <c r="B48" s="13">
        <f>Raw_Data!B48</f>
        <v>45933</v>
      </c>
      <c r="C48" t="str">
        <f>Raw_Data!C48</f>
        <v>C1095</v>
      </c>
      <c r="D48" t="str">
        <f>Raw_Data!D48</f>
        <v>client172@example.com</v>
      </c>
      <c r="E48" t="str">
        <f>Raw_Data!E48</f>
        <v>P1009</v>
      </c>
      <c r="F48" t="str">
        <f>Raw_Data!F48</f>
        <v>Webcam</v>
      </c>
      <c r="G48" t="str">
        <f>Raw_Data!G48</f>
        <v>Electronics</v>
      </c>
      <c r="H48" t="str">
        <f>Raw_Data!H48</f>
        <v>North</v>
      </c>
      <c r="I48" t="str">
        <f>Raw_Data!I48</f>
        <v>Store</v>
      </c>
      <c r="J48" t="str">
        <f>Raw_Data!J48</f>
        <v>Mihai Radu</v>
      </c>
      <c r="K48">
        <f>Raw_Data!K48</f>
        <v>11</v>
      </c>
      <c r="L48" s="12">
        <f>Raw_Data!L48</f>
        <v>230</v>
      </c>
      <c r="M48" s="12">
        <f>Raw_Data!M48</f>
        <v>132</v>
      </c>
      <c r="N48" s="14">
        <f>Raw_Data!N48</f>
        <v>0.2</v>
      </c>
      <c r="O48" t="str">
        <f>Raw_Data!O48</f>
        <v>Card</v>
      </c>
      <c r="P48" t="str">
        <f>Raw_Data!P48</f>
        <v>Cancelled</v>
      </c>
      <c r="Q48" s="12">
        <f t="shared" si="0"/>
        <v>2530</v>
      </c>
      <c r="R48" s="12">
        <f t="shared" si="1"/>
        <v>2024</v>
      </c>
      <c r="S48" s="12">
        <f t="shared" si="2"/>
        <v>1452</v>
      </c>
      <c r="T48" s="12">
        <f t="shared" si="3"/>
        <v>572</v>
      </c>
      <c r="U48" s="11">
        <f t="shared" si="4"/>
        <v>0.28260869565217389</v>
      </c>
      <c r="V48" t="str">
        <f>IF(OR(A48="",COUNTIF($A$2:$A$301,A48)&gt;1,C48="",D48="",ISERROR(SEARCH("@",D48)),ISERROR(SEARCH(".",D48)),COUNTIF(Lookups!$A$2:$A$11,E48)=0,F48="",H48="",K48&lt;=0,L48&lt;0,M48&lt;0,N48&lt;0,N48&gt;0.5,COUNTIF(Lookups!$K$2:$K$4,P48)=0),"ERROR","VALID")</f>
        <v>VALID</v>
      </c>
      <c r="W48" s="2" t="str">
        <f>IF(A48="","Missing Order ID; ","")&amp;IF(COUNTIF($A$2:$A$301,A48)&gt;1,"Duplicate Order ID; ","")&amp;IF(C48="","Missing Customer ID; ","")&amp;IF(OR(D48="",ISERROR(SEARCH("@",D48)),ISERROR(SEARCH(".",D48))),"Invalid Email; ","")&amp;IF(COUNTIF(Lookups!$A$2:$A$11,E48)=0,"Unknown Product; ","")&amp;IF(F48="","Missing Product Name; ","")&amp;IF(H48="","Missing Region; ","")&amp;IF(K48&lt;=0,"Invalid Quantity; ","")&amp;IF(L48&lt;0,"Invalid Price; ","")&amp;IF(M48&lt;0,"Invalid Cost; ","")&amp;IF(OR(N48&lt;0,N48&gt;0.5),"Invalid Discount; ","")&amp;IF(COUNTIF(Lookups!$K$2:$K$4,P48)=0,"Invalid Status; ","")</f>
        <v/>
      </c>
      <c r="X48" s="15" t="str">
        <f t="shared" si="5"/>
        <v>2025-10</v>
      </c>
      <c r="Y48" t="str">
        <f t="shared" si="6"/>
        <v>Q4</v>
      </c>
      <c r="Z48" t="str">
        <f>IF(R48&gt;=Settings!$B$9,"High Value Customer",IF(R48&gt;=Settings!$B$10,"Medium Value Customer","Standard Customer"))</f>
        <v>Medium Value Customer</v>
      </c>
      <c r="AA48" t="str">
        <f>IF(R48&gt;=Settings!$B$9,"Large Order",IF(R48&gt;=Settings!$B$10,"Medium Order","Small Order"))</f>
        <v>Medium Order</v>
      </c>
      <c r="AB48" t="str">
        <f>IF(N48=0,"No Discount",IF(N48&lt;=0.1,"Low Discount",IF(N48&lt;=Settings!$B$8,"Medium Discount","High Discount")))</f>
        <v>Medium Discount</v>
      </c>
      <c r="AC48" t="str">
        <f t="shared" si="7"/>
        <v>Profitable</v>
      </c>
      <c r="AD48" t="str">
        <f>IFERROR(VLOOKUP(E48,Lookups!$A$2:$E$11,2,FALSE),"Product Not Found")</f>
        <v>Webcam</v>
      </c>
      <c r="AE48" t="str">
        <f>IFERROR(VLOOKUP(E48,Lookups!$A$2:$E$11,3,FALSE),"Category Not Found")</f>
        <v>Electronics</v>
      </c>
      <c r="AF48" t="str">
        <f>IFERROR(IF(L48=VLOOKUP(E48,Lookups!$A$2:$E$11,4,FALSE),"Price OK","Price Mismatch"),"Product Missing")</f>
        <v>Price OK</v>
      </c>
      <c r="AG48" t="str">
        <f t="shared" si="8"/>
        <v>Valid Email</v>
      </c>
      <c r="AH48" t="str">
        <f t="shared" si="9"/>
        <v>READY FOR REPORTING</v>
      </c>
      <c r="AI48" t="str">
        <f>IF(AND(LEFT(A48,LEN(Settings!$B$13))=Settings!$B$13,LEN(A48)=9),"Valid Format","Invalid Format")</f>
        <v>Valid Format</v>
      </c>
      <c r="AJ48" t="str">
        <f>IF(LEFT(C48,LEN(Settings!$B$14))=Settings!$B$14,"Valid Format","Invalid Format")</f>
        <v>Valid Format</v>
      </c>
      <c r="AK48" t="str">
        <f>IF(COUNTIF(Master_Data!$G$5:$G$14,C48)=1,"Known Customer","Customer Not in Master")</f>
        <v>Customer Not in Master</v>
      </c>
      <c r="AL48" t="str">
        <f>IF(U48&gt;=Settings!$B$11,"Target Met","Below Target")</f>
        <v>Target Met</v>
      </c>
      <c r="AM48" t="str">
        <f>IF(YEAR(B48)=Settings!$B$5,"Correct Year","Wrong Year")</f>
        <v>Correct Year</v>
      </c>
      <c r="AN48">
        <f t="shared" si="10"/>
        <v>4</v>
      </c>
    </row>
    <row r="49" spans="1:40">
      <c r="A49" t="str">
        <f>Raw_Data!A49</f>
        <v>ORD-10048</v>
      </c>
      <c r="B49" s="13">
        <f>Raw_Data!B49</f>
        <v>45977</v>
      </c>
      <c r="C49" t="str">
        <f>Raw_Data!C49</f>
        <v>C1093</v>
      </c>
      <c r="D49" t="str">
        <f>Raw_Data!D49</f>
        <v>client77@example.com</v>
      </c>
      <c r="E49" t="str">
        <f>Raw_Data!E49</f>
        <v>P1006</v>
      </c>
      <c r="F49" t="str">
        <f>Raw_Data!F49</f>
        <v>27-inch Monitor</v>
      </c>
      <c r="G49" t="str">
        <f>Raw_Data!G49</f>
        <v>Electronics</v>
      </c>
      <c r="H49" t="str">
        <f>Raw_Data!H49</f>
        <v>West</v>
      </c>
      <c r="I49" t="str">
        <f>Raw_Data!I49</f>
        <v>Store</v>
      </c>
      <c r="J49" t="str">
        <f>Raw_Data!J49</f>
        <v>Mihai Radu</v>
      </c>
      <c r="K49">
        <f>Raw_Data!K49</f>
        <v>6</v>
      </c>
      <c r="L49" s="12">
        <f>Raw_Data!L49</f>
        <v>1090</v>
      </c>
      <c r="M49" s="12">
        <f>Raw_Data!M49</f>
        <v>790</v>
      </c>
      <c r="N49" s="14">
        <f>Raw_Data!N49</f>
        <v>0.2</v>
      </c>
      <c r="O49" t="str">
        <f>Raw_Data!O49</f>
        <v>Cash</v>
      </c>
      <c r="P49" t="str">
        <f>Raw_Data!P49</f>
        <v>Completed</v>
      </c>
      <c r="Q49" s="12">
        <f t="shared" si="0"/>
        <v>6540</v>
      </c>
      <c r="R49" s="12">
        <f t="shared" si="1"/>
        <v>5232</v>
      </c>
      <c r="S49" s="12">
        <f t="shared" si="2"/>
        <v>4740</v>
      </c>
      <c r="T49" s="12">
        <f t="shared" si="3"/>
        <v>492</v>
      </c>
      <c r="U49" s="11">
        <f t="shared" si="4"/>
        <v>9.4036697247706427E-2</v>
      </c>
      <c r="V49" t="str">
        <f>IF(OR(A49="",COUNTIF($A$2:$A$301,A49)&gt;1,C49="",D49="",ISERROR(SEARCH("@",D49)),ISERROR(SEARCH(".",D49)),COUNTIF(Lookups!$A$2:$A$11,E49)=0,F49="",H49="",K49&lt;=0,L49&lt;0,M49&lt;0,N49&lt;0,N49&gt;0.5,COUNTIF(Lookups!$K$2:$K$4,P49)=0),"ERROR","VALID")</f>
        <v>VALID</v>
      </c>
      <c r="W49" s="2" t="str">
        <f>IF(A49="","Missing Order ID; ","")&amp;IF(COUNTIF($A$2:$A$301,A49)&gt;1,"Duplicate Order ID; ","")&amp;IF(C49="","Missing Customer ID; ","")&amp;IF(OR(D49="",ISERROR(SEARCH("@",D49)),ISERROR(SEARCH(".",D49))),"Invalid Email; ","")&amp;IF(COUNTIF(Lookups!$A$2:$A$11,E49)=0,"Unknown Product; ","")&amp;IF(F49="","Missing Product Name; ","")&amp;IF(H49="","Missing Region; ","")&amp;IF(K49&lt;=0,"Invalid Quantity; ","")&amp;IF(L49&lt;0,"Invalid Price; ","")&amp;IF(M49&lt;0,"Invalid Cost; ","")&amp;IF(OR(N49&lt;0,N49&gt;0.5),"Invalid Discount; ","")&amp;IF(COUNTIF(Lookups!$K$2:$K$4,P49)=0,"Invalid Status; ","")</f>
        <v/>
      </c>
      <c r="X49" s="15" t="str">
        <f t="shared" si="5"/>
        <v>2025-11</v>
      </c>
      <c r="Y49" t="str">
        <f t="shared" si="6"/>
        <v>Q4</v>
      </c>
      <c r="Z49" t="str">
        <f>IF(R49&gt;=Settings!$B$9,"High Value Customer",IF(R49&gt;=Settings!$B$10,"Medium Value Customer","Standard Customer"))</f>
        <v>High Value Customer</v>
      </c>
      <c r="AA49" t="str">
        <f>IF(R49&gt;=Settings!$B$9,"Large Order",IF(R49&gt;=Settings!$B$10,"Medium Order","Small Order"))</f>
        <v>Large Order</v>
      </c>
      <c r="AB49" t="str">
        <f>IF(N49=0,"No Discount",IF(N49&lt;=0.1,"Low Discount",IF(N49&lt;=Settings!$B$8,"Medium Discount","High Discount")))</f>
        <v>Medium Discount</v>
      </c>
      <c r="AC49" t="str">
        <f t="shared" si="7"/>
        <v>Profitable</v>
      </c>
      <c r="AD49" t="str">
        <f>IFERROR(VLOOKUP(E49,Lookups!$A$2:$E$11,2,FALSE),"Product Not Found")</f>
        <v>27-inch Monitor</v>
      </c>
      <c r="AE49" t="str">
        <f>IFERROR(VLOOKUP(E49,Lookups!$A$2:$E$11,3,FALSE),"Category Not Found")</f>
        <v>Electronics</v>
      </c>
      <c r="AF49" t="str">
        <f>IFERROR(IF(L49=VLOOKUP(E49,Lookups!$A$2:$E$11,4,FALSE),"Price OK","Price Mismatch"),"Product Missing")</f>
        <v>Price OK</v>
      </c>
      <c r="AG49" t="str">
        <f t="shared" si="8"/>
        <v>Valid Email</v>
      </c>
      <c r="AH49" t="str">
        <f t="shared" si="9"/>
        <v>READY FOR REPORTING</v>
      </c>
      <c r="AI49" t="str">
        <f>IF(AND(LEFT(A49,LEN(Settings!$B$13))=Settings!$B$13,LEN(A49)=9),"Valid Format","Invalid Format")</f>
        <v>Valid Format</v>
      </c>
      <c r="AJ49" t="str">
        <f>IF(LEFT(C49,LEN(Settings!$B$14))=Settings!$B$14,"Valid Format","Invalid Format")</f>
        <v>Valid Format</v>
      </c>
      <c r="AK49" t="str">
        <f>IF(COUNTIF(Master_Data!$G$5:$G$14,C49)=1,"Known Customer","Customer Not in Master")</f>
        <v>Customer Not in Master</v>
      </c>
      <c r="AL49" t="str">
        <f>IF(U49&gt;=Settings!$B$11,"Target Met","Below Target")</f>
        <v>Below Target</v>
      </c>
      <c r="AM49" t="str">
        <f>IF(YEAR(B49)=Settings!$B$5,"Correct Year","Wrong Year")</f>
        <v>Correct Year</v>
      </c>
      <c r="AN49">
        <f t="shared" si="10"/>
        <v>3</v>
      </c>
    </row>
    <row r="50" spans="1:40">
      <c r="A50" t="str">
        <f>Raw_Data!A50</f>
        <v>ORD-10049</v>
      </c>
      <c r="B50" s="13">
        <f>Raw_Data!B50</f>
        <v>46014</v>
      </c>
      <c r="C50" t="str">
        <f>Raw_Data!C50</f>
        <v>C1025</v>
      </c>
      <c r="D50" t="str">
        <f>Raw_Data!D50</f>
        <v>client108@example.com</v>
      </c>
      <c r="E50" t="str">
        <f>Raw_Data!E50</f>
        <v>UNKNOWN</v>
      </c>
      <c r="F50" t="str">
        <f>Raw_Data!F50</f>
        <v>Office Chair</v>
      </c>
      <c r="G50" t="str">
        <f>Raw_Data!G50</f>
        <v>Furniture</v>
      </c>
      <c r="H50" t="str">
        <f>Raw_Data!H50</f>
        <v>East</v>
      </c>
      <c r="I50" t="str">
        <f>Raw_Data!I50</f>
        <v>Marketplace</v>
      </c>
      <c r="J50" t="str">
        <f>Raw_Data!J50</f>
        <v>Maria Ionescu</v>
      </c>
      <c r="K50">
        <f>Raw_Data!K50</f>
        <v>5</v>
      </c>
      <c r="L50" s="12">
        <f>Raw_Data!L50</f>
        <v>840</v>
      </c>
      <c r="M50" s="12">
        <f>Raw_Data!M50</f>
        <v>590</v>
      </c>
      <c r="N50" s="14">
        <f>Raw_Data!N50</f>
        <v>0.15</v>
      </c>
      <c r="O50" t="str">
        <f>Raw_Data!O50</f>
        <v>Cash</v>
      </c>
      <c r="P50" t="str">
        <f>Raw_Data!P50</f>
        <v>Completed</v>
      </c>
      <c r="Q50" s="12">
        <f t="shared" si="0"/>
        <v>4200</v>
      </c>
      <c r="R50" s="12">
        <f t="shared" si="1"/>
        <v>3570</v>
      </c>
      <c r="S50" s="12">
        <f t="shared" si="2"/>
        <v>2950</v>
      </c>
      <c r="T50" s="12">
        <f t="shared" si="3"/>
        <v>620</v>
      </c>
      <c r="U50" s="11">
        <f t="shared" si="4"/>
        <v>0.17366946778711484</v>
      </c>
      <c r="V50" t="str">
        <f>IF(OR(A50="",COUNTIF($A$2:$A$301,A50)&gt;1,C50="",D50="",ISERROR(SEARCH("@",D50)),ISERROR(SEARCH(".",D50)),COUNTIF(Lookups!$A$2:$A$11,E50)=0,F50="",H50="",K50&lt;=0,L50&lt;0,M50&lt;0,N50&lt;0,N50&gt;0.5,COUNTIF(Lookups!$K$2:$K$4,P50)=0),"ERROR","VALID")</f>
        <v>ERROR</v>
      </c>
      <c r="W50" s="2" t="str">
        <f>IF(A50="","Missing Order ID; ","")&amp;IF(COUNTIF($A$2:$A$301,A50)&gt;1,"Duplicate Order ID; ","")&amp;IF(C50="","Missing Customer ID; ","")&amp;IF(OR(D50="",ISERROR(SEARCH("@",D50)),ISERROR(SEARCH(".",D50))),"Invalid Email; ","")&amp;IF(COUNTIF(Lookups!$A$2:$A$11,E50)=0,"Unknown Product; ","")&amp;IF(F50="","Missing Product Name; ","")&amp;IF(H50="","Missing Region; ","")&amp;IF(K50&lt;=0,"Invalid Quantity; ","")&amp;IF(L50&lt;0,"Invalid Price; ","")&amp;IF(M50&lt;0,"Invalid Cost; ","")&amp;IF(OR(N50&lt;0,N50&gt;0.5),"Invalid Discount; ","")&amp;IF(COUNTIF(Lookups!$K$2:$K$4,P50)=0,"Invalid Status; ","")</f>
        <v xml:space="preserve">Unknown Product; </v>
      </c>
      <c r="X50" s="15" t="str">
        <f t="shared" si="5"/>
        <v>2025-12</v>
      </c>
      <c r="Y50" t="str">
        <f t="shared" si="6"/>
        <v>Q4</v>
      </c>
      <c r="Z50" t="str">
        <f>IF(R50&gt;=Settings!$B$9,"High Value Customer",IF(R50&gt;=Settings!$B$10,"Medium Value Customer","Standard Customer"))</f>
        <v>Medium Value Customer</v>
      </c>
      <c r="AA50" t="str">
        <f>IF(R50&gt;=Settings!$B$9,"Large Order",IF(R50&gt;=Settings!$B$10,"Medium Order","Small Order"))</f>
        <v>Medium Order</v>
      </c>
      <c r="AB50" t="str">
        <f>IF(N50=0,"No Discount",IF(N50&lt;=0.1,"Low Discount",IF(N50&lt;=Settings!$B$8,"Medium Discount","High Discount")))</f>
        <v>Medium Discount</v>
      </c>
      <c r="AC50" t="str">
        <f t="shared" si="7"/>
        <v>Profitable</v>
      </c>
      <c r="AD50" t="str">
        <f>IFERROR(VLOOKUP(E50,Lookups!$A$2:$E$11,2,FALSE),"Product Not Found")</f>
        <v>Product Not Found</v>
      </c>
      <c r="AE50" t="str">
        <f>IFERROR(VLOOKUP(E50,Lookups!$A$2:$E$11,3,FALSE),"Category Not Found")</f>
        <v>Category Not Found</v>
      </c>
      <c r="AF50" t="str">
        <f>IFERROR(IF(L50=VLOOKUP(E50,Lookups!$A$2:$E$11,4,FALSE),"Price OK","Price Mismatch"),"Product Missing")</f>
        <v>Product Missing</v>
      </c>
      <c r="AG50" t="str">
        <f t="shared" si="8"/>
        <v>Valid Email</v>
      </c>
      <c r="AH50" t="str">
        <f t="shared" si="9"/>
        <v>REVIEW REQUIRED</v>
      </c>
      <c r="AI50" t="str">
        <f>IF(AND(LEFT(A50,LEN(Settings!$B$13))=Settings!$B$13,LEN(A50)=9),"Valid Format","Invalid Format")</f>
        <v>Valid Format</v>
      </c>
      <c r="AJ50" t="str">
        <f>IF(LEFT(C50,LEN(Settings!$B$14))=Settings!$B$14,"Valid Format","Invalid Format")</f>
        <v>Valid Format</v>
      </c>
      <c r="AK50" t="str">
        <f>IF(COUNTIF(Master_Data!$G$5:$G$14,C50)=1,"Known Customer","Customer Not in Master")</f>
        <v>Customer Not in Master</v>
      </c>
      <c r="AL50" t="str">
        <f>IF(U50&gt;=Settings!$B$11,"Target Met","Below Target")</f>
        <v>Below Target</v>
      </c>
      <c r="AM50" t="str">
        <f>IF(YEAR(B50)=Settings!$B$5,"Correct Year","Wrong Year")</f>
        <v>Correct Year</v>
      </c>
      <c r="AN50">
        <f t="shared" si="10"/>
        <v>3</v>
      </c>
    </row>
    <row r="51" spans="1:40">
      <c r="A51" t="str">
        <f>Raw_Data!A51</f>
        <v>ORD-10050</v>
      </c>
      <c r="B51" s="13">
        <f>Raw_Data!B51</f>
        <v>45938</v>
      </c>
      <c r="C51" t="str">
        <f>Raw_Data!C51</f>
        <v>C1027</v>
      </c>
      <c r="D51" t="str">
        <f>Raw_Data!D51</f>
        <v>client111@example.com</v>
      </c>
      <c r="E51" t="str">
        <f>Raw_Data!E51</f>
        <v>P1007</v>
      </c>
      <c r="F51" t="str">
        <f>Raw_Data!F51</f>
        <v>Office Chair</v>
      </c>
      <c r="G51" t="str">
        <f>Raw_Data!G51</f>
        <v>Furniture</v>
      </c>
      <c r="H51" t="str">
        <f>Raw_Data!H51</f>
        <v>West</v>
      </c>
      <c r="I51" t="str">
        <f>Raw_Data!I51</f>
        <v>Marketplace</v>
      </c>
      <c r="J51" t="str">
        <f>Raw_Data!J51</f>
        <v>Elena Stan</v>
      </c>
      <c r="K51">
        <f>Raw_Data!K51</f>
        <v>1</v>
      </c>
      <c r="L51" s="12">
        <f>Raw_Data!L51</f>
        <v>840</v>
      </c>
      <c r="M51" s="12">
        <f>Raw_Data!M51</f>
        <v>590</v>
      </c>
      <c r="N51" s="14">
        <f>Raw_Data!N51</f>
        <v>0.05</v>
      </c>
      <c r="O51" t="str">
        <f>Raw_Data!O51</f>
        <v>Online Wallet</v>
      </c>
      <c r="P51" t="str">
        <f>Raw_Data!P51</f>
        <v>Completed</v>
      </c>
      <c r="Q51" s="12">
        <f t="shared" si="0"/>
        <v>840</v>
      </c>
      <c r="R51" s="12">
        <f t="shared" si="1"/>
        <v>798</v>
      </c>
      <c r="S51" s="12">
        <f t="shared" si="2"/>
        <v>590</v>
      </c>
      <c r="T51" s="12">
        <f t="shared" si="3"/>
        <v>208</v>
      </c>
      <c r="U51" s="11">
        <f t="shared" si="4"/>
        <v>0.26065162907268169</v>
      </c>
      <c r="V51" t="str">
        <f>IF(OR(A51="",COUNTIF($A$2:$A$301,A51)&gt;1,C51="",D51="",ISERROR(SEARCH("@",D51)),ISERROR(SEARCH(".",D51)),COUNTIF(Lookups!$A$2:$A$11,E51)=0,F51="",H51="",K51&lt;=0,L51&lt;0,M51&lt;0,N51&lt;0,N51&gt;0.5,COUNTIF(Lookups!$K$2:$K$4,P51)=0),"ERROR","VALID")</f>
        <v>VALID</v>
      </c>
      <c r="W51" s="2" t="str">
        <f>IF(A51="","Missing Order ID; ","")&amp;IF(COUNTIF($A$2:$A$301,A51)&gt;1,"Duplicate Order ID; ","")&amp;IF(C51="","Missing Customer ID; ","")&amp;IF(OR(D51="",ISERROR(SEARCH("@",D51)),ISERROR(SEARCH(".",D51))),"Invalid Email; ","")&amp;IF(COUNTIF(Lookups!$A$2:$A$11,E51)=0,"Unknown Product; ","")&amp;IF(F51="","Missing Product Name; ","")&amp;IF(H51="","Missing Region; ","")&amp;IF(K51&lt;=0,"Invalid Quantity; ","")&amp;IF(L51&lt;0,"Invalid Price; ","")&amp;IF(M51&lt;0,"Invalid Cost; ","")&amp;IF(OR(N51&lt;0,N51&gt;0.5),"Invalid Discount; ","")&amp;IF(COUNTIF(Lookups!$K$2:$K$4,P51)=0,"Invalid Status; ","")</f>
        <v/>
      </c>
      <c r="X51" s="15" t="str">
        <f t="shared" si="5"/>
        <v>2025-10</v>
      </c>
      <c r="Y51" t="str">
        <f t="shared" si="6"/>
        <v>Q4</v>
      </c>
      <c r="Z51" t="str">
        <f>IF(R51&gt;=Settings!$B$9,"High Value Customer",IF(R51&gt;=Settings!$B$10,"Medium Value Customer","Standard Customer"))</f>
        <v>Standard Customer</v>
      </c>
      <c r="AA51" t="str">
        <f>IF(R51&gt;=Settings!$B$9,"Large Order",IF(R51&gt;=Settings!$B$10,"Medium Order","Small Order"))</f>
        <v>Small Order</v>
      </c>
      <c r="AB51" t="str">
        <f>IF(N51=0,"No Discount",IF(N51&lt;=0.1,"Low Discount",IF(N51&lt;=Settings!$B$8,"Medium Discount","High Discount")))</f>
        <v>Low Discount</v>
      </c>
      <c r="AC51" t="str">
        <f t="shared" si="7"/>
        <v>Profitable</v>
      </c>
      <c r="AD51" t="str">
        <f>IFERROR(VLOOKUP(E51,Lookups!$A$2:$E$11,2,FALSE),"Product Not Found")</f>
        <v>Office Chair</v>
      </c>
      <c r="AE51" t="str">
        <f>IFERROR(VLOOKUP(E51,Lookups!$A$2:$E$11,3,FALSE),"Category Not Found")</f>
        <v>Furniture</v>
      </c>
      <c r="AF51" t="str">
        <f>IFERROR(IF(L51=VLOOKUP(E51,Lookups!$A$2:$E$11,4,FALSE),"Price OK","Price Mismatch"),"Product Missing")</f>
        <v>Price OK</v>
      </c>
      <c r="AG51" t="str">
        <f t="shared" si="8"/>
        <v>Valid Email</v>
      </c>
      <c r="AH51" t="str">
        <f t="shared" si="9"/>
        <v>READY FOR REPORTING</v>
      </c>
      <c r="AI51" t="str">
        <f>IF(AND(LEFT(A51,LEN(Settings!$B$13))=Settings!$B$13,LEN(A51)=9),"Valid Format","Invalid Format")</f>
        <v>Valid Format</v>
      </c>
      <c r="AJ51" t="str">
        <f>IF(LEFT(C51,LEN(Settings!$B$14))=Settings!$B$14,"Valid Format","Invalid Format")</f>
        <v>Valid Format</v>
      </c>
      <c r="AK51" t="str">
        <f>IF(COUNTIF(Master_Data!$G$5:$G$14,C51)=1,"Known Customer","Customer Not in Master")</f>
        <v>Customer Not in Master</v>
      </c>
      <c r="AL51" t="str">
        <f>IF(U51&gt;=Settings!$B$11,"Target Met","Below Target")</f>
        <v>Target Met</v>
      </c>
      <c r="AM51" t="str">
        <f>IF(YEAR(B51)=Settings!$B$5,"Correct Year","Wrong Year")</f>
        <v>Correct Year</v>
      </c>
      <c r="AN51">
        <f t="shared" si="10"/>
        <v>4</v>
      </c>
    </row>
    <row r="52" spans="1:40">
      <c r="A52" t="str">
        <f>Raw_Data!A52</f>
        <v>ORD-10051</v>
      </c>
      <c r="B52" s="13">
        <f>Raw_Data!B52</f>
        <v>45884</v>
      </c>
      <c r="C52" t="str">
        <f>Raw_Data!C52</f>
        <v>C1061</v>
      </c>
      <c r="D52" t="str">
        <f>Raw_Data!D52</f>
        <v>client44@example.com</v>
      </c>
      <c r="E52" t="str">
        <f>Raw_Data!E52</f>
        <v>P1008</v>
      </c>
      <c r="F52" t="str">
        <f>Raw_Data!F52</f>
        <v>Standing Desk</v>
      </c>
      <c r="G52" t="str">
        <f>Raw_Data!G52</f>
        <v>Furniture</v>
      </c>
      <c r="H52" t="str">
        <f>Raw_Data!H52</f>
        <v>Bucharest</v>
      </c>
      <c r="I52" t="str">
        <f>Raw_Data!I52</f>
        <v>Store</v>
      </c>
      <c r="J52" t="str">
        <f>Raw_Data!J52</f>
        <v>Ioana Pavel</v>
      </c>
      <c r="K52">
        <f>Raw_Data!K52</f>
        <v>11</v>
      </c>
      <c r="L52" s="12">
        <f>Raw_Data!L52</f>
        <v>1450</v>
      </c>
      <c r="M52" s="12">
        <f>Raw_Data!M52</f>
        <v>1030</v>
      </c>
      <c r="N52" s="14">
        <f>Raw_Data!N52</f>
        <v>0</v>
      </c>
      <c r="O52" t="str">
        <f>Raw_Data!O52</f>
        <v>Cash</v>
      </c>
      <c r="P52" t="str">
        <f>Raw_Data!P52</f>
        <v>Returned</v>
      </c>
      <c r="Q52" s="12">
        <f t="shared" si="0"/>
        <v>15950</v>
      </c>
      <c r="R52" s="12">
        <f t="shared" si="1"/>
        <v>15950</v>
      </c>
      <c r="S52" s="12">
        <f t="shared" si="2"/>
        <v>11330</v>
      </c>
      <c r="T52" s="12">
        <f t="shared" si="3"/>
        <v>4620</v>
      </c>
      <c r="U52" s="11">
        <f t="shared" si="4"/>
        <v>0.28965517241379313</v>
      </c>
      <c r="V52" t="str">
        <f>IF(OR(A52="",COUNTIF($A$2:$A$301,A52)&gt;1,C52="",D52="",ISERROR(SEARCH("@",D52)),ISERROR(SEARCH(".",D52)),COUNTIF(Lookups!$A$2:$A$11,E52)=0,F52="",H52="",K52&lt;=0,L52&lt;0,M52&lt;0,N52&lt;0,N52&gt;0.5,COUNTIF(Lookups!$K$2:$K$4,P52)=0),"ERROR","VALID")</f>
        <v>VALID</v>
      </c>
      <c r="W52" s="2" t="str">
        <f>IF(A52="","Missing Order ID; ","")&amp;IF(COUNTIF($A$2:$A$301,A52)&gt;1,"Duplicate Order ID; ","")&amp;IF(C52="","Missing Customer ID; ","")&amp;IF(OR(D52="",ISERROR(SEARCH("@",D52)),ISERROR(SEARCH(".",D52))),"Invalid Email; ","")&amp;IF(COUNTIF(Lookups!$A$2:$A$11,E52)=0,"Unknown Product; ","")&amp;IF(F52="","Missing Product Name; ","")&amp;IF(H52="","Missing Region; ","")&amp;IF(K52&lt;=0,"Invalid Quantity; ","")&amp;IF(L52&lt;0,"Invalid Price; ","")&amp;IF(M52&lt;0,"Invalid Cost; ","")&amp;IF(OR(N52&lt;0,N52&gt;0.5),"Invalid Discount; ","")&amp;IF(COUNTIF(Lookups!$K$2:$K$4,P52)=0,"Invalid Status; ","")</f>
        <v/>
      </c>
      <c r="X52" s="15" t="str">
        <f t="shared" si="5"/>
        <v>2025-08</v>
      </c>
      <c r="Y52" t="str">
        <f t="shared" si="6"/>
        <v>Q3</v>
      </c>
      <c r="Z52" t="str">
        <f>IF(R52&gt;=Settings!$B$9,"High Value Customer",IF(R52&gt;=Settings!$B$10,"Medium Value Customer","Standard Customer"))</f>
        <v>High Value Customer</v>
      </c>
      <c r="AA52" t="str">
        <f>IF(R52&gt;=Settings!$B$9,"Large Order",IF(R52&gt;=Settings!$B$10,"Medium Order","Small Order"))</f>
        <v>Large Order</v>
      </c>
      <c r="AB52" t="str">
        <f>IF(N52=0,"No Discount",IF(N52&lt;=0.1,"Low Discount",IF(N52&lt;=Settings!$B$8,"Medium Discount","High Discount")))</f>
        <v>No Discount</v>
      </c>
      <c r="AC52" t="str">
        <f t="shared" si="7"/>
        <v>Profitable</v>
      </c>
      <c r="AD52" t="str">
        <f>IFERROR(VLOOKUP(E52,Lookups!$A$2:$E$11,2,FALSE),"Product Not Found")</f>
        <v>Standing Desk</v>
      </c>
      <c r="AE52" t="str">
        <f>IFERROR(VLOOKUP(E52,Lookups!$A$2:$E$11,3,FALSE),"Category Not Found")</f>
        <v>Furniture</v>
      </c>
      <c r="AF52" t="str">
        <f>IFERROR(IF(L52=VLOOKUP(E52,Lookups!$A$2:$E$11,4,FALSE),"Price OK","Price Mismatch"),"Product Missing")</f>
        <v>Price OK</v>
      </c>
      <c r="AG52" t="str">
        <f t="shared" si="8"/>
        <v>Valid Email</v>
      </c>
      <c r="AH52" t="str">
        <f t="shared" si="9"/>
        <v>READY FOR REPORTING</v>
      </c>
      <c r="AI52" t="str">
        <f>IF(AND(LEFT(A52,LEN(Settings!$B$13))=Settings!$B$13,LEN(A52)=9),"Valid Format","Invalid Format")</f>
        <v>Valid Format</v>
      </c>
      <c r="AJ52" t="str">
        <f>IF(LEFT(C52,LEN(Settings!$B$14))=Settings!$B$14,"Valid Format","Invalid Format")</f>
        <v>Valid Format</v>
      </c>
      <c r="AK52" t="str">
        <f>IF(COUNTIF(Master_Data!$G$5:$G$14,C52)=1,"Known Customer","Customer Not in Master")</f>
        <v>Customer Not in Master</v>
      </c>
      <c r="AL52" t="str">
        <f>IF(U52&gt;=Settings!$B$11,"Target Met","Below Target")</f>
        <v>Target Met</v>
      </c>
      <c r="AM52" t="str">
        <f>IF(YEAR(B52)=Settings!$B$5,"Correct Year","Wrong Year")</f>
        <v>Correct Year</v>
      </c>
      <c r="AN52">
        <f t="shared" si="10"/>
        <v>4</v>
      </c>
    </row>
    <row r="53" spans="1:40">
      <c r="A53" t="str">
        <f>Raw_Data!A53</f>
        <v>ORD-10052</v>
      </c>
      <c r="B53" s="13">
        <f>Raw_Data!B53</f>
        <v>45778</v>
      </c>
      <c r="C53" t="str">
        <f>Raw_Data!C53</f>
        <v>C1104</v>
      </c>
      <c r="D53" t="str">
        <f>Raw_Data!D53</f>
        <v>client51@example.com</v>
      </c>
      <c r="E53" t="str">
        <f>Raw_Data!E53</f>
        <v>P1002</v>
      </c>
      <c r="F53" t="str">
        <f>Raw_Data!F53</f>
        <v>Wireless Mouse</v>
      </c>
      <c r="G53" t="str">
        <f>Raw_Data!G53</f>
        <v>Accessories</v>
      </c>
      <c r="H53" t="str">
        <f>Raw_Data!H53</f>
        <v>North</v>
      </c>
      <c r="I53" t="str">
        <f>Raw_Data!I53</f>
        <v>Online</v>
      </c>
      <c r="J53" t="str">
        <f>Raw_Data!J53</f>
        <v>Andrei Pop</v>
      </c>
      <c r="K53">
        <f>Raw_Data!K53</f>
        <v>11</v>
      </c>
      <c r="L53" s="12">
        <f>Raw_Data!L53</f>
        <v>85</v>
      </c>
      <c r="M53" s="12">
        <f>Raw_Data!M53</f>
        <v>44</v>
      </c>
      <c r="N53" s="14">
        <f>Raw_Data!N53</f>
        <v>0.05</v>
      </c>
      <c r="O53" t="str">
        <f>Raw_Data!O53</f>
        <v>Bank Transfer</v>
      </c>
      <c r="P53" t="str">
        <f>Raw_Data!P53</f>
        <v>Completed</v>
      </c>
      <c r="Q53" s="12">
        <f t="shared" si="0"/>
        <v>935</v>
      </c>
      <c r="R53" s="12">
        <f t="shared" si="1"/>
        <v>888.25</v>
      </c>
      <c r="S53" s="12">
        <f t="shared" si="2"/>
        <v>484</v>
      </c>
      <c r="T53" s="12">
        <f t="shared" si="3"/>
        <v>404.25</v>
      </c>
      <c r="U53" s="11">
        <f t="shared" si="4"/>
        <v>0.45510835913312692</v>
      </c>
      <c r="V53" t="str">
        <f>IF(OR(A53="",COUNTIF($A$2:$A$301,A53)&gt;1,C53="",D53="",ISERROR(SEARCH("@",D53)),ISERROR(SEARCH(".",D53)),COUNTIF(Lookups!$A$2:$A$11,E53)=0,F53="",H53="",K53&lt;=0,L53&lt;0,M53&lt;0,N53&lt;0,N53&gt;0.5,COUNTIF(Lookups!$K$2:$K$4,P53)=0),"ERROR","VALID")</f>
        <v>VALID</v>
      </c>
      <c r="W53" s="2" t="str">
        <f>IF(A53="","Missing Order ID; ","")&amp;IF(COUNTIF($A$2:$A$301,A53)&gt;1,"Duplicate Order ID; ","")&amp;IF(C53="","Missing Customer ID; ","")&amp;IF(OR(D53="",ISERROR(SEARCH("@",D53)),ISERROR(SEARCH(".",D53))),"Invalid Email; ","")&amp;IF(COUNTIF(Lookups!$A$2:$A$11,E53)=0,"Unknown Product; ","")&amp;IF(F53="","Missing Product Name; ","")&amp;IF(H53="","Missing Region; ","")&amp;IF(K53&lt;=0,"Invalid Quantity; ","")&amp;IF(L53&lt;0,"Invalid Price; ","")&amp;IF(M53&lt;0,"Invalid Cost; ","")&amp;IF(OR(N53&lt;0,N53&gt;0.5),"Invalid Discount; ","")&amp;IF(COUNTIF(Lookups!$K$2:$K$4,P53)=0,"Invalid Status; ","")</f>
        <v/>
      </c>
      <c r="X53" s="15" t="str">
        <f t="shared" si="5"/>
        <v>2025-05</v>
      </c>
      <c r="Y53" t="str">
        <f t="shared" si="6"/>
        <v>Q2</v>
      </c>
      <c r="Z53" t="str">
        <f>IF(R53&gt;=Settings!$B$9,"High Value Customer",IF(R53&gt;=Settings!$B$10,"Medium Value Customer","Standard Customer"))</f>
        <v>Standard Customer</v>
      </c>
      <c r="AA53" t="str">
        <f>IF(R53&gt;=Settings!$B$9,"Large Order",IF(R53&gt;=Settings!$B$10,"Medium Order","Small Order"))</f>
        <v>Small Order</v>
      </c>
      <c r="AB53" t="str">
        <f>IF(N53=0,"No Discount",IF(N53&lt;=0.1,"Low Discount",IF(N53&lt;=Settings!$B$8,"Medium Discount","High Discount")))</f>
        <v>Low Discount</v>
      </c>
      <c r="AC53" t="str">
        <f t="shared" si="7"/>
        <v>Profitable</v>
      </c>
      <c r="AD53" t="str">
        <f>IFERROR(VLOOKUP(E53,Lookups!$A$2:$E$11,2,FALSE),"Product Not Found")</f>
        <v>Wireless Mouse</v>
      </c>
      <c r="AE53" t="str">
        <f>IFERROR(VLOOKUP(E53,Lookups!$A$2:$E$11,3,FALSE),"Category Not Found")</f>
        <v>Accessories</v>
      </c>
      <c r="AF53" t="str">
        <f>IFERROR(IF(L53=VLOOKUP(E53,Lookups!$A$2:$E$11,4,FALSE),"Price OK","Price Mismatch"),"Product Missing")</f>
        <v>Price OK</v>
      </c>
      <c r="AG53" t="str">
        <f t="shared" si="8"/>
        <v>Valid Email</v>
      </c>
      <c r="AH53" t="str">
        <f t="shared" si="9"/>
        <v>READY FOR REPORTING</v>
      </c>
      <c r="AI53" t="str">
        <f>IF(AND(LEFT(A53,LEN(Settings!$B$13))=Settings!$B$13,LEN(A53)=9),"Valid Format","Invalid Format")</f>
        <v>Valid Format</v>
      </c>
      <c r="AJ53" t="str">
        <f>IF(LEFT(C53,LEN(Settings!$B$14))=Settings!$B$14,"Valid Format","Invalid Format")</f>
        <v>Valid Format</v>
      </c>
      <c r="AK53" t="str">
        <f>IF(COUNTIF(Master_Data!$G$5:$G$14,C53)=1,"Known Customer","Customer Not in Master")</f>
        <v>Customer Not in Master</v>
      </c>
      <c r="AL53" t="str">
        <f>IF(U53&gt;=Settings!$B$11,"Target Met","Below Target")</f>
        <v>Target Met</v>
      </c>
      <c r="AM53" t="str">
        <f>IF(YEAR(B53)=Settings!$B$5,"Correct Year","Wrong Year")</f>
        <v>Correct Year</v>
      </c>
      <c r="AN53">
        <f t="shared" si="10"/>
        <v>4</v>
      </c>
    </row>
    <row r="54" spans="1:40">
      <c r="A54" t="str">
        <f>Raw_Data!A54</f>
        <v>ORD-10053</v>
      </c>
      <c r="B54" s="13">
        <f>Raw_Data!B54</f>
        <v>45970</v>
      </c>
      <c r="C54" t="str">
        <f>Raw_Data!C54</f>
        <v>C1114</v>
      </c>
      <c r="D54" t="str">
        <f>Raw_Data!D54</f>
        <v>client162@example.com</v>
      </c>
      <c r="E54" t="str">
        <f>Raw_Data!E54</f>
        <v>P1008</v>
      </c>
      <c r="F54" t="str">
        <f>Raw_Data!F54</f>
        <v>Standing Desk</v>
      </c>
      <c r="G54" t="str">
        <f>Raw_Data!G54</f>
        <v>Furniture</v>
      </c>
      <c r="H54" t="str">
        <f>Raw_Data!H54</f>
        <v>West</v>
      </c>
      <c r="I54" t="str">
        <f>Raw_Data!I54</f>
        <v>Online</v>
      </c>
      <c r="J54" t="str">
        <f>Raw_Data!J54</f>
        <v>Mihai Radu</v>
      </c>
      <c r="K54">
        <f>Raw_Data!K54</f>
        <v>2</v>
      </c>
      <c r="L54" s="12">
        <f>Raw_Data!L54</f>
        <v>1450</v>
      </c>
      <c r="M54" s="12">
        <f>Raw_Data!M54</f>
        <v>1030</v>
      </c>
      <c r="N54" s="14">
        <f>Raw_Data!N54</f>
        <v>0.1</v>
      </c>
      <c r="O54" t="str">
        <f>Raw_Data!O54</f>
        <v>Online Wallet</v>
      </c>
      <c r="P54" t="str">
        <f>Raw_Data!P54</f>
        <v>Completed</v>
      </c>
      <c r="Q54" s="12">
        <f t="shared" si="0"/>
        <v>2900</v>
      </c>
      <c r="R54" s="12">
        <f t="shared" si="1"/>
        <v>2610</v>
      </c>
      <c r="S54" s="12">
        <f t="shared" si="2"/>
        <v>2060</v>
      </c>
      <c r="T54" s="12">
        <f t="shared" si="3"/>
        <v>550</v>
      </c>
      <c r="U54" s="11">
        <f t="shared" si="4"/>
        <v>0.21072796934865901</v>
      </c>
      <c r="V54" t="str">
        <f>IF(OR(A54="",COUNTIF($A$2:$A$301,A54)&gt;1,C54="",D54="",ISERROR(SEARCH("@",D54)),ISERROR(SEARCH(".",D54)),COUNTIF(Lookups!$A$2:$A$11,E54)=0,F54="",H54="",K54&lt;=0,L54&lt;0,M54&lt;0,N54&lt;0,N54&gt;0.5,COUNTIF(Lookups!$K$2:$K$4,P54)=0),"ERROR","VALID")</f>
        <v>VALID</v>
      </c>
      <c r="W54" s="2" t="str">
        <f>IF(A54="","Missing Order ID; ","")&amp;IF(COUNTIF($A$2:$A$301,A54)&gt;1,"Duplicate Order ID; ","")&amp;IF(C54="","Missing Customer ID; ","")&amp;IF(OR(D54="",ISERROR(SEARCH("@",D54)),ISERROR(SEARCH(".",D54))),"Invalid Email; ","")&amp;IF(COUNTIF(Lookups!$A$2:$A$11,E54)=0,"Unknown Product; ","")&amp;IF(F54="","Missing Product Name; ","")&amp;IF(H54="","Missing Region; ","")&amp;IF(K54&lt;=0,"Invalid Quantity; ","")&amp;IF(L54&lt;0,"Invalid Price; ","")&amp;IF(M54&lt;0,"Invalid Cost; ","")&amp;IF(OR(N54&lt;0,N54&gt;0.5),"Invalid Discount; ","")&amp;IF(COUNTIF(Lookups!$K$2:$K$4,P54)=0,"Invalid Status; ","")</f>
        <v/>
      </c>
      <c r="X54" s="15" t="str">
        <f t="shared" si="5"/>
        <v>2025-11</v>
      </c>
      <c r="Y54" t="str">
        <f t="shared" si="6"/>
        <v>Q4</v>
      </c>
      <c r="Z54" t="str">
        <f>IF(R54&gt;=Settings!$B$9,"High Value Customer",IF(R54&gt;=Settings!$B$10,"Medium Value Customer","Standard Customer"))</f>
        <v>Medium Value Customer</v>
      </c>
      <c r="AA54" t="str">
        <f>IF(R54&gt;=Settings!$B$9,"Large Order",IF(R54&gt;=Settings!$B$10,"Medium Order","Small Order"))</f>
        <v>Medium Order</v>
      </c>
      <c r="AB54" t="str">
        <f>IF(N54=0,"No Discount",IF(N54&lt;=0.1,"Low Discount",IF(N54&lt;=Settings!$B$8,"Medium Discount","High Discount")))</f>
        <v>Low Discount</v>
      </c>
      <c r="AC54" t="str">
        <f t="shared" si="7"/>
        <v>Profitable</v>
      </c>
      <c r="AD54" t="str">
        <f>IFERROR(VLOOKUP(E54,Lookups!$A$2:$E$11,2,FALSE),"Product Not Found")</f>
        <v>Standing Desk</v>
      </c>
      <c r="AE54" t="str">
        <f>IFERROR(VLOOKUP(E54,Lookups!$A$2:$E$11,3,FALSE),"Category Not Found")</f>
        <v>Furniture</v>
      </c>
      <c r="AF54" t="str">
        <f>IFERROR(IF(L54=VLOOKUP(E54,Lookups!$A$2:$E$11,4,FALSE),"Price OK","Price Mismatch"),"Product Missing")</f>
        <v>Price OK</v>
      </c>
      <c r="AG54" t="str">
        <f t="shared" si="8"/>
        <v>Valid Email</v>
      </c>
      <c r="AH54" t="str">
        <f t="shared" si="9"/>
        <v>READY FOR REPORTING</v>
      </c>
      <c r="AI54" t="str">
        <f>IF(AND(LEFT(A54,LEN(Settings!$B$13))=Settings!$B$13,LEN(A54)=9),"Valid Format","Invalid Format")</f>
        <v>Valid Format</v>
      </c>
      <c r="AJ54" t="str">
        <f>IF(LEFT(C54,LEN(Settings!$B$14))=Settings!$B$14,"Valid Format","Invalid Format")</f>
        <v>Valid Format</v>
      </c>
      <c r="AK54" t="str">
        <f>IF(COUNTIF(Master_Data!$G$5:$G$14,C54)=1,"Known Customer","Customer Not in Master")</f>
        <v>Customer Not in Master</v>
      </c>
      <c r="AL54" t="str">
        <f>IF(U54&gt;=Settings!$B$11,"Target Met","Below Target")</f>
        <v>Below Target</v>
      </c>
      <c r="AM54" t="str">
        <f>IF(YEAR(B54)=Settings!$B$5,"Correct Year","Wrong Year")</f>
        <v>Correct Year</v>
      </c>
      <c r="AN54">
        <f t="shared" si="10"/>
        <v>3</v>
      </c>
    </row>
    <row r="55" spans="1:40">
      <c r="A55" t="str">
        <f>Raw_Data!A55</f>
        <v>ORD-10054</v>
      </c>
      <c r="B55" s="13">
        <f>Raw_Data!B55</f>
        <v>45782</v>
      </c>
      <c r="C55" t="str">
        <f>Raw_Data!C55</f>
        <v>C1001</v>
      </c>
      <c r="D55" t="str">
        <f>Raw_Data!D55</f>
        <v>client28@example.com</v>
      </c>
      <c r="E55" t="str">
        <f>Raw_Data!E55</f>
        <v>P1007</v>
      </c>
      <c r="F55" t="str">
        <f>Raw_Data!F55</f>
        <v>Office Chair</v>
      </c>
      <c r="G55" t="str">
        <f>Raw_Data!G55</f>
        <v>Furniture</v>
      </c>
      <c r="H55" t="str">
        <f>Raw_Data!H55</f>
        <v>East</v>
      </c>
      <c r="I55" t="str">
        <f>Raw_Data!I55</f>
        <v>Online</v>
      </c>
      <c r="J55" t="str">
        <f>Raw_Data!J55</f>
        <v>Maria Ionescu</v>
      </c>
      <c r="K55">
        <f>Raw_Data!K55</f>
        <v>3</v>
      </c>
      <c r="L55" s="12">
        <f>Raw_Data!L55</f>
        <v>840</v>
      </c>
      <c r="M55" s="12">
        <f>Raw_Data!M55</f>
        <v>590</v>
      </c>
      <c r="N55" s="14">
        <f>Raw_Data!N55</f>
        <v>0.2</v>
      </c>
      <c r="O55" t="str">
        <f>Raw_Data!O55</f>
        <v>Online Wallet</v>
      </c>
      <c r="P55" t="str">
        <f>Raw_Data!P55</f>
        <v>Cancelled</v>
      </c>
      <c r="Q55" s="12">
        <f t="shared" si="0"/>
        <v>2520</v>
      </c>
      <c r="R55" s="12">
        <f t="shared" si="1"/>
        <v>2016</v>
      </c>
      <c r="S55" s="12">
        <f t="shared" si="2"/>
        <v>1770</v>
      </c>
      <c r="T55" s="12">
        <f t="shared" si="3"/>
        <v>246</v>
      </c>
      <c r="U55" s="11">
        <f t="shared" si="4"/>
        <v>0.12202380952380952</v>
      </c>
      <c r="V55" t="str">
        <f>IF(OR(A55="",COUNTIF($A$2:$A$301,A55)&gt;1,C55="",D55="",ISERROR(SEARCH("@",D55)),ISERROR(SEARCH(".",D55)),COUNTIF(Lookups!$A$2:$A$11,E55)=0,F55="",H55="",K55&lt;=0,L55&lt;0,M55&lt;0,N55&lt;0,N55&gt;0.5,COUNTIF(Lookups!$K$2:$K$4,P55)=0),"ERROR","VALID")</f>
        <v>VALID</v>
      </c>
      <c r="W55" s="2" t="str">
        <f>IF(A55="","Missing Order ID; ","")&amp;IF(COUNTIF($A$2:$A$301,A55)&gt;1,"Duplicate Order ID; ","")&amp;IF(C55="","Missing Customer ID; ","")&amp;IF(OR(D55="",ISERROR(SEARCH("@",D55)),ISERROR(SEARCH(".",D55))),"Invalid Email; ","")&amp;IF(COUNTIF(Lookups!$A$2:$A$11,E55)=0,"Unknown Product; ","")&amp;IF(F55="","Missing Product Name; ","")&amp;IF(H55="","Missing Region; ","")&amp;IF(K55&lt;=0,"Invalid Quantity; ","")&amp;IF(L55&lt;0,"Invalid Price; ","")&amp;IF(M55&lt;0,"Invalid Cost; ","")&amp;IF(OR(N55&lt;0,N55&gt;0.5),"Invalid Discount; ","")&amp;IF(COUNTIF(Lookups!$K$2:$K$4,P55)=0,"Invalid Status; ","")</f>
        <v/>
      </c>
      <c r="X55" s="15" t="str">
        <f t="shared" si="5"/>
        <v>2025-05</v>
      </c>
      <c r="Y55" t="str">
        <f t="shared" si="6"/>
        <v>Q2</v>
      </c>
      <c r="Z55" t="str">
        <f>IF(R55&gt;=Settings!$B$9,"High Value Customer",IF(R55&gt;=Settings!$B$10,"Medium Value Customer","Standard Customer"))</f>
        <v>Medium Value Customer</v>
      </c>
      <c r="AA55" t="str">
        <f>IF(R55&gt;=Settings!$B$9,"Large Order",IF(R55&gt;=Settings!$B$10,"Medium Order","Small Order"))</f>
        <v>Medium Order</v>
      </c>
      <c r="AB55" t="str">
        <f>IF(N55=0,"No Discount",IF(N55&lt;=0.1,"Low Discount",IF(N55&lt;=Settings!$B$8,"Medium Discount","High Discount")))</f>
        <v>Medium Discount</v>
      </c>
      <c r="AC55" t="str">
        <f t="shared" si="7"/>
        <v>Profitable</v>
      </c>
      <c r="AD55" t="str">
        <f>IFERROR(VLOOKUP(E55,Lookups!$A$2:$E$11,2,FALSE),"Product Not Found")</f>
        <v>Office Chair</v>
      </c>
      <c r="AE55" t="str">
        <f>IFERROR(VLOOKUP(E55,Lookups!$A$2:$E$11,3,FALSE),"Category Not Found")</f>
        <v>Furniture</v>
      </c>
      <c r="AF55" t="str">
        <f>IFERROR(IF(L55=VLOOKUP(E55,Lookups!$A$2:$E$11,4,FALSE),"Price OK","Price Mismatch"),"Product Missing")</f>
        <v>Price OK</v>
      </c>
      <c r="AG55" t="str">
        <f t="shared" si="8"/>
        <v>Valid Email</v>
      </c>
      <c r="AH55" t="str">
        <f t="shared" si="9"/>
        <v>READY FOR REPORTING</v>
      </c>
      <c r="AI55" t="str">
        <f>IF(AND(LEFT(A55,LEN(Settings!$B$13))=Settings!$B$13,LEN(A55)=9),"Valid Format","Invalid Format")</f>
        <v>Valid Format</v>
      </c>
      <c r="AJ55" t="str">
        <f>IF(LEFT(C55,LEN(Settings!$B$14))=Settings!$B$14,"Valid Format","Invalid Format")</f>
        <v>Valid Format</v>
      </c>
      <c r="AK55" t="str">
        <f>IF(COUNTIF(Master_Data!$G$5:$G$14,C55)=1,"Known Customer","Customer Not in Master")</f>
        <v>Known Customer</v>
      </c>
      <c r="AL55" t="str">
        <f>IF(U55&gt;=Settings!$B$11,"Target Met","Below Target")</f>
        <v>Below Target</v>
      </c>
      <c r="AM55" t="str">
        <f>IF(YEAR(B55)=Settings!$B$5,"Correct Year","Wrong Year")</f>
        <v>Correct Year</v>
      </c>
      <c r="AN55">
        <f t="shared" si="10"/>
        <v>4</v>
      </c>
    </row>
    <row r="56" spans="1:40">
      <c r="A56" t="str">
        <f>Raw_Data!A56</f>
        <v>ORD-10055</v>
      </c>
      <c r="B56" s="13">
        <f>Raw_Data!B56</f>
        <v>45943</v>
      </c>
      <c r="C56" t="str">
        <f>Raw_Data!C56</f>
        <v>C1018</v>
      </c>
      <c r="D56" t="str">
        <f>Raw_Data!D56</f>
        <v>client119@example.com</v>
      </c>
      <c r="E56" t="str">
        <f>Raw_Data!E56</f>
        <v>P1001</v>
      </c>
      <c r="F56" t="str">
        <f>Raw_Data!F56</f>
        <v>Laptop Stand</v>
      </c>
      <c r="G56" t="str">
        <f>Raw_Data!G56</f>
        <v>Accessories</v>
      </c>
      <c r="H56" t="str">
        <f>Raw_Data!H56</f>
        <v>West</v>
      </c>
      <c r="I56" t="str">
        <f>Raw_Data!I56</f>
        <v>Marketplace</v>
      </c>
      <c r="J56" t="str">
        <f>Raw_Data!J56</f>
        <v>Ioana Pavel</v>
      </c>
      <c r="K56">
        <f>Raw_Data!K56</f>
        <v>4</v>
      </c>
      <c r="L56" s="12">
        <f>Raw_Data!L56</f>
        <v>95</v>
      </c>
      <c r="M56" s="12">
        <f>Raw_Data!M56</f>
        <v>52</v>
      </c>
      <c r="N56" s="14">
        <f>Raw_Data!N56</f>
        <v>0</v>
      </c>
      <c r="O56" t="str">
        <f>Raw_Data!O56</f>
        <v>Cash</v>
      </c>
      <c r="P56" t="str">
        <f>Raw_Data!P56</f>
        <v>Completed</v>
      </c>
      <c r="Q56" s="12">
        <f t="shared" si="0"/>
        <v>380</v>
      </c>
      <c r="R56" s="12">
        <f t="shared" si="1"/>
        <v>380</v>
      </c>
      <c r="S56" s="12">
        <f t="shared" si="2"/>
        <v>208</v>
      </c>
      <c r="T56" s="12">
        <f t="shared" si="3"/>
        <v>172</v>
      </c>
      <c r="U56" s="11">
        <f t="shared" si="4"/>
        <v>0.45263157894736844</v>
      </c>
      <c r="V56" t="str">
        <f>IF(OR(A56="",COUNTIF($A$2:$A$301,A56)&gt;1,C56="",D56="",ISERROR(SEARCH("@",D56)),ISERROR(SEARCH(".",D56)),COUNTIF(Lookups!$A$2:$A$11,E56)=0,F56="",H56="",K56&lt;=0,L56&lt;0,M56&lt;0,N56&lt;0,N56&gt;0.5,COUNTIF(Lookups!$K$2:$K$4,P56)=0),"ERROR","VALID")</f>
        <v>VALID</v>
      </c>
      <c r="W56" s="2" t="str">
        <f>IF(A56="","Missing Order ID; ","")&amp;IF(COUNTIF($A$2:$A$301,A56)&gt;1,"Duplicate Order ID; ","")&amp;IF(C56="","Missing Customer ID; ","")&amp;IF(OR(D56="",ISERROR(SEARCH("@",D56)),ISERROR(SEARCH(".",D56))),"Invalid Email; ","")&amp;IF(COUNTIF(Lookups!$A$2:$A$11,E56)=0,"Unknown Product; ","")&amp;IF(F56="","Missing Product Name; ","")&amp;IF(H56="","Missing Region; ","")&amp;IF(K56&lt;=0,"Invalid Quantity; ","")&amp;IF(L56&lt;0,"Invalid Price; ","")&amp;IF(M56&lt;0,"Invalid Cost; ","")&amp;IF(OR(N56&lt;0,N56&gt;0.5),"Invalid Discount; ","")&amp;IF(COUNTIF(Lookups!$K$2:$K$4,P56)=0,"Invalid Status; ","")</f>
        <v/>
      </c>
      <c r="X56" s="15" t="str">
        <f t="shared" si="5"/>
        <v>2025-10</v>
      </c>
      <c r="Y56" t="str">
        <f t="shared" si="6"/>
        <v>Q4</v>
      </c>
      <c r="Z56" t="str">
        <f>IF(R56&gt;=Settings!$B$9,"High Value Customer",IF(R56&gt;=Settings!$B$10,"Medium Value Customer","Standard Customer"))</f>
        <v>Standard Customer</v>
      </c>
      <c r="AA56" t="str">
        <f>IF(R56&gt;=Settings!$B$9,"Large Order",IF(R56&gt;=Settings!$B$10,"Medium Order","Small Order"))</f>
        <v>Small Order</v>
      </c>
      <c r="AB56" t="str">
        <f>IF(N56=0,"No Discount",IF(N56&lt;=0.1,"Low Discount",IF(N56&lt;=Settings!$B$8,"Medium Discount","High Discount")))</f>
        <v>No Discount</v>
      </c>
      <c r="AC56" t="str">
        <f t="shared" si="7"/>
        <v>Profitable</v>
      </c>
      <c r="AD56" t="str">
        <f>IFERROR(VLOOKUP(E56,Lookups!$A$2:$E$11,2,FALSE),"Product Not Found")</f>
        <v>Laptop Stand</v>
      </c>
      <c r="AE56" t="str">
        <f>IFERROR(VLOOKUP(E56,Lookups!$A$2:$E$11,3,FALSE),"Category Not Found")</f>
        <v>Accessories</v>
      </c>
      <c r="AF56" t="str">
        <f>IFERROR(IF(L56=VLOOKUP(E56,Lookups!$A$2:$E$11,4,FALSE),"Price OK","Price Mismatch"),"Product Missing")</f>
        <v>Price OK</v>
      </c>
      <c r="AG56" t="str">
        <f t="shared" si="8"/>
        <v>Valid Email</v>
      </c>
      <c r="AH56" t="str">
        <f t="shared" si="9"/>
        <v>READY FOR REPORTING</v>
      </c>
      <c r="AI56" t="str">
        <f>IF(AND(LEFT(A56,LEN(Settings!$B$13))=Settings!$B$13,LEN(A56)=9),"Valid Format","Invalid Format")</f>
        <v>Valid Format</v>
      </c>
      <c r="AJ56" t="str">
        <f>IF(LEFT(C56,LEN(Settings!$B$14))=Settings!$B$14,"Valid Format","Invalid Format")</f>
        <v>Valid Format</v>
      </c>
      <c r="AK56" t="str">
        <f>IF(COUNTIF(Master_Data!$G$5:$G$14,C56)=1,"Known Customer","Customer Not in Master")</f>
        <v>Customer Not in Master</v>
      </c>
      <c r="AL56" t="str">
        <f>IF(U56&gt;=Settings!$B$11,"Target Met","Below Target")</f>
        <v>Target Met</v>
      </c>
      <c r="AM56" t="str">
        <f>IF(YEAR(B56)=Settings!$B$5,"Correct Year","Wrong Year")</f>
        <v>Correct Year</v>
      </c>
      <c r="AN56">
        <f t="shared" si="10"/>
        <v>4</v>
      </c>
    </row>
    <row r="57" spans="1:40">
      <c r="A57" t="str">
        <f>Raw_Data!A57</f>
        <v>ORD-10056</v>
      </c>
      <c r="B57" s="13">
        <f>Raw_Data!B57</f>
        <v>45971</v>
      </c>
      <c r="C57" t="str">
        <f>Raw_Data!C57</f>
        <v>C1107</v>
      </c>
      <c r="D57" t="str">
        <f>Raw_Data!D57</f>
        <v>client141@example.com</v>
      </c>
      <c r="E57" t="str">
        <f>Raw_Data!E57</f>
        <v>P1008</v>
      </c>
      <c r="F57" t="str">
        <f>Raw_Data!F57</f>
        <v>Standing Desk</v>
      </c>
      <c r="G57" t="str">
        <f>Raw_Data!G57</f>
        <v>Furniture</v>
      </c>
      <c r="H57" t="str">
        <f>Raw_Data!H57</f>
        <v>East</v>
      </c>
      <c r="I57" t="str">
        <f>Raw_Data!I57</f>
        <v>Online</v>
      </c>
      <c r="J57" t="str">
        <f>Raw_Data!J57</f>
        <v>Mihai Radu</v>
      </c>
      <c r="K57">
        <f>Raw_Data!K57</f>
        <v>12</v>
      </c>
      <c r="L57" s="12">
        <f>Raw_Data!L57</f>
        <v>1450</v>
      </c>
      <c r="M57" s="12">
        <f>Raw_Data!M57</f>
        <v>1030</v>
      </c>
      <c r="N57" s="14">
        <f>Raw_Data!N57</f>
        <v>0.15</v>
      </c>
      <c r="O57" t="str">
        <f>Raw_Data!O57</f>
        <v>Online Wallet</v>
      </c>
      <c r="P57" t="str">
        <f>Raw_Data!P57</f>
        <v>Completed</v>
      </c>
      <c r="Q57" s="12">
        <f t="shared" si="0"/>
        <v>17400</v>
      </c>
      <c r="R57" s="12">
        <f t="shared" si="1"/>
        <v>14790</v>
      </c>
      <c r="S57" s="12">
        <f t="shared" si="2"/>
        <v>12360</v>
      </c>
      <c r="T57" s="12">
        <f t="shared" si="3"/>
        <v>2430</v>
      </c>
      <c r="U57" s="11">
        <f t="shared" si="4"/>
        <v>0.1643002028397566</v>
      </c>
      <c r="V57" t="str">
        <f>IF(OR(A57="",COUNTIF($A$2:$A$301,A57)&gt;1,C57="",D57="",ISERROR(SEARCH("@",D57)),ISERROR(SEARCH(".",D57)),COUNTIF(Lookups!$A$2:$A$11,E57)=0,F57="",H57="",K57&lt;=0,L57&lt;0,M57&lt;0,N57&lt;0,N57&gt;0.5,COUNTIF(Lookups!$K$2:$K$4,P57)=0),"ERROR","VALID")</f>
        <v>VALID</v>
      </c>
      <c r="W57" s="2" t="str">
        <f>IF(A57="","Missing Order ID; ","")&amp;IF(COUNTIF($A$2:$A$301,A57)&gt;1,"Duplicate Order ID; ","")&amp;IF(C57="","Missing Customer ID; ","")&amp;IF(OR(D57="",ISERROR(SEARCH("@",D57)),ISERROR(SEARCH(".",D57))),"Invalid Email; ","")&amp;IF(COUNTIF(Lookups!$A$2:$A$11,E57)=0,"Unknown Product; ","")&amp;IF(F57="","Missing Product Name; ","")&amp;IF(H57="","Missing Region; ","")&amp;IF(K57&lt;=0,"Invalid Quantity; ","")&amp;IF(L57&lt;0,"Invalid Price; ","")&amp;IF(M57&lt;0,"Invalid Cost; ","")&amp;IF(OR(N57&lt;0,N57&gt;0.5),"Invalid Discount; ","")&amp;IF(COUNTIF(Lookups!$K$2:$K$4,P57)=0,"Invalid Status; ","")</f>
        <v/>
      </c>
      <c r="X57" s="15" t="str">
        <f t="shared" si="5"/>
        <v>2025-11</v>
      </c>
      <c r="Y57" t="str">
        <f t="shared" si="6"/>
        <v>Q4</v>
      </c>
      <c r="Z57" t="str">
        <f>IF(R57&gt;=Settings!$B$9,"High Value Customer",IF(R57&gt;=Settings!$B$10,"Medium Value Customer","Standard Customer"))</f>
        <v>High Value Customer</v>
      </c>
      <c r="AA57" t="str">
        <f>IF(R57&gt;=Settings!$B$9,"Large Order",IF(R57&gt;=Settings!$B$10,"Medium Order","Small Order"))</f>
        <v>Large Order</v>
      </c>
      <c r="AB57" t="str">
        <f>IF(N57=0,"No Discount",IF(N57&lt;=0.1,"Low Discount",IF(N57&lt;=Settings!$B$8,"Medium Discount","High Discount")))</f>
        <v>Medium Discount</v>
      </c>
      <c r="AC57" t="str">
        <f t="shared" si="7"/>
        <v>Profitable</v>
      </c>
      <c r="AD57" t="str">
        <f>IFERROR(VLOOKUP(E57,Lookups!$A$2:$E$11,2,FALSE),"Product Not Found")</f>
        <v>Standing Desk</v>
      </c>
      <c r="AE57" t="str">
        <f>IFERROR(VLOOKUP(E57,Lookups!$A$2:$E$11,3,FALSE),"Category Not Found")</f>
        <v>Furniture</v>
      </c>
      <c r="AF57" t="str">
        <f>IFERROR(IF(L57=VLOOKUP(E57,Lookups!$A$2:$E$11,4,FALSE),"Price OK","Price Mismatch"),"Product Missing")</f>
        <v>Price OK</v>
      </c>
      <c r="AG57" t="str">
        <f t="shared" si="8"/>
        <v>Valid Email</v>
      </c>
      <c r="AH57" t="str">
        <f t="shared" si="9"/>
        <v>READY FOR REPORTING</v>
      </c>
      <c r="AI57" t="str">
        <f>IF(AND(LEFT(A57,LEN(Settings!$B$13))=Settings!$B$13,LEN(A57)=9),"Valid Format","Invalid Format")</f>
        <v>Valid Format</v>
      </c>
      <c r="AJ57" t="str">
        <f>IF(LEFT(C57,LEN(Settings!$B$14))=Settings!$B$14,"Valid Format","Invalid Format")</f>
        <v>Valid Format</v>
      </c>
      <c r="AK57" t="str">
        <f>IF(COUNTIF(Master_Data!$G$5:$G$14,C57)=1,"Known Customer","Customer Not in Master")</f>
        <v>Customer Not in Master</v>
      </c>
      <c r="AL57" t="str">
        <f>IF(U57&gt;=Settings!$B$11,"Target Met","Below Target")</f>
        <v>Below Target</v>
      </c>
      <c r="AM57" t="str">
        <f>IF(YEAR(B57)=Settings!$B$5,"Correct Year","Wrong Year")</f>
        <v>Correct Year</v>
      </c>
      <c r="AN57">
        <f t="shared" si="10"/>
        <v>3</v>
      </c>
    </row>
    <row r="58" spans="1:40">
      <c r="A58" t="str">
        <f>Raw_Data!A58</f>
        <v>ORD-10057</v>
      </c>
      <c r="B58" s="13">
        <f>Raw_Data!B58</f>
        <v>45784</v>
      </c>
      <c r="C58" t="str">
        <f>Raw_Data!C58</f>
        <v>C1063</v>
      </c>
      <c r="D58" t="str">
        <f>Raw_Data!D58</f>
        <v>client161@example.com</v>
      </c>
      <c r="E58" t="str">
        <f>Raw_Data!E58</f>
        <v>P1005</v>
      </c>
      <c r="F58" t="str">
        <f>Raw_Data!F58</f>
        <v>24-inch Monitor</v>
      </c>
      <c r="G58" t="str">
        <f>Raw_Data!G58</f>
        <v>Electronics</v>
      </c>
      <c r="H58" t="str">
        <f>Raw_Data!H58</f>
        <v>North</v>
      </c>
      <c r="I58" t="str">
        <f>Raw_Data!I58</f>
        <v>Store</v>
      </c>
      <c r="J58" t="str">
        <f>Raw_Data!J58</f>
        <v>Mihai Radu</v>
      </c>
      <c r="K58">
        <f>Raw_Data!K58</f>
        <v>11</v>
      </c>
      <c r="L58" s="12">
        <f>Raw_Data!L58</f>
        <v>720</v>
      </c>
      <c r="M58" s="12">
        <f>Raw_Data!M58</f>
        <v>510</v>
      </c>
      <c r="N58" s="14">
        <f>Raw_Data!N58</f>
        <v>0.05</v>
      </c>
      <c r="O58" t="str">
        <f>Raw_Data!O58</f>
        <v>Card</v>
      </c>
      <c r="P58" t="str">
        <f>Raw_Data!P58</f>
        <v>Returned</v>
      </c>
      <c r="Q58" s="12">
        <f t="shared" si="0"/>
        <v>7920</v>
      </c>
      <c r="R58" s="12">
        <f t="shared" si="1"/>
        <v>7524</v>
      </c>
      <c r="S58" s="12">
        <f t="shared" si="2"/>
        <v>5610</v>
      </c>
      <c r="T58" s="12">
        <f t="shared" si="3"/>
        <v>1914</v>
      </c>
      <c r="U58" s="11">
        <f t="shared" si="4"/>
        <v>0.25438596491228072</v>
      </c>
      <c r="V58" t="str">
        <f>IF(OR(A58="",COUNTIF($A$2:$A$301,A58)&gt;1,C58="",D58="",ISERROR(SEARCH("@",D58)),ISERROR(SEARCH(".",D58)),COUNTIF(Lookups!$A$2:$A$11,E58)=0,F58="",H58="",K58&lt;=0,L58&lt;0,M58&lt;0,N58&lt;0,N58&gt;0.5,COUNTIF(Lookups!$K$2:$K$4,P58)=0),"ERROR","VALID")</f>
        <v>VALID</v>
      </c>
      <c r="W58" s="2" t="str">
        <f>IF(A58="","Missing Order ID; ","")&amp;IF(COUNTIF($A$2:$A$301,A58)&gt;1,"Duplicate Order ID; ","")&amp;IF(C58="","Missing Customer ID; ","")&amp;IF(OR(D58="",ISERROR(SEARCH("@",D58)),ISERROR(SEARCH(".",D58))),"Invalid Email; ","")&amp;IF(COUNTIF(Lookups!$A$2:$A$11,E58)=0,"Unknown Product; ","")&amp;IF(F58="","Missing Product Name; ","")&amp;IF(H58="","Missing Region; ","")&amp;IF(K58&lt;=0,"Invalid Quantity; ","")&amp;IF(L58&lt;0,"Invalid Price; ","")&amp;IF(M58&lt;0,"Invalid Cost; ","")&amp;IF(OR(N58&lt;0,N58&gt;0.5),"Invalid Discount; ","")&amp;IF(COUNTIF(Lookups!$K$2:$K$4,P58)=0,"Invalid Status; ","")</f>
        <v/>
      </c>
      <c r="X58" s="15" t="str">
        <f t="shared" si="5"/>
        <v>2025-05</v>
      </c>
      <c r="Y58" t="str">
        <f t="shared" si="6"/>
        <v>Q2</v>
      </c>
      <c r="Z58" t="str">
        <f>IF(R58&gt;=Settings!$B$9,"High Value Customer",IF(R58&gt;=Settings!$B$10,"Medium Value Customer","Standard Customer"))</f>
        <v>High Value Customer</v>
      </c>
      <c r="AA58" t="str">
        <f>IF(R58&gt;=Settings!$B$9,"Large Order",IF(R58&gt;=Settings!$B$10,"Medium Order","Small Order"))</f>
        <v>Large Order</v>
      </c>
      <c r="AB58" t="str">
        <f>IF(N58=0,"No Discount",IF(N58&lt;=0.1,"Low Discount",IF(N58&lt;=Settings!$B$8,"Medium Discount","High Discount")))</f>
        <v>Low Discount</v>
      </c>
      <c r="AC58" t="str">
        <f t="shared" si="7"/>
        <v>Profitable</v>
      </c>
      <c r="AD58" t="str">
        <f>IFERROR(VLOOKUP(E58,Lookups!$A$2:$E$11,2,FALSE),"Product Not Found")</f>
        <v>24-inch Monitor</v>
      </c>
      <c r="AE58" t="str">
        <f>IFERROR(VLOOKUP(E58,Lookups!$A$2:$E$11,3,FALSE),"Category Not Found")</f>
        <v>Electronics</v>
      </c>
      <c r="AF58" t="str">
        <f>IFERROR(IF(L58=VLOOKUP(E58,Lookups!$A$2:$E$11,4,FALSE),"Price OK","Price Mismatch"),"Product Missing")</f>
        <v>Price OK</v>
      </c>
      <c r="AG58" t="str">
        <f t="shared" si="8"/>
        <v>Valid Email</v>
      </c>
      <c r="AH58" t="str">
        <f t="shared" si="9"/>
        <v>READY FOR REPORTING</v>
      </c>
      <c r="AI58" t="str">
        <f>IF(AND(LEFT(A58,LEN(Settings!$B$13))=Settings!$B$13,LEN(A58)=9),"Valid Format","Invalid Format")</f>
        <v>Valid Format</v>
      </c>
      <c r="AJ58" t="str">
        <f>IF(LEFT(C58,LEN(Settings!$B$14))=Settings!$B$14,"Valid Format","Invalid Format")</f>
        <v>Valid Format</v>
      </c>
      <c r="AK58" t="str">
        <f>IF(COUNTIF(Master_Data!$G$5:$G$14,C58)=1,"Known Customer","Customer Not in Master")</f>
        <v>Customer Not in Master</v>
      </c>
      <c r="AL58" t="str">
        <f>IF(U58&gt;=Settings!$B$11,"Target Met","Below Target")</f>
        <v>Target Met</v>
      </c>
      <c r="AM58" t="str">
        <f>IF(YEAR(B58)=Settings!$B$5,"Correct Year","Wrong Year")</f>
        <v>Correct Year</v>
      </c>
      <c r="AN58">
        <f t="shared" si="10"/>
        <v>4</v>
      </c>
    </row>
    <row r="59" spans="1:40">
      <c r="A59" t="str">
        <f>Raw_Data!A59</f>
        <v>ORD-10058</v>
      </c>
      <c r="B59" s="13">
        <f>Raw_Data!B59</f>
        <v>45778</v>
      </c>
      <c r="C59" t="str">
        <f>Raw_Data!C59</f>
        <v>C1115</v>
      </c>
      <c r="D59" t="str">
        <f>Raw_Data!D59</f>
        <v>client139@example.com</v>
      </c>
      <c r="E59" t="str">
        <f>Raw_Data!E59</f>
        <v>P1005</v>
      </c>
      <c r="F59" t="str">
        <f>Raw_Data!F59</f>
        <v>24-inch Monitor</v>
      </c>
      <c r="G59" t="str">
        <f>Raw_Data!G59</f>
        <v>Electronics</v>
      </c>
      <c r="H59" t="str">
        <f>Raw_Data!H59</f>
        <v>Bucharest</v>
      </c>
      <c r="I59" t="str">
        <f>Raw_Data!I59</f>
        <v>Online</v>
      </c>
      <c r="J59" t="str">
        <f>Raw_Data!J59</f>
        <v>Maria Ionescu</v>
      </c>
      <c r="K59">
        <f>Raw_Data!K59</f>
        <v>5</v>
      </c>
      <c r="L59" s="12">
        <f>Raw_Data!L59</f>
        <v>720</v>
      </c>
      <c r="M59" s="12">
        <f>Raw_Data!M59</f>
        <v>510</v>
      </c>
      <c r="N59" s="14">
        <f>Raw_Data!N59</f>
        <v>0.05</v>
      </c>
      <c r="O59" t="str">
        <f>Raw_Data!O59</f>
        <v>Bank Transfer</v>
      </c>
      <c r="P59" t="str">
        <f>Raw_Data!P59</f>
        <v>Completed</v>
      </c>
      <c r="Q59" s="12">
        <f t="shared" si="0"/>
        <v>3600</v>
      </c>
      <c r="R59" s="12">
        <f t="shared" si="1"/>
        <v>3420</v>
      </c>
      <c r="S59" s="12">
        <f t="shared" si="2"/>
        <v>2550</v>
      </c>
      <c r="T59" s="12">
        <f t="shared" si="3"/>
        <v>870</v>
      </c>
      <c r="U59" s="11">
        <f t="shared" si="4"/>
        <v>0.25438596491228072</v>
      </c>
      <c r="V59" t="str">
        <f>IF(OR(A59="",COUNTIF($A$2:$A$301,A59)&gt;1,C59="",D59="",ISERROR(SEARCH("@",D59)),ISERROR(SEARCH(".",D59)),COUNTIF(Lookups!$A$2:$A$11,E59)=0,F59="",H59="",K59&lt;=0,L59&lt;0,M59&lt;0,N59&lt;0,N59&gt;0.5,COUNTIF(Lookups!$K$2:$K$4,P59)=0),"ERROR","VALID")</f>
        <v>VALID</v>
      </c>
      <c r="W59" s="2" t="str">
        <f>IF(A59="","Missing Order ID; ","")&amp;IF(COUNTIF($A$2:$A$301,A59)&gt;1,"Duplicate Order ID; ","")&amp;IF(C59="","Missing Customer ID; ","")&amp;IF(OR(D59="",ISERROR(SEARCH("@",D59)),ISERROR(SEARCH(".",D59))),"Invalid Email; ","")&amp;IF(COUNTIF(Lookups!$A$2:$A$11,E59)=0,"Unknown Product; ","")&amp;IF(F59="","Missing Product Name; ","")&amp;IF(H59="","Missing Region; ","")&amp;IF(K59&lt;=0,"Invalid Quantity; ","")&amp;IF(L59&lt;0,"Invalid Price; ","")&amp;IF(M59&lt;0,"Invalid Cost; ","")&amp;IF(OR(N59&lt;0,N59&gt;0.5),"Invalid Discount; ","")&amp;IF(COUNTIF(Lookups!$K$2:$K$4,P59)=0,"Invalid Status; ","")</f>
        <v/>
      </c>
      <c r="X59" s="15" t="str">
        <f t="shared" si="5"/>
        <v>2025-05</v>
      </c>
      <c r="Y59" t="str">
        <f t="shared" si="6"/>
        <v>Q2</v>
      </c>
      <c r="Z59" t="str">
        <f>IF(R59&gt;=Settings!$B$9,"High Value Customer",IF(R59&gt;=Settings!$B$10,"Medium Value Customer","Standard Customer"))</f>
        <v>Medium Value Customer</v>
      </c>
      <c r="AA59" t="str">
        <f>IF(R59&gt;=Settings!$B$9,"Large Order",IF(R59&gt;=Settings!$B$10,"Medium Order","Small Order"))</f>
        <v>Medium Order</v>
      </c>
      <c r="AB59" t="str">
        <f>IF(N59=0,"No Discount",IF(N59&lt;=0.1,"Low Discount",IF(N59&lt;=Settings!$B$8,"Medium Discount","High Discount")))</f>
        <v>Low Discount</v>
      </c>
      <c r="AC59" t="str">
        <f t="shared" si="7"/>
        <v>Profitable</v>
      </c>
      <c r="AD59" t="str">
        <f>IFERROR(VLOOKUP(E59,Lookups!$A$2:$E$11,2,FALSE),"Product Not Found")</f>
        <v>24-inch Monitor</v>
      </c>
      <c r="AE59" t="str">
        <f>IFERROR(VLOOKUP(E59,Lookups!$A$2:$E$11,3,FALSE),"Category Not Found")</f>
        <v>Electronics</v>
      </c>
      <c r="AF59" t="str">
        <f>IFERROR(IF(L59=VLOOKUP(E59,Lookups!$A$2:$E$11,4,FALSE),"Price OK","Price Mismatch"),"Product Missing")</f>
        <v>Price OK</v>
      </c>
      <c r="AG59" t="str">
        <f t="shared" si="8"/>
        <v>Valid Email</v>
      </c>
      <c r="AH59" t="str">
        <f t="shared" si="9"/>
        <v>READY FOR REPORTING</v>
      </c>
      <c r="AI59" t="str">
        <f>IF(AND(LEFT(A59,LEN(Settings!$B$13))=Settings!$B$13,LEN(A59)=9),"Valid Format","Invalid Format")</f>
        <v>Valid Format</v>
      </c>
      <c r="AJ59" t="str">
        <f>IF(LEFT(C59,LEN(Settings!$B$14))=Settings!$B$14,"Valid Format","Invalid Format")</f>
        <v>Valid Format</v>
      </c>
      <c r="AK59" t="str">
        <f>IF(COUNTIF(Master_Data!$G$5:$G$14,C59)=1,"Known Customer","Customer Not in Master")</f>
        <v>Customer Not in Master</v>
      </c>
      <c r="AL59" t="str">
        <f>IF(U59&gt;=Settings!$B$11,"Target Met","Below Target")</f>
        <v>Target Met</v>
      </c>
      <c r="AM59" t="str">
        <f>IF(YEAR(B59)=Settings!$B$5,"Correct Year","Wrong Year")</f>
        <v>Correct Year</v>
      </c>
      <c r="AN59">
        <f t="shared" si="10"/>
        <v>4</v>
      </c>
    </row>
    <row r="60" spans="1:40">
      <c r="A60" t="str">
        <f>Raw_Data!A60</f>
        <v>ORD-10059</v>
      </c>
      <c r="B60" s="13">
        <f>Raw_Data!B60</f>
        <v>46013</v>
      </c>
      <c r="C60" t="str">
        <f>Raw_Data!C60</f>
        <v>C1009</v>
      </c>
      <c r="D60" t="str">
        <f>Raw_Data!D60</f>
        <v>client107@example.com</v>
      </c>
      <c r="E60" t="str">
        <f>Raw_Data!E60</f>
        <v>P1007</v>
      </c>
      <c r="F60" t="str">
        <f>Raw_Data!F60</f>
        <v>Office Chair</v>
      </c>
      <c r="G60" t="str">
        <f>Raw_Data!G60</f>
        <v>Furniture</v>
      </c>
      <c r="H60" t="str">
        <f>Raw_Data!H60</f>
        <v>East</v>
      </c>
      <c r="I60" t="str">
        <f>Raw_Data!I60</f>
        <v>Store</v>
      </c>
      <c r="J60" t="str">
        <f>Raw_Data!J60</f>
        <v>Ioana Pavel</v>
      </c>
      <c r="K60">
        <f>Raw_Data!K60</f>
        <v>3</v>
      </c>
      <c r="L60" s="12">
        <f>Raw_Data!L60</f>
        <v>840</v>
      </c>
      <c r="M60" s="12">
        <f>Raw_Data!M60</f>
        <v>590</v>
      </c>
      <c r="N60" s="14">
        <f>Raw_Data!N60</f>
        <v>0.2</v>
      </c>
      <c r="O60" t="str">
        <f>Raw_Data!O60</f>
        <v>Online Wallet</v>
      </c>
      <c r="P60" t="str">
        <f>Raw_Data!P60</f>
        <v>Completed</v>
      </c>
      <c r="Q60" s="12">
        <f t="shared" si="0"/>
        <v>2520</v>
      </c>
      <c r="R60" s="12">
        <f t="shared" si="1"/>
        <v>2016</v>
      </c>
      <c r="S60" s="12">
        <f t="shared" si="2"/>
        <v>1770</v>
      </c>
      <c r="T60" s="12">
        <f t="shared" si="3"/>
        <v>246</v>
      </c>
      <c r="U60" s="11">
        <f t="shared" si="4"/>
        <v>0.12202380952380952</v>
      </c>
      <c r="V60" t="str">
        <f>IF(OR(A60="",COUNTIF($A$2:$A$301,A60)&gt;1,C60="",D60="",ISERROR(SEARCH("@",D60)),ISERROR(SEARCH(".",D60)),COUNTIF(Lookups!$A$2:$A$11,E60)=0,F60="",H60="",K60&lt;=0,L60&lt;0,M60&lt;0,N60&lt;0,N60&gt;0.5,COUNTIF(Lookups!$K$2:$K$4,P60)=0),"ERROR","VALID")</f>
        <v>VALID</v>
      </c>
      <c r="W60" s="2" t="str">
        <f>IF(A60="","Missing Order ID; ","")&amp;IF(COUNTIF($A$2:$A$301,A60)&gt;1,"Duplicate Order ID; ","")&amp;IF(C60="","Missing Customer ID; ","")&amp;IF(OR(D60="",ISERROR(SEARCH("@",D60)),ISERROR(SEARCH(".",D60))),"Invalid Email; ","")&amp;IF(COUNTIF(Lookups!$A$2:$A$11,E60)=0,"Unknown Product; ","")&amp;IF(F60="","Missing Product Name; ","")&amp;IF(H60="","Missing Region; ","")&amp;IF(K60&lt;=0,"Invalid Quantity; ","")&amp;IF(L60&lt;0,"Invalid Price; ","")&amp;IF(M60&lt;0,"Invalid Cost; ","")&amp;IF(OR(N60&lt;0,N60&gt;0.5),"Invalid Discount; ","")&amp;IF(COUNTIF(Lookups!$K$2:$K$4,P60)=0,"Invalid Status; ","")</f>
        <v/>
      </c>
      <c r="X60" s="15" t="str">
        <f t="shared" si="5"/>
        <v>2025-12</v>
      </c>
      <c r="Y60" t="str">
        <f t="shared" si="6"/>
        <v>Q4</v>
      </c>
      <c r="Z60" t="str">
        <f>IF(R60&gt;=Settings!$B$9,"High Value Customer",IF(R60&gt;=Settings!$B$10,"Medium Value Customer","Standard Customer"))</f>
        <v>Medium Value Customer</v>
      </c>
      <c r="AA60" t="str">
        <f>IF(R60&gt;=Settings!$B$9,"Large Order",IF(R60&gt;=Settings!$B$10,"Medium Order","Small Order"))</f>
        <v>Medium Order</v>
      </c>
      <c r="AB60" t="str">
        <f>IF(N60=0,"No Discount",IF(N60&lt;=0.1,"Low Discount",IF(N60&lt;=Settings!$B$8,"Medium Discount","High Discount")))</f>
        <v>Medium Discount</v>
      </c>
      <c r="AC60" t="str">
        <f t="shared" si="7"/>
        <v>Profitable</v>
      </c>
      <c r="AD60" t="str">
        <f>IFERROR(VLOOKUP(E60,Lookups!$A$2:$E$11,2,FALSE),"Product Not Found")</f>
        <v>Office Chair</v>
      </c>
      <c r="AE60" t="str">
        <f>IFERROR(VLOOKUP(E60,Lookups!$A$2:$E$11,3,FALSE),"Category Not Found")</f>
        <v>Furniture</v>
      </c>
      <c r="AF60" t="str">
        <f>IFERROR(IF(L60=VLOOKUP(E60,Lookups!$A$2:$E$11,4,FALSE),"Price OK","Price Mismatch"),"Product Missing")</f>
        <v>Price OK</v>
      </c>
      <c r="AG60" t="str">
        <f t="shared" si="8"/>
        <v>Valid Email</v>
      </c>
      <c r="AH60" t="str">
        <f t="shared" si="9"/>
        <v>READY FOR REPORTING</v>
      </c>
      <c r="AI60" t="str">
        <f>IF(AND(LEFT(A60,LEN(Settings!$B$13))=Settings!$B$13,LEN(A60)=9),"Valid Format","Invalid Format")</f>
        <v>Valid Format</v>
      </c>
      <c r="AJ60" t="str">
        <f>IF(LEFT(C60,LEN(Settings!$B$14))=Settings!$B$14,"Valid Format","Invalid Format")</f>
        <v>Valid Format</v>
      </c>
      <c r="AK60" t="str">
        <f>IF(COUNTIF(Master_Data!$G$5:$G$14,C60)=1,"Known Customer","Customer Not in Master")</f>
        <v>Known Customer</v>
      </c>
      <c r="AL60" t="str">
        <f>IF(U60&gt;=Settings!$B$11,"Target Met","Below Target")</f>
        <v>Below Target</v>
      </c>
      <c r="AM60" t="str">
        <f>IF(YEAR(B60)=Settings!$B$5,"Correct Year","Wrong Year")</f>
        <v>Correct Year</v>
      </c>
      <c r="AN60">
        <f t="shared" si="10"/>
        <v>4</v>
      </c>
    </row>
    <row r="61" spans="1:40">
      <c r="A61" t="str">
        <f>Raw_Data!A61</f>
        <v>ORD-10060</v>
      </c>
      <c r="B61" s="13">
        <f>Raw_Data!B61</f>
        <v>45689</v>
      </c>
      <c r="C61" t="str">
        <f>Raw_Data!C61</f>
        <v>C1116</v>
      </c>
      <c r="D61" t="str">
        <f>Raw_Data!D61</f>
        <v>client150@example.com</v>
      </c>
      <c r="E61" t="str">
        <f>Raw_Data!E61</f>
        <v>P1007</v>
      </c>
      <c r="F61" t="str">
        <f>Raw_Data!F61</f>
        <v>Office Chair</v>
      </c>
      <c r="G61" t="str">
        <f>Raw_Data!G61</f>
        <v>Furniture</v>
      </c>
      <c r="H61" t="str">
        <f>Raw_Data!H61</f>
        <v>Bucharest</v>
      </c>
      <c r="I61" t="str">
        <f>Raw_Data!I61</f>
        <v>Marketplace</v>
      </c>
      <c r="J61" t="str">
        <f>Raw_Data!J61</f>
        <v>Mihai Radu</v>
      </c>
      <c r="K61">
        <f>Raw_Data!K61</f>
        <v>4</v>
      </c>
      <c r="L61" s="12">
        <f>Raw_Data!L61</f>
        <v>840</v>
      </c>
      <c r="M61" s="12">
        <f>Raw_Data!M61</f>
        <v>590</v>
      </c>
      <c r="N61" s="14">
        <f>Raw_Data!N61</f>
        <v>0.1</v>
      </c>
      <c r="O61" t="str">
        <f>Raw_Data!O61</f>
        <v>Online Wallet</v>
      </c>
      <c r="P61" t="str">
        <f>Raw_Data!P61</f>
        <v>Completed</v>
      </c>
      <c r="Q61" s="12">
        <f t="shared" si="0"/>
        <v>3360</v>
      </c>
      <c r="R61" s="12">
        <f t="shared" si="1"/>
        <v>3024</v>
      </c>
      <c r="S61" s="12">
        <f t="shared" si="2"/>
        <v>2360</v>
      </c>
      <c r="T61" s="12">
        <f t="shared" si="3"/>
        <v>664</v>
      </c>
      <c r="U61" s="11">
        <f t="shared" si="4"/>
        <v>0.21957671957671956</v>
      </c>
      <c r="V61" t="str">
        <f>IF(OR(A61="",COUNTIF($A$2:$A$301,A61)&gt;1,C61="",D61="",ISERROR(SEARCH("@",D61)),ISERROR(SEARCH(".",D61)),COUNTIF(Lookups!$A$2:$A$11,E61)=0,F61="",H61="",K61&lt;=0,L61&lt;0,M61&lt;0,N61&lt;0,N61&gt;0.5,COUNTIF(Lookups!$K$2:$K$4,P61)=0),"ERROR","VALID")</f>
        <v>VALID</v>
      </c>
      <c r="W61" s="2" t="str">
        <f>IF(A61="","Missing Order ID; ","")&amp;IF(COUNTIF($A$2:$A$301,A61)&gt;1,"Duplicate Order ID; ","")&amp;IF(C61="","Missing Customer ID; ","")&amp;IF(OR(D61="",ISERROR(SEARCH("@",D61)),ISERROR(SEARCH(".",D61))),"Invalid Email; ","")&amp;IF(COUNTIF(Lookups!$A$2:$A$11,E61)=0,"Unknown Product; ","")&amp;IF(F61="","Missing Product Name; ","")&amp;IF(H61="","Missing Region; ","")&amp;IF(K61&lt;=0,"Invalid Quantity; ","")&amp;IF(L61&lt;0,"Invalid Price; ","")&amp;IF(M61&lt;0,"Invalid Cost; ","")&amp;IF(OR(N61&lt;0,N61&gt;0.5),"Invalid Discount; ","")&amp;IF(COUNTIF(Lookups!$K$2:$K$4,P61)=0,"Invalid Status; ","")</f>
        <v/>
      </c>
      <c r="X61" s="15" t="str">
        <f t="shared" si="5"/>
        <v>2025-02</v>
      </c>
      <c r="Y61" t="str">
        <f t="shared" si="6"/>
        <v>Q1</v>
      </c>
      <c r="Z61" t="str">
        <f>IF(R61&gt;=Settings!$B$9,"High Value Customer",IF(R61&gt;=Settings!$B$10,"Medium Value Customer","Standard Customer"))</f>
        <v>Medium Value Customer</v>
      </c>
      <c r="AA61" t="str">
        <f>IF(R61&gt;=Settings!$B$9,"Large Order",IF(R61&gt;=Settings!$B$10,"Medium Order","Small Order"))</f>
        <v>Medium Order</v>
      </c>
      <c r="AB61" t="str">
        <f>IF(N61=0,"No Discount",IF(N61&lt;=0.1,"Low Discount",IF(N61&lt;=Settings!$B$8,"Medium Discount","High Discount")))</f>
        <v>Low Discount</v>
      </c>
      <c r="AC61" t="str">
        <f t="shared" si="7"/>
        <v>Profitable</v>
      </c>
      <c r="AD61" t="str">
        <f>IFERROR(VLOOKUP(E61,Lookups!$A$2:$E$11,2,FALSE),"Product Not Found")</f>
        <v>Office Chair</v>
      </c>
      <c r="AE61" t="str">
        <f>IFERROR(VLOOKUP(E61,Lookups!$A$2:$E$11,3,FALSE),"Category Not Found")</f>
        <v>Furniture</v>
      </c>
      <c r="AF61" t="str">
        <f>IFERROR(IF(L61=VLOOKUP(E61,Lookups!$A$2:$E$11,4,FALSE),"Price OK","Price Mismatch"),"Product Missing")</f>
        <v>Price OK</v>
      </c>
      <c r="AG61" t="str">
        <f t="shared" si="8"/>
        <v>Valid Email</v>
      </c>
      <c r="AH61" t="str">
        <f t="shared" si="9"/>
        <v>READY FOR REPORTING</v>
      </c>
      <c r="AI61" t="str">
        <f>IF(AND(LEFT(A61,LEN(Settings!$B$13))=Settings!$B$13,LEN(A61)=9),"Valid Format","Invalid Format")</f>
        <v>Valid Format</v>
      </c>
      <c r="AJ61" t="str">
        <f>IF(LEFT(C61,LEN(Settings!$B$14))=Settings!$B$14,"Valid Format","Invalid Format")</f>
        <v>Valid Format</v>
      </c>
      <c r="AK61" t="str">
        <f>IF(COUNTIF(Master_Data!$G$5:$G$14,C61)=1,"Known Customer","Customer Not in Master")</f>
        <v>Customer Not in Master</v>
      </c>
      <c r="AL61" t="str">
        <f>IF(U61&gt;=Settings!$B$11,"Target Met","Below Target")</f>
        <v>Below Target</v>
      </c>
      <c r="AM61" t="str">
        <f>IF(YEAR(B61)=Settings!$B$5,"Correct Year","Wrong Year")</f>
        <v>Correct Year</v>
      </c>
      <c r="AN61">
        <f t="shared" si="10"/>
        <v>3</v>
      </c>
    </row>
    <row r="62" spans="1:40">
      <c r="A62" t="str">
        <f>Raw_Data!A62</f>
        <v>ORD-10061</v>
      </c>
      <c r="B62" s="13">
        <f>Raw_Data!B62</f>
        <v>45838</v>
      </c>
      <c r="C62" t="str">
        <f>Raw_Data!C62</f>
        <v>C1069</v>
      </c>
      <c r="D62" t="str">
        <f>Raw_Data!D62</f>
        <v>client140@example.com</v>
      </c>
      <c r="E62" t="str">
        <f>Raw_Data!E62</f>
        <v>P1001</v>
      </c>
      <c r="F62" t="str">
        <f>Raw_Data!F62</f>
        <v>Laptop Stand</v>
      </c>
      <c r="G62" t="str">
        <f>Raw_Data!G62</f>
        <v>Accessories</v>
      </c>
      <c r="H62" t="str">
        <f>Raw_Data!H62</f>
        <v>West</v>
      </c>
      <c r="I62" t="str">
        <f>Raw_Data!I62</f>
        <v>Online</v>
      </c>
      <c r="J62" t="str">
        <f>Raw_Data!J62</f>
        <v>Mihai Radu</v>
      </c>
      <c r="K62">
        <f>Raw_Data!K62</f>
        <v>5</v>
      </c>
      <c r="L62" s="12">
        <f>Raw_Data!L62</f>
        <v>95</v>
      </c>
      <c r="M62" s="12">
        <f>Raw_Data!M62</f>
        <v>52</v>
      </c>
      <c r="N62" s="14">
        <f>Raw_Data!N62</f>
        <v>0.1</v>
      </c>
      <c r="O62" t="str">
        <f>Raw_Data!O62</f>
        <v>Bank Transfer</v>
      </c>
      <c r="P62" t="str">
        <f>Raw_Data!P62</f>
        <v>Completed</v>
      </c>
      <c r="Q62" s="12">
        <f t="shared" si="0"/>
        <v>475</v>
      </c>
      <c r="R62" s="12">
        <f t="shared" si="1"/>
        <v>427.5</v>
      </c>
      <c r="S62" s="12">
        <f t="shared" si="2"/>
        <v>260</v>
      </c>
      <c r="T62" s="12">
        <f t="shared" si="3"/>
        <v>167.5</v>
      </c>
      <c r="U62" s="11">
        <f t="shared" si="4"/>
        <v>0.391812865497076</v>
      </c>
      <c r="V62" t="str">
        <f>IF(OR(A62="",COUNTIF($A$2:$A$301,A62)&gt;1,C62="",D62="",ISERROR(SEARCH("@",D62)),ISERROR(SEARCH(".",D62)),COUNTIF(Lookups!$A$2:$A$11,E62)=0,F62="",H62="",K62&lt;=0,L62&lt;0,M62&lt;0,N62&lt;0,N62&gt;0.5,COUNTIF(Lookups!$K$2:$K$4,P62)=0),"ERROR","VALID")</f>
        <v>VALID</v>
      </c>
      <c r="W62" s="2" t="str">
        <f>IF(A62="","Missing Order ID; ","")&amp;IF(COUNTIF($A$2:$A$301,A62)&gt;1,"Duplicate Order ID; ","")&amp;IF(C62="","Missing Customer ID; ","")&amp;IF(OR(D62="",ISERROR(SEARCH("@",D62)),ISERROR(SEARCH(".",D62))),"Invalid Email; ","")&amp;IF(COUNTIF(Lookups!$A$2:$A$11,E62)=0,"Unknown Product; ","")&amp;IF(F62="","Missing Product Name; ","")&amp;IF(H62="","Missing Region; ","")&amp;IF(K62&lt;=0,"Invalid Quantity; ","")&amp;IF(L62&lt;0,"Invalid Price; ","")&amp;IF(M62&lt;0,"Invalid Cost; ","")&amp;IF(OR(N62&lt;0,N62&gt;0.5),"Invalid Discount; ","")&amp;IF(COUNTIF(Lookups!$K$2:$K$4,P62)=0,"Invalid Status; ","")</f>
        <v/>
      </c>
      <c r="X62" s="15" t="str">
        <f t="shared" si="5"/>
        <v>2025-06</v>
      </c>
      <c r="Y62" t="str">
        <f t="shared" si="6"/>
        <v>Q2</v>
      </c>
      <c r="Z62" t="str">
        <f>IF(R62&gt;=Settings!$B$9,"High Value Customer",IF(R62&gt;=Settings!$B$10,"Medium Value Customer","Standard Customer"))</f>
        <v>Standard Customer</v>
      </c>
      <c r="AA62" t="str">
        <f>IF(R62&gt;=Settings!$B$9,"Large Order",IF(R62&gt;=Settings!$B$10,"Medium Order","Small Order"))</f>
        <v>Small Order</v>
      </c>
      <c r="AB62" t="str">
        <f>IF(N62=0,"No Discount",IF(N62&lt;=0.1,"Low Discount",IF(N62&lt;=Settings!$B$8,"Medium Discount","High Discount")))</f>
        <v>Low Discount</v>
      </c>
      <c r="AC62" t="str">
        <f t="shared" si="7"/>
        <v>Profitable</v>
      </c>
      <c r="AD62" t="str">
        <f>IFERROR(VLOOKUP(E62,Lookups!$A$2:$E$11,2,FALSE),"Product Not Found")</f>
        <v>Laptop Stand</v>
      </c>
      <c r="AE62" t="str">
        <f>IFERROR(VLOOKUP(E62,Lookups!$A$2:$E$11,3,FALSE),"Category Not Found")</f>
        <v>Accessories</v>
      </c>
      <c r="AF62" t="str">
        <f>IFERROR(IF(L62=VLOOKUP(E62,Lookups!$A$2:$E$11,4,FALSE),"Price OK","Price Mismatch"),"Product Missing")</f>
        <v>Price OK</v>
      </c>
      <c r="AG62" t="str">
        <f t="shared" si="8"/>
        <v>Valid Email</v>
      </c>
      <c r="AH62" t="str">
        <f t="shared" si="9"/>
        <v>READY FOR REPORTING</v>
      </c>
      <c r="AI62" t="str">
        <f>IF(AND(LEFT(A62,LEN(Settings!$B$13))=Settings!$B$13,LEN(A62)=9),"Valid Format","Invalid Format")</f>
        <v>Valid Format</v>
      </c>
      <c r="AJ62" t="str">
        <f>IF(LEFT(C62,LEN(Settings!$B$14))=Settings!$B$14,"Valid Format","Invalid Format")</f>
        <v>Valid Format</v>
      </c>
      <c r="AK62" t="str">
        <f>IF(COUNTIF(Master_Data!$G$5:$G$14,C62)=1,"Known Customer","Customer Not in Master")</f>
        <v>Customer Not in Master</v>
      </c>
      <c r="AL62" t="str">
        <f>IF(U62&gt;=Settings!$B$11,"Target Met","Below Target")</f>
        <v>Target Met</v>
      </c>
      <c r="AM62" t="str">
        <f>IF(YEAR(B62)=Settings!$B$5,"Correct Year","Wrong Year")</f>
        <v>Correct Year</v>
      </c>
      <c r="AN62">
        <f t="shared" si="10"/>
        <v>4</v>
      </c>
    </row>
    <row r="63" spans="1:40">
      <c r="A63" t="str">
        <f>Raw_Data!A63</f>
        <v>ORD-10062</v>
      </c>
      <c r="B63" s="13">
        <f>Raw_Data!B63</f>
        <v>45881</v>
      </c>
      <c r="C63" t="str">
        <f>Raw_Data!C63</f>
        <v>C1044</v>
      </c>
      <c r="D63" t="str">
        <f>Raw_Data!D63</f>
        <v>client172@example.com</v>
      </c>
      <c r="E63" t="str">
        <f>Raw_Data!E63</f>
        <v>P1005</v>
      </c>
      <c r="F63" t="str">
        <f>Raw_Data!F63</f>
        <v>24-inch Monitor</v>
      </c>
      <c r="G63" t="str">
        <f>Raw_Data!G63</f>
        <v>Electronics</v>
      </c>
      <c r="H63" t="str">
        <f>Raw_Data!H63</f>
        <v>East</v>
      </c>
      <c r="I63" t="str">
        <f>Raw_Data!I63</f>
        <v>Marketplace</v>
      </c>
      <c r="J63" t="str">
        <f>Raw_Data!J63</f>
        <v>Maria Ionescu</v>
      </c>
      <c r="K63">
        <f>Raw_Data!K63</f>
        <v>8</v>
      </c>
      <c r="L63" s="12">
        <f>Raw_Data!L63</f>
        <v>720</v>
      </c>
      <c r="M63" s="12">
        <f>Raw_Data!M63</f>
        <v>510</v>
      </c>
      <c r="N63" s="14">
        <f>Raw_Data!N63</f>
        <v>0</v>
      </c>
      <c r="O63" t="str">
        <f>Raw_Data!O63</f>
        <v>Online Wallet</v>
      </c>
      <c r="P63" t="str">
        <f>Raw_Data!P63</f>
        <v>Completed</v>
      </c>
      <c r="Q63" s="12">
        <f t="shared" si="0"/>
        <v>5760</v>
      </c>
      <c r="R63" s="12">
        <f t="shared" si="1"/>
        <v>5760</v>
      </c>
      <c r="S63" s="12">
        <f t="shared" si="2"/>
        <v>4080</v>
      </c>
      <c r="T63" s="12">
        <f t="shared" si="3"/>
        <v>1680</v>
      </c>
      <c r="U63" s="11">
        <f t="shared" si="4"/>
        <v>0.29166666666666669</v>
      </c>
      <c r="V63" t="str">
        <f>IF(OR(A63="",COUNTIF($A$2:$A$301,A63)&gt;1,C63="",D63="",ISERROR(SEARCH("@",D63)),ISERROR(SEARCH(".",D63)),COUNTIF(Lookups!$A$2:$A$11,E63)=0,F63="",H63="",K63&lt;=0,L63&lt;0,M63&lt;0,N63&lt;0,N63&gt;0.5,COUNTIF(Lookups!$K$2:$K$4,P63)=0),"ERROR","VALID")</f>
        <v>VALID</v>
      </c>
      <c r="W63" s="2" t="str">
        <f>IF(A63="","Missing Order ID; ","")&amp;IF(COUNTIF($A$2:$A$301,A63)&gt;1,"Duplicate Order ID; ","")&amp;IF(C63="","Missing Customer ID; ","")&amp;IF(OR(D63="",ISERROR(SEARCH("@",D63)),ISERROR(SEARCH(".",D63))),"Invalid Email; ","")&amp;IF(COUNTIF(Lookups!$A$2:$A$11,E63)=0,"Unknown Product; ","")&amp;IF(F63="","Missing Product Name; ","")&amp;IF(H63="","Missing Region; ","")&amp;IF(K63&lt;=0,"Invalid Quantity; ","")&amp;IF(L63&lt;0,"Invalid Price; ","")&amp;IF(M63&lt;0,"Invalid Cost; ","")&amp;IF(OR(N63&lt;0,N63&gt;0.5),"Invalid Discount; ","")&amp;IF(COUNTIF(Lookups!$K$2:$K$4,P63)=0,"Invalid Status; ","")</f>
        <v/>
      </c>
      <c r="X63" s="15" t="str">
        <f t="shared" si="5"/>
        <v>2025-08</v>
      </c>
      <c r="Y63" t="str">
        <f t="shared" si="6"/>
        <v>Q3</v>
      </c>
      <c r="Z63" t="str">
        <f>IF(R63&gt;=Settings!$B$9,"High Value Customer",IF(R63&gt;=Settings!$B$10,"Medium Value Customer","Standard Customer"))</f>
        <v>High Value Customer</v>
      </c>
      <c r="AA63" t="str">
        <f>IF(R63&gt;=Settings!$B$9,"Large Order",IF(R63&gt;=Settings!$B$10,"Medium Order","Small Order"))</f>
        <v>Large Order</v>
      </c>
      <c r="AB63" t="str">
        <f>IF(N63=0,"No Discount",IF(N63&lt;=0.1,"Low Discount",IF(N63&lt;=Settings!$B$8,"Medium Discount","High Discount")))</f>
        <v>No Discount</v>
      </c>
      <c r="AC63" t="str">
        <f t="shared" si="7"/>
        <v>Profitable</v>
      </c>
      <c r="AD63" t="str">
        <f>IFERROR(VLOOKUP(E63,Lookups!$A$2:$E$11,2,FALSE),"Product Not Found")</f>
        <v>24-inch Monitor</v>
      </c>
      <c r="AE63" t="str">
        <f>IFERROR(VLOOKUP(E63,Lookups!$A$2:$E$11,3,FALSE),"Category Not Found")</f>
        <v>Electronics</v>
      </c>
      <c r="AF63" t="str">
        <f>IFERROR(IF(L63=VLOOKUP(E63,Lookups!$A$2:$E$11,4,FALSE),"Price OK","Price Mismatch"),"Product Missing")</f>
        <v>Price OK</v>
      </c>
      <c r="AG63" t="str">
        <f t="shared" si="8"/>
        <v>Valid Email</v>
      </c>
      <c r="AH63" t="str">
        <f t="shared" si="9"/>
        <v>READY FOR REPORTING</v>
      </c>
      <c r="AI63" t="str">
        <f>IF(AND(LEFT(A63,LEN(Settings!$B$13))=Settings!$B$13,LEN(A63)=9),"Valid Format","Invalid Format")</f>
        <v>Valid Format</v>
      </c>
      <c r="AJ63" t="str">
        <f>IF(LEFT(C63,LEN(Settings!$B$14))=Settings!$B$14,"Valid Format","Invalid Format")</f>
        <v>Valid Format</v>
      </c>
      <c r="AK63" t="str">
        <f>IF(COUNTIF(Master_Data!$G$5:$G$14,C63)=1,"Known Customer","Customer Not in Master")</f>
        <v>Customer Not in Master</v>
      </c>
      <c r="AL63" t="str">
        <f>IF(U63&gt;=Settings!$B$11,"Target Met","Below Target")</f>
        <v>Target Met</v>
      </c>
      <c r="AM63" t="str">
        <f>IF(YEAR(B63)=Settings!$B$5,"Correct Year","Wrong Year")</f>
        <v>Correct Year</v>
      </c>
      <c r="AN63">
        <f t="shared" si="10"/>
        <v>4</v>
      </c>
    </row>
    <row r="64" spans="1:40">
      <c r="A64" t="str">
        <f>Raw_Data!A64</f>
        <v>ORD-10063</v>
      </c>
      <c r="B64" s="13">
        <f>Raw_Data!B64</f>
        <v>45976</v>
      </c>
      <c r="C64" t="str">
        <f>Raw_Data!C64</f>
        <v>C1076</v>
      </c>
      <c r="D64" t="str">
        <f>Raw_Data!D64</f>
        <v>client145@example.com</v>
      </c>
      <c r="E64" t="str">
        <f>Raw_Data!E64</f>
        <v>P1003</v>
      </c>
      <c r="F64" t="str">
        <f>Raw_Data!F64</f>
        <v>Mechanical Keyboard</v>
      </c>
      <c r="G64" t="str">
        <f>Raw_Data!G64</f>
        <v>Accessories</v>
      </c>
      <c r="H64" t="str">
        <f>Raw_Data!H64</f>
        <v>Bucharest</v>
      </c>
      <c r="I64" t="str">
        <f>Raw_Data!I64</f>
        <v>Online</v>
      </c>
      <c r="J64" t="str">
        <f>Raw_Data!J64</f>
        <v>Mihai Radu</v>
      </c>
      <c r="K64">
        <f>Raw_Data!K64</f>
        <v>9</v>
      </c>
      <c r="L64" s="12">
        <f>Raw_Data!L64</f>
        <v>265</v>
      </c>
      <c r="M64" s="12">
        <f>Raw_Data!M64</f>
        <v>155</v>
      </c>
      <c r="N64" s="14">
        <f>Raw_Data!N64</f>
        <v>0</v>
      </c>
      <c r="O64" t="str">
        <f>Raw_Data!O64</f>
        <v>Bank Transfer</v>
      </c>
      <c r="P64" t="str">
        <f>Raw_Data!P64</f>
        <v>Completed</v>
      </c>
      <c r="Q64" s="12">
        <f t="shared" si="0"/>
        <v>2385</v>
      </c>
      <c r="R64" s="12">
        <f t="shared" si="1"/>
        <v>2385</v>
      </c>
      <c r="S64" s="12">
        <f t="shared" si="2"/>
        <v>1395</v>
      </c>
      <c r="T64" s="12">
        <f t="shared" si="3"/>
        <v>990</v>
      </c>
      <c r="U64" s="11">
        <f t="shared" si="4"/>
        <v>0.41509433962264153</v>
      </c>
      <c r="V64" t="str">
        <f>IF(OR(A64="",COUNTIF($A$2:$A$301,A64)&gt;1,C64="",D64="",ISERROR(SEARCH("@",D64)),ISERROR(SEARCH(".",D64)),COUNTIF(Lookups!$A$2:$A$11,E64)=0,F64="",H64="",K64&lt;=0,L64&lt;0,M64&lt;0,N64&lt;0,N64&gt;0.5,COUNTIF(Lookups!$K$2:$K$4,P64)=0),"ERROR","VALID")</f>
        <v>VALID</v>
      </c>
      <c r="W64" s="2" t="str">
        <f>IF(A64="","Missing Order ID; ","")&amp;IF(COUNTIF($A$2:$A$301,A64)&gt;1,"Duplicate Order ID; ","")&amp;IF(C64="","Missing Customer ID; ","")&amp;IF(OR(D64="",ISERROR(SEARCH("@",D64)),ISERROR(SEARCH(".",D64))),"Invalid Email; ","")&amp;IF(COUNTIF(Lookups!$A$2:$A$11,E64)=0,"Unknown Product; ","")&amp;IF(F64="","Missing Product Name; ","")&amp;IF(H64="","Missing Region; ","")&amp;IF(K64&lt;=0,"Invalid Quantity; ","")&amp;IF(L64&lt;0,"Invalid Price; ","")&amp;IF(M64&lt;0,"Invalid Cost; ","")&amp;IF(OR(N64&lt;0,N64&gt;0.5),"Invalid Discount; ","")&amp;IF(COUNTIF(Lookups!$K$2:$K$4,P64)=0,"Invalid Status; ","")</f>
        <v/>
      </c>
      <c r="X64" s="15" t="str">
        <f t="shared" si="5"/>
        <v>2025-11</v>
      </c>
      <c r="Y64" t="str">
        <f t="shared" si="6"/>
        <v>Q4</v>
      </c>
      <c r="Z64" t="str">
        <f>IF(R64&gt;=Settings!$B$9,"High Value Customer",IF(R64&gt;=Settings!$B$10,"Medium Value Customer","Standard Customer"))</f>
        <v>Medium Value Customer</v>
      </c>
      <c r="AA64" t="str">
        <f>IF(R64&gt;=Settings!$B$9,"Large Order",IF(R64&gt;=Settings!$B$10,"Medium Order","Small Order"))</f>
        <v>Medium Order</v>
      </c>
      <c r="AB64" t="str">
        <f>IF(N64=0,"No Discount",IF(N64&lt;=0.1,"Low Discount",IF(N64&lt;=Settings!$B$8,"Medium Discount","High Discount")))</f>
        <v>No Discount</v>
      </c>
      <c r="AC64" t="str">
        <f t="shared" si="7"/>
        <v>Profitable</v>
      </c>
      <c r="AD64" t="str">
        <f>IFERROR(VLOOKUP(E64,Lookups!$A$2:$E$11,2,FALSE),"Product Not Found")</f>
        <v>Mechanical Keyboard</v>
      </c>
      <c r="AE64" t="str">
        <f>IFERROR(VLOOKUP(E64,Lookups!$A$2:$E$11,3,FALSE),"Category Not Found")</f>
        <v>Accessories</v>
      </c>
      <c r="AF64" t="str">
        <f>IFERROR(IF(L64=VLOOKUP(E64,Lookups!$A$2:$E$11,4,FALSE),"Price OK","Price Mismatch"),"Product Missing")</f>
        <v>Price OK</v>
      </c>
      <c r="AG64" t="str">
        <f t="shared" si="8"/>
        <v>Valid Email</v>
      </c>
      <c r="AH64" t="str">
        <f t="shared" si="9"/>
        <v>READY FOR REPORTING</v>
      </c>
      <c r="AI64" t="str">
        <f>IF(AND(LEFT(A64,LEN(Settings!$B$13))=Settings!$B$13,LEN(A64)=9),"Valid Format","Invalid Format")</f>
        <v>Valid Format</v>
      </c>
      <c r="AJ64" t="str">
        <f>IF(LEFT(C64,LEN(Settings!$B$14))=Settings!$B$14,"Valid Format","Invalid Format")</f>
        <v>Valid Format</v>
      </c>
      <c r="AK64" t="str">
        <f>IF(COUNTIF(Master_Data!$G$5:$G$14,C64)=1,"Known Customer","Customer Not in Master")</f>
        <v>Customer Not in Master</v>
      </c>
      <c r="AL64" t="str">
        <f>IF(U64&gt;=Settings!$B$11,"Target Met","Below Target")</f>
        <v>Target Met</v>
      </c>
      <c r="AM64" t="str">
        <f>IF(YEAR(B64)=Settings!$B$5,"Correct Year","Wrong Year")</f>
        <v>Correct Year</v>
      </c>
      <c r="AN64">
        <f t="shared" si="10"/>
        <v>4</v>
      </c>
    </row>
    <row r="65" spans="1:40">
      <c r="A65" t="str">
        <f>Raw_Data!A65</f>
        <v>ORD-10064</v>
      </c>
      <c r="B65" s="13">
        <f>Raw_Data!B65</f>
        <v>45751</v>
      </c>
      <c r="C65" t="str">
        <f>Raw_Data!C65</f>
        <v>C1042</v>
      </c>
      <c r="D65" t="str">
        <f>Raw_Data!D65</f>
        <v>client55@example.com</v>
      </c>
      <c r="E65" t="str">
        <f>Raw_Data!E65</f>
        <v>P1008</v>
      </c>
      <c r="F65" t="str">
        <f>Raw_Data!F65</f>
        <v>Standing Desk</v>
      </c>
      <c r="G65" t="str">
        <f>Raw_Data!G65</f>
        <v>Furniture</v>
      </c>
      <c r="H65" t="str">
        <f>Raw_Data!H65</f>
        <v>East</v>
      </c>
      <c r="I65" t="str">
        <f>Raw_Data!I65</f>
        <v>Store</v>
      </c>
      <c r="J65" t="str">
        <f>Raw_Data!J65</f>
        <v>Elena Stan</v>
      </c>
      <c r="K65">
        <f>Raw_Data!K65</f>
        <v>1</v>
      </c>
      <c r="L65" s="12">
        <f>Raw_Data!L65</f>
        <v>1450</v>
      </c>
      <c r="M65" s="12">
        <f>Raw_Data!M65</f>
        <v>1030</v>
      </c>
      <c r="N65" s="14">
        <f>Raw_Data!N65</f>
        <v>0.05</v>
      </c>
      <c r="O65" t="str">
        <f>Raw_Data!O65</f>
        <v>Online Wallet</v>
      </c>
      <c r="P65" t="str">
        <f>Raw_Data!P65</f>
        <v>Completed</v>
      </c>
      <c r="Q65" s="12">
        <f t="shared" si="0"/>
        <v>1450</v>
      </c>
      <c r="R65" s="12">
        <f t="shared" si="1"/>
        <v>1377.5</v>
      </c>
      <c r="S65" s="12">
        <f t="shared" si="2"/>
        <v>1030</v>
      </c>
      <c r="T65" s="12">
        <f t="shared" si="3"/>
        <v>347.5</v>
      </c>
      <c r="U65" s="11">
        <f t="shared" si="4"/>
        <v>0.25226860254083483</v>
      </c>
      <c r="V65" t="str">
        <f>IF(OR(A65="",COUNTIF($A$2:$A$301,A65)&gt;1,C65="",D65="",ISERROR(SEARCH("@",D65)),ISERROR(SEARCH(".",D65)),COUNTIF(Lookups!$A$2:$A$11,E65)=0,F65="",H65="",K65&lt;=0,L65&lt;0,M65&lt;0,N65&lt;0,N65&gt;0.5,COUNTIF(Lookups!$K$2:$K$4,P65)=0),"ERROR","VALID")</f>
        <v>VALID</v>
      </c>
      <c r="W65" s="2" t="str">
        <f>IF(A65="","Missing Order ID; ","")&amp;IF(COUNTIF($A$2:$A$301,A65)&gt;1,"Duplicate Order ID; ","")&amp;IF(C65="","Missing Customer ID; ","")&amp;IF(OR(D65="",ISERROR(SEARCH("@",D65)),ISERROR(SEARCH(".",D65))),"Invalid Email; ","")&amp;IF(COUNTIF(Lookups!$A$2:$A$11,E65)=0,"Unknown Product; ","")&amp;IF(F65="","Missing Product Name; ","")&amp;IF(H65="","Missing Region; ","")&amp;IF(K65&lt;=0,"Invalid Quantity; ","")&amp;IF(L65&lt;0,"Invalid Price; ","")&amp;IF(M65&lt;0,"Invalid Cost; ","")&amp;IF(OR(N65&lt;0,N65&gt;0.5),"Invalid Discount; ","")&amp;IF(COUNTIF(Lookups!$K$2:$K$4,P65)=0,"Invalid Status; ","")</f>
        <v/>
      </c>
      <c r="X65" s="15" t="str">
        <f t="shared" si="5"/>
        <v>2025-04</v>
      </c>
      <c r="Y65" t="str">
        <f t="shared" si="6"/>
        <v>Q2</v>
      </c>
      <c r="Z65" t="str">
        <f>IF(R65&gt;=Settings!$B$9,"High Value Customer",IF(R65&gt;=Settings!$B$10,"Medium Value Customer","Standard Customer"))</f>
        <v>Standard Customer</v>
      </c>
      <c r="AA65" t="str">
        <f>IF(R65&gt;=Settings!$B$9,"Large Order",IF(R65&gt;=Settings!$B$10,"Medium Order","Small Order"))</f>
        <v>Small Order</v>
      </c>
      <c r="AB65" t="str">
        <f>IF(N65=0,"No Discount",IF(N65&lt;=0.1,"Low Discount",IF(N65&lt;=Settings!$B$8,"Medium Discount","High Discount")))</f>
        <v>Low Discount</v>
      </c>
      <c r="AC65" t="str">
        <f t="shared" si="7"/>
        <v>Profitable</v>
      </c>
      <c r="AD65" t="str">
        <f>IFERROR(VLOOKUP(E65,Lookups!$A$2:$E$11,2,FALSE),"Product Not Found")</f>
        <v>Standing Desk</v>
      </c>
      <c r="AE65" t="str">
        <f>IFERROR(VLOOKUP(E65,Lookups!$A$2:$E$11,3,FALSE),"Category Not Found")</f>
        <v>Furniture</v>
      </c>
      <c r="AF65" t="str">
        <f>IFERROR(IF(L65=VLOOKUP(E65,Lookups!$A$2:$E$11,4,FALSE),"Price OK","Price Mismatch"),"Product Missing")</f>
        <v>Price OK</v>
      </c>
      <c r="AG65" t="str">
        <f t="shared" si="8"/>
        <v>Valid Email</v>
      </c>
      <c r="AH65" t="str">
        <f t="shared" si="9"/>
        <v>READY FOR REPORTING</v>
      </c>
      <c r="AI65" t="str">
        <f>IF(AND(LEFT(A65,LEN(Settings!$B$13))=Settings!$B$13,LEN(A65)=9),"Valid Format","Invalid Format")</f>
        <v>Valid Format</v>
      </c>
      <c r="AJ65" t="str">
        <f>IF(LEFT(C65,LEN(Settings!$B$14))=Settings!$B$14,"Valid Format","Invalid Format")</f>
        <v>Valid Format</v>
      </c>
      <c r="AK65" t="str">
        <f>IF(COUNTIF(Master_Data!$G$5:$G$14,C65)=1,"Known Customer","Customer Not in Master")</f>
        <v>Customer Not in Master</v>
      </c>
      <c r="AL65" t="str">
        <f>IF(U65&gt;=Settings!$B$11,"Target Met","Below Target")</f>
        <v>Target Met</v>
      </c>
      <c r="AM65" t="str">
        <f>IF(YEAR(B65)=Settings!$B$5,"Correct Year","Wrong Year")</f>
        <v>Correct Year</v>
      </c>
      <c r="AN65">
        <f t="shared" si="10"/>
        <v>4</v>
      </c>
    </row>
    <row r="66" spans="1:40">
      <c r="A66" t="str">
        <f>Raw_Data!A66</f>
        <v>ORD-10065</v>
      </c>
      <c r="B66" s="13">
        <f>Raw_Data!B66</f>
        <v>45873</v>
      </c>
      <c r="C66" t="str">
        <f>Raw_Data!C66</f>
        <v>C1003</v>
      </c>
      <c r="D66" t="str">
        <f>Raw_Data!D66</f>
        <v>client139@example.com</v>
      </c>
      <c r="E66" t="str">
        <f>Raw_Data!E66</f>
        <v>P1005</v>
      </c>
      <c r="F66" t="str">
        <f>Raw_Data!F66</f>
        <v>24-inch Monitor</v>
      </c>
      <c r="G66" t="str">
        <f>Raw_Data!G66</f>
        <v>Electronics</v>
      </c>
      <c r="H66" t="str">
        <f>Raw_Data!H66</f>
        <v>Bucharest</v>
      </c>
      <c r="I66" t="str">
        <f>Raw_Data!I66</f>
        <v>Store</v>
      </c>
      <c r="J66" t="str">
        <f>Raw_Data!J66</f>
        <v>Maria Ionescu</v>
      </c>
      <c r="K66">
        <f>Raw_Data!K66</f>
        <v>5</v>
      </c>
      <c r="L66" s="12">
        <f>Raw_Data!L66</f>
        <v>720</v>
      </c>
      <c r="M66" s="12">
        <f>Raw_Data!M66</f>
        <v>510</v>
      </c>
      <c r="N66" s="14">
        <f>Raw_Data!N66</f>
        <v>0</v>
      </c>
      <c r="O66" t="str">
        <f>Raw_Data!O66</f>
        <v>Card</v>
      </c>
      <c r="P66" t="str">
        <f>Raw_Data!P66</f>
        <v>Completed</v>
      </c>
      <c r="Q66" s="12">
        <f t="shared" ref="Q66:Q129" si="11">K66*L66</f>
        <v>3600</v>
      </c>
      <c r="R66" s="12">
        <f t="shared" ref="R66:R129" si="12">Q66*(1-N66)</f>
        <v>3600</v>
      </c>
      <c r="S66" s="12">
        <f t="shared" ref="S66:S129" si="13">K66*M66</f>
        <v>2550</v>
      </c>
      <c r="T66" s="12">
        <f t="shared" ref="T66:T129" si="14">R66-S66</f>
        <v>1050</v>
      </c>
      <c r="U66" s="11">
        <f t="shared" ref="U66:U129" si="15">IFERROR(T66/R66,0)</f>
        <v>0.29166666666666669</v>
      </c>
      <c r="V66" t="str">
        <f>IF(OR(A66="",COUNTIF($A$2:$A$301,A66)&gt;1,C66="",D66="",ISERROR(SEARCH("@",D66)),ISERROR(SEARCH(".",D66)),COUNTIF(Lookups!$A$2:$A$11,E66)=0,F66="",H66="",K66&lt;=0,L66&lt;0,M66&lt;0,N66&lt;0,N66&gt;0.5,COUNTIF(Lookups!$K$2:$K$4,P66)=0),"ERROR","VALID")</f>
        <v>VALID</v>
      </c>
      <c r="W66" s="2" t="str">
        <f>IF(A66="","Missing Order ID; ","")&amp;IF(COUNTIF($A$2:$A$301,A66)&gt;1,"Duplicate Order ID; ","")&amp;IF(C66="","Missing Customer ID; ","")&amp;IF(OR(D66="",ISERROR(SEARCH("@",D66)),ISERROR(SEARCH(".",D66))),"Invalid Email; ","")&amp;IF(COUNTIF(Lookups!$A$2:$A$11,E66)=0,"Unknown Product; ","")&amp;IF(F66="","Missing Product Name; ","")&amp;IF(H66="","Missing Region; ","")&amp;IF(K66&lt;=0,"Invalid Quantity; ","")&amp;IF(L66&lt;0,"Invalid Price; ","")&amp;IF(M66&lt;0,"Invalid Cost; ","")&amp;IF(OR(N66&lt;0,N66&gt;0.5),"Invalid Discount; ","")&amp;IF(COUNTIF(Lookups!$K$2:$K$4,P66)=0,"Invalid Status; ","")</f>
        <v/>
      </c>
      <c r="X66" s="15" t="str">
        <f t="shared" ref="X66:X129" si="16">TEXT(B66,"yyyy-mm")</f>
        <v>2025-08</v>
      </c>
      <c r="Y66" t="str">
        <f t="shared" ref="Y66:Y129" si="17">"Q"&amp;ROUNDUP(MONTH(B66)/3,0)</f>
        <v>Q3</v>
      </c>
      <c r="Z66" t="str">
        <f>IF(R66&gt;=Settings!$B$9,"High Value Customer",IF(R66&gt;=Settings!$B$10,"Medium Value Customer","Standard Customer"))</f>
        <v>Medium Value Customer</v>
      </c>
      <c r="AA66" t="str">
        <f>IF(R66&gt;=Settings!$B$9,"Large Order",IF(R66&gt;=Settings!$B$10,"Medium Order","Small Order"))</f>
        <v>Medium Order</v>
      </c>
      <c r="AB66" t="str">
        <f>IF(N66=0,"No Discount",IF(N66&lt;=0.1,"Low Discount",IF(N66&lt;=Settings!$B$8,"Medium Discount","High Discount")))</f>
        <v>No Discount</v>
      </c>
      <c r="AC66" t="str">
        <f t="shared" ref="AC66:AC129" si="18">IF(T66&gt;0,"Profitable",IF(T66=0,"Break-even","Loss"))</f>
        <v>Profitable</v>
      </c>
      <c r="AD66" t="str">
        <f>IFERROR(VLOOKUP(E66,Lookups!$A$2:$E$11,2,FALSE),"Product Not Found")</f>
        <v>24-inch Monitor</v>
      </c>
      <c r="AE66" t="str">
        <f>IFERROR(VLOOKUP(E66,Lookups!$A$2:$E$11,3,FALSE),"Category Not Found")</f>
        <v>Electronics</v>
      </c>
      <c r="AF66" t="str">
        <f>IFERROR(IF(L66=VLOOKUP(E66,Lookups!$A$2:$E$11,4,FALSE),"Price OK","Price Mismatch"),"Product Missing")</f>
        <v>Price OK</v>
      </c>
      <c r="AG66" t="str">
        <f t="shared" ref="AG66:AG129" si="19">IF(AND(ISNUMBER(SEARCH("@",D66)),ISNUMBER(SEARCH(".",D66))),"Valid Email","Invalid Email")</f>
        <v>Valid Email</v>
      </c>
      <c r="AH66" t="str">
        <f t="shared" ref="AH66:AH129" si="20">IF(AND(V66="VALID",AF66="Price OK",AG66="Valid Email"),"READY FOR REPORTING","REVIEW REQUIRED")</f>
        <v>READY FOR REPORTING</v>
      </c>
      <c r="AI66" t="str">
        <f>IF(AND(LEFT(A66,LEN(Settings!$B$13))=Settings!$B$13,LEN(A66)=9),"Valid Format","Invalid Format")</f>
        <v>Valid Format</v>
      </c>
      <c r="AJ66" t="str">
        <f>IF(LEFT(C66,LEN(Settings!$B$14))=Settings!$B$14,"Valid Format","Invalid Format")</f>
        <v>Valid Format</v>
      </c>
      <c r="AK66" t="str">
        <f>IF(COUNTIF(Master_Data!$G$5:$G$14,C66)=1,"Known Customer","Customer Not in Master")</f>
        <v>Known Customer</v>
      </c>
      <c r="AL66" t="str">
        <f>IF(U66&gt;=Settings!$B$11,"Target Met","Below Target")</f>
        <v>Target Met</v>
      </c>
      <c r="AM66" t="str">
        <f>IF(YEAR(B66)=Settings!$B$5,"Correct Year","Wrong Year")</f>
        <v>Correct Year</v>
      </c>
      <c r="AN66">
        <f t="shared" ref="AN66:AN129" si="21">COUNTIF(AI66:AM66,"*Valid*")+COUNTIF(AI66:AM66,"Known Customer")+COUNTIF(AI66:AM66,"Target Met")+COUNTIF(AI66:AM66,"Correct Year")</f>
        <v>5</v>
      </c>
    </row>
    <row r="67" spans="1:40">
      <c r="A67" t="str">
        <f>Raw_Data!A67</f>
        <v>ORD-10066</v>
      </c>
      <c r="B67" s="13">
        <f>Raw_Data!B67</f>
        <v>45673</v>
      </c>
      <c r="C67" t="str">
        <f>Raw_Data!C67</f>
        <v>C1080</v>
      </c>
      <c r="D67" t="str">
        <f>Raw_Data!D67</f>
        <v>client40@example.com</v>
      </c>
      <c r="E67" t="str">
        <f>Raw_Data!E67</f>
        <v>P1001</v>
      </c>
      <c r="F67" t="str">
        <f>Raw_Data!F67</f>
        <v>Laptop Stand</v>
      </c>
      <c r="G67" t="str">
        <f>Raw_Data!G67</f>
        <v>Accessories</v>
      </c>
      <c r="H67" t="str">
        <f>Raw_Data!H67</f>
        <v>North</v>
      </c>
      <c r="I67" t="str">
        <f>Raw_Data!I67</f>
        <v>Online</v>
      </c>
      <c r="J67" t="str">
        <f>Raw_Data!J67</f>
        <v>Mihai Radu</v>
      </c>
      <c r="K67">
        <f>Raw_Data!K67</f>
        <v>4</v>
      </c>
      <c r="L67" s="12">
        <f>Raw_Data!L67</f>
        <v>95</v>
      </c>
      <c r="M67" s="12">
        <f>Raw_Data!M67</f>
        <v>52</v>
      </c>
      <c r="N67" s="14">
        <f>Raw_Data!N67</f>
        <v>0</v>
      </c>
      <c r="O67" t="str">
        <f>Raw_Data!O67</f>
        <v>Card</v>
      </c>
      <c r="P67" t="str">
        <f>Raw_Data!P67</f>
        <v>Completed</v>
      </c>
      <c r="Q67" s="12">
        <f t="shared" si="11"/>
        <v>380</v>
      </c>
      <c r="R67" s="12">
        <f t="shared" si="12"/>
        <v>380</v>
      </c>
      <c r="S67" s="12">
        <f t="shared" si="13"/>
        <v>208</v>
      </c>
      <c r="T67" s="12">
        <f t="shared" si="14"/>
        <v>172</v>
      </c>
      <c r="U67" s="11">
        <f t="shared" si="15"/>
        <v>0.45263157894736844</v>
      </c>
      <c r="V67" t="str">
        <f>IF(OR(A67="",COUNTIF($A$2:$A$301,A67)&gt;1,C67="",D67="",ISERROR(SEARCH("@",D67)),ISERROR(SEARCH(".",D67)),COUNTIF(Lookups!$A$2:$A$11,E67)=0,F67="",H67="",K67&lt;=0,L67&lt;0,M67&lt;0,N67&lt;0,N67&gt;0.5,COUNTIF(Lookups!$K$2:$K$4,P67)=0),"ERROR","VALID")</f>
        <v>VALID</v>
      </c>
      <c r="W67" s="2" t="str">
        <f>IF(A67="","Missing Order ID; ","")&amp;IF(COUNTIF($A$2:$A$301,A67)&gt;1,"Duplicate Order ID; ","")&amp;IF(C67="","Missing Customer ID; ","")&amp;IF(OR(D67="",ISERROR(SEARCH("@",D67)),ISERROR(SEARCH(".",D67))),"Invalid Email; ","")&amp;IF(COUNTIF(Lookups!$A$2:$A$11,E67)=0,"Unknown Product; ","")&amp;IF(F67="","Missing Product Name; ","")&amp;IF(H67="","Missing Region; ","")&amp;IF(K67&lt;=0,"Invalid Quantity; ","")&amp;IF(L67&lt;0,"Invalid Price; ","")&amp;IF(M67&lt;0,"Invalid Cost; ","")&amp;IF(OR(N67&lt;0,N67&gt;0.5),"Invalid Discount; ","")&amp;IF(COUNTIF(Lookups!$K$2:$K$4,P67)=0,"Invalid Status; ","")</f>
        <v/>
      </c>
      <c r="X67" s="15" t="str">
        <f t="shared" si="16"/>
        <v>2025-01</v>
      </c>
      <c r="Y67" t="str">
        <f t="shared" si="17"/>
        <v>Q1</v>
      </c>
      <c r="Z67" t="str">
        <f>IF(R67&gt;=Settings!$B$9,"High Value Customer",IF(R67&gt;=Settings!$B$10,"Medium Value Customer","Standard Customer"))</f>
        <v>Standard Customer</v>
      </c>
      <c r="AA67" t="str">
        <f>IF(R67&gt;=Settings!$B$9,"Large Order",IF(R67&gt;=Settings!$B$10,"Medium Order","Small Order"))</f>
        <v>Small Order</v>
      </c>
      <c r="AB67" t="str">
        <f>IF(N67=0,"No Discount",IF(N67&lt;=0.1,"Low Discount",IF(N67&lt;=Settings!$B$8,"Medium Discount","High Discount")))</f>
        <v>No Discount</v>
      </c>
      <c r="AC67" t="str">
        <f t="shared" si="18"/>
        <v>Profitable</v>
      </c>
      <c r="AD67" t="str">
        <f>IFERROR(VLOOKUP(E67,Lookups!$A$2:$E$11,2,FALSE),"Product Not Found")</f>
        <v>Laptop Stand</v>
      </c>
      <c r="AE67" t="str">
        <f>IFERROR(VLOOKUP(E67,Lookups!$A$2:$E$11,3,FALSE),"Category Not Found")</f>
        <v>Accessories</v>
      </c>
      <c r="AF67" t="str">
        <f>IFERROR(IF(L67=VLOOKUP(E67,Lookups!$A$2:$E$11,4,FALSE),"Price OK","Price Mismatch"),"Product Missing")</f>
        <v>Price OK</v>
      </c>
      <c r="AG67" t="str">
        <f t="shared" si="19"/>
        <v>Valid Email</v>
      </c>
      <c r="AH67" t="str">
        <f t="shared" si="20"/>
        <v>READY FOR REPORTING</v>
      </c>
      <c r="AI67" t="str">
        <f>IF(AND(LEFT(A67,LEN(Settings!$B$13))=Settings!$B$13,LEN(A67)=9),"Valid Format","Invalid Format")</f>
        <v>Valid Format</v>
      </c>
      <c r="AJ67" t="str">
        <f>IF(LEFT(C67,LEN(Settings!$B$14))=Settings!$B$14,"Valid Format","Invalid Format")</f>
        <v>Valid Format</v>
      </c>
      <c r="AK67" t="str">
        <f>IF(COUNTIF(Master_Data!$G$5:$G$14,C67)=1,"Known Customer","Customer Not in Master")</f>
        <v>Customer Not in Master</v>
      </c>
      <c r="AL67" t="str">
        <f>IF(U67&gt;=Settings!$B$11,"Target Met","Below Target")</f>
        <v>Target Met</v>
      </c>
      <c r="AM67" t="str">
        <f>IF(YEAR(B67)=Settings!$B$5,"Correct Year","Wrong Year")</f>
        <v>Correct Year</v>
      </c>
      <c r="AN67">
        <f t="shared" si="21"/>
        <v>4</v>
      </c>
    </row>
    <row r="68" spans="1:40">
      <c r="A68" t="str">
        <f>Raw_Data!A68</f>
        <v>ORD-10067</v>
      </c>
      <c r="B68" s="13">
        <f>Raw_Data!B68</f>
        <v>45769</v>
      </c>
      <c r="C68" t="str">
        <f>Raw_Data!C68</f>
        <v>C1099</v>
      </c>
      <c r="D68" t="str">
        <f>Raw_Data!D68</f>
        <v>client95@example.com</v>
      </c>
      <c r="E68" t="str">
        <f>Raw_Data!E68</f>
        <v>P1010</v>
      </c>
      <c r="F68" t="str">
        <f>Raw_Data!F68</f>
        <v>Headset</v>
      </c>
      <c r="G68" t="str">
        <f>Raw_Data!G68</f>
        <v>Electronics</v>
      </c>
      <c r="H68" t="str">
        <f>Raw_Data!H68</f>
        <v>North</v>
      </c>
      <c r="I68" t="str">
        <f>Raw_Data!I68</f>
        <v>Marketplace</v>
      </c>
      <c r="J68" t="str">
        <f>Raw_Data!J68</f>
        <v>Ioana Pavel</v>
      </c>
      <c r="K68">
        <f>Raw_Data!K68</f>
        <v>8</v>
      </c>
      <c r="L68" s="12">
        <f>Raw_Data!L68</f>
        <v>195</v>
      </c>
      <c r="M68" s="12">
        <f>Raw_Data!M68</f>
        <v>105</v>
      </c>
      <c r="N68" s="14">
        <f>Raw_Data!N68</f>
        <v>0.2</v>
      </c>
      <c r="O68" t="str">
        <f>Raw_Data!O68</f>
        <v>Card</v>
      </c>
      <c r="P68" t="str">
        <f>Raw_Data!P68</f>
        <v>Completed</v>
      </c>
      <c r="Q68" s="12">
        <f t="shared" si="11"/>
        <v>1560</v>
      </c>
      <c r="R68" s="12">
        <f t="shared" si="12"/>
        <v>1248</v>
      </c>
      <c r="S68" s="12">
        <f t="shared" si="13"/>
        <v>840</v>
      </c>
      <c r="T68" s="12">
        <f t="shared" si="14"/>
        <v>408</v>
      </c>
      <c r="U68" s="11">
        <f t="shared" si="15"/>
        <v>0.32692307692307693</v>
      </c>
      <c r="V68" t="str">
        <f>IF(OR(A68="",COUNTIF($A$2:$A$301,A68)&gt;1,C68="",D68="",ISERROR(SEARCH("@",D68)),ISERROR(SEARCH(".",D68)),COUNTIF(Lookups!$A$2:$A$11,E68)=0,F68="",H68="",K68&lt;=0,L68&lt;0,M68&lt;0,N68&lt;0,N68&gt;0.5,COUNTIF(Lookups!$K$2:$K$4,P68)=0),"ERROR","VALID")</f>
        <v>VALID</v>
      </c>
      <c r="W68" s="2" t="str">
        <f>IF(A68="","Missing Order ID; ","")&amp;IF(COUNTIF($A$2:$A$301,A68)&gt;1,"Duplicate Order ID; ","")&amp;IF(C68="","Missing Customer ID; ","")&amp;IF(OR(D68="",ISERROR(SEARCH("@",D68)),ISERROR(SEARCH(".",D68))),"Invalid Email; ","")&amp;IF(COUNTIF(Lookups!$A$2:$A$11,E68)=0,"Unknown Product; ","")&amp;IF(F68="","Missing Product Name; ","")&amp;IF(H68="","Missing Region; ","")&amp;IF(K68&lt;=0,"Invalid Quantity; ","")&amp;IF(L68&lt;0,"Invalid Price; ","")&amp;IF(M68&lt;0,"Invalid Cost; ","")&amp;IF(OR(N68&lt;0,N68&gt;0.5),"Invalid Discount; ","")&amp;IF(COUNTIF(Lookups!$K$2:$K$4,P68)=0,"Invalid Status; ","")</f>
        <v/>
      </c>
      <c r="X68" s="15" t="str">
        <f t="shared" si="16"/>
        <v>2025-04</v>
      </c>
      <c r="Y68" t="str">
        <f t="shared" si="17"/>
        <v>Q2</v>
      </c>
      <c r="Z68" t="str">
        <f>IF(R68&gt;=Settings!$B$9,"High Value Customer",IF(R68&gt;=Settings!$B$10,"Medium Value Customer","Standard Customer"))</f>
        <v>Standard Customer</v>
      </c>
      <c r="AA68" t="str">
        <f>IF(R68&gt;=Settings!$B$9,"Large Order",IF(R68&gt;=Settings!$B$10,"Medium Order","Small Order"))</f>
        <v>Small Order</v>
      </c>
      <c r="AB68" t="str">
        <f>IF(N68=0,"No Discount",IF(N68&lt;=0.1,"Low Discount",IF(N68&lt;=Settings!$B$8,"Medium Discount","High Discount")))</f>
        <v>Medium Discount</v>
      </c>
      <c r="AC68" t="str">
        <f t="shared" si="18"/>
        <v>Profitable</v>
      </c>
      <c r="AD68" t="str">
        <f>IFERROR(VLOOKUP(E68,Lookups!$A$2:$E$11,2,FALSE),"Product Not Found")</f>
        <v>Headset</v>
      </c>
      <c r="AE68" t="str">
        <f>IFERROR(VLOOKUP(E68,Lookups!$A$2:$E$11,3,FALSE),"Category Not Found")</f>
        <v>Electronics</v>
      </c>
      <c r="AF68" t="str">
        <f>IFERROR(IF(L68=VLOOKUP(E68,Lookups!$A$2:$E$11,4,FALSE),"Price OK","Price Mismatch"),"Product Missing")</f>
        <v>Price OK</v>
      </c>
      <c r="AG68" t="str">
        <f t="shared" si="19"/>
        <v>Valid Email</v>
      </c>
      <c r="AH68" t="str">
        <f t="shared" si="20"/>
        <v>READY FOR REPORTING</v>
      </c>
      <c r="AI68" t="str">
        <f>IF(AND(LEFT(A68,LEN(Settings!$B$13))=Settings!$B$13,LEN(A68)=9),"Valid Format","Invalid Format")</f>
        <v>Valid Format</v>
      </c>
      <c r="AJ68" t="str">
        <f>IF(LEFT(C68,LEN(Settings!$B$14))=Settings!$B$14,"Valid Format","Invalid Format")</f>
        <v>Valid Format</v>
      </c>
      <c r="AK68" t="str">
        <f>IF(COUNTIF(Master_Data!$G$5:$G$14,C68)=1,"Known Customer","Customer Not in Master")</f>
        <v>Customer Not in Master</v>
      </c>
      <c r="AL68" t="str">
        <f>IF(U68&gt;=Settings!$B$11,"Target Met","Below Target")</f>
        <v>Target Met</v>
      </c>
      <c r="AM68" t="str">
        <f>IF(YEAR(B68)=Settings!$B$5,"Correct Year","Wrong Year")</f>
        <v>Correct Year</v>
      </c>
      <c r="AN68">
        <f t="shared" si="21"/>
        <v>4</v>
      </c>
    </row>
    <row r="69" spans="1:40">
      <c r="A69" t="str">
        <f>Raw_Data!A69</f>
        <v>ORD-10068</v>
      </c>
      <c r="B69" s="13">
        <f>Raw_Data!B69</f>
        <v>45817</v>
      </c>
      <c r="C69" t="str">
        <f>Raw_Data!C69</f>
        <v>C1119</v>
      </c>
      <c r="D69" t="str">
        <f>Raw_Data!D69</f>
        <v>client80@example.com</v>
      </c>
      <c r="E69" t="str">
        <f>Raw_Data!E69</f>
        <v>P1003</v>
      </c>
      <c r="F69" t="str">
        <f>Raw_Data!F69</f>
        <v>Mechanical Keyboard</v>
      </c>
      <c r="G69" t="str">
        <f>Raw_Data!G69</f>
        <v>Accessories</v>
      </c>
      <c r="H69" t="str">
        <f>Raw_Data!H69</f>
        <v>West</v>
      </c>
      <c r="I69" t="str">
        <f>Raw_Data!I69</f>
        <v>Marketplace</v>
      </c>
      <c r="J69" t="str">
        <f>Raw_Data!J69</f>
        <v>Mihai Radu</v>
      </c>
      <c r="K69">
        <f>Raw_Data!K69</f>
        <v>2</v>
      </c>
      <c r="L69" s="12">
        <f>Raw_Data!L69</f>
        <v>265</v>
      </c>
      <c r="M69" s="12">
        <f>Raw_Data!M69</f>
        <v>155</v>
      </c>
      <c r="N69" s="14">
        <f>Raw_Data!N69</f>
        <v>0.15</v>
      </c>
      <c r="O69" t="str">
        <f>Raw_Data!O69</f>
        <v>Online Wallet</v>
      </c>
      <c r="P69" t="str">
        <f>Raw_Data!P69</f>
        <v>Completed</v>
      </c>
      <c r="Q69" s="12">
        <f t="shared" si="11"/>
        <v>530</v>
      </c>
      <c r="R69" s="12">
        <f t="shared" si="12"/>
        <v>450.5</v>
      </c>
      <c r="S69" s="12">
        <f t="shared" si="13"/>
        <v>310</v>
      </c>
      <c r="T69" s="12">
        <f t="shared" si="14"/>
        <v>140.5</v>
      </c>
      <c r="U69" s="11">
        <f t="shared" si="15"/>
        <v>0.31187569367369589</v>
      </c>
      <c r="V69" t="str">
        <f>IF(OR(A69="",COUNTIF($A$2:$A$301,A69)&gt;1,C69="",D69="",ISERROR(SEARCH("@",D69)),ISERROR(SEARCH(".",D69)),COUNTIF(Lookups!$A$2:$A$11,E69)=0,F69="",H69="",K69&lt;=0,L69&lt;0,M69&lt;0,N69&lt;0,N69&gt;0.5,COUNTIF(Lookups!$K$2:$K$4,P69)=0),"ERROR","VALID")</f>
        <v>VALID</v>
      </c>
      <c r="W69" s="2" t="str">
        <f>IF(A69="","Missing Order ID; ","")&amp;IF(COUNTIF($A$2:$A$301,A69)&gt;1,"Duplicate Order ID; ","")&amp;IF(C69="","Missing Customer ID; ","")&amp;IF(OR(D69="",ISERROR(SEARCH("@",D69)),ISERROR(SEARCH(".",D69))),"Invalid Email; ","")&amp;IF(COUNTIF(Lookups!$A$2:$A$11,E69)=0,"Unknown Product; ","")&amp;IF(F69="","Missing Product Name; ","")&amp;IF(H69="","Missing Region; ","")&amp;IF(K69&lt;=0,"Invalid Quantity; ","")&amp;IF(L69&lt;0,"Invalid Price; ","")&amp;IF(M69&lt;0,"Invalid Cost; ","")&amp;IF(OR(N69&lt;0,N69&gt;0.5),"Invalid Discount; ","")&amp;IF(COUNTIF(Lookups!$K$2:$K$4,P69)=0,"Invalid Status; ","")</f>
        <v/>
      </c>
      <c r="X69" s="15" t="str">
        <f t="shared" si="16"/>
        <v>2025-06</v>
      </c>
      <c r="Y69" t="str">
        <f t="shared" si="17"/>
        <v>Q2</v>
      </c>
      <c r="Z69" t="str">
        <f>IF(R69&gt;=Settings!$B$9,"High Value Customer",IF(R69&gt;=Settings!$B$10,"Medium Value Customer","Standard Customer"))</f>
        <v>Standard Customer</v>
      </c>
      <c r="AA69" t="str">
        <f>IF(R69&gt;=Settings!$B$9,"Large Order",IF(R69&gt;=Settings!$B$10,"Medium Order","Small Order"))</f>
        <v>Small Order</v>
      </c>
      <c r="AB69" t="str">
        <f>IF(N69=0,"No Discount",IF(N69&lt;=0.1,"Low Discount",IF(N69&lt;=Settings!$B$8,"Medium Discount","High Discount")))</f>
        <v>Medium Discount</v>
      </c>
      <c r="AC69" t="str">
        <f t="shared" si="18"/>
        <v>Profitable</v>
      </c>
      <c r="AD69" t="str">
        <f>IFERROR(VLOOKUP(E69,Lookups!$A$2:$E$11,2,FALSE),"Product Not Found")</f>
        <v>Mechanical Keyboard</v>
      </c>
      <c r="AE69" t="str">
        <f>IFERROR(VLOOKUP(E69,Lookups!$A$2:$E$11,3,FALSE),"Category Not Found")</f>
        <v>Accessories</v>
      </c>
      <c r="AF69" t="str">
        <f>IFERROR(IF(L69=VLOOKUP(E69,Lookups!$A$2:$E$11,4,FALSE),"Price OK","Price Mismatch"),"Product Missing")</f>
        <v>Price OK</v>
      </c>
      <c r="AG69" t="str">
        <f t="shared" si="19"/>
        <v>Valid Email</v>
      </c>
      <c r="AH69" t="str">
        <f t="shared" si="20"/>
        <v>READY FOR REPORTING</v>
      </c>
      <c r="AI69" t="str">
        <f>IF(AND(LEFT(A69,LEN(Settings!$B$13))=Settings!$B$13,LEN(A69)=9),"Valid Format","Invalid Format")</f>
        <v>Valid Format</v>
      </c>
      <c r="AJ69" t="str">
        <f>IF(LEFT(C69,LEN(Settings!$B$14))=Settings!$B$14,"Valid Format","Invalid Format")</f>
        <v>Valid Format</v>
      </c>
      <c r="AK69" t="str">
        <f>IF(COUNTIF(Master_Data!$G$5:$G$14,C69)=1,"Known Customer","Customer Not in Master")</f>
        <v>Customer Not in Master</v>
      </c>
      <c r="AL69" t="str">
        <f>IF(U69&gt;=Settings!$B$11,"Target Met","Below Target")</f>
        <v>Target Met</v>
      </c>
      <c r="AM69" t="str">
        <f>IF(YEAR(B69)=Settings!$B$5,"Correct Year","Wrong Year")</f>
        <v>Correct Year</v>
      </c>
      <c r="AN69">
        <f t="shared" si="21"/>
        <v>4</v>
      </c>
    </row>
    <row r="70" spans="1:40">
      <c r="A70" t="str">
        <f>Raw_Data!A70</f>
        <v>ORD-10069</v>
      </c>
      <c r="B70" s="13">
        <f>Raw_Data!B70</f>
        <v>45696</v>
      </c>
      <c r="C70" t="str">
        <f>Raw_Data!C70</f>
        <v>C1032</v>
      </c>
      <c r="D70" t="str">
        <f>Raw_Data!D70</f>
        <v>client27@example.com</v>
      </c>
      <c r="E70" t="str">
        <f>Raw_Data!E70</f>
        <v>P1004</v>
      </c>
      <c r="F70" t="str">
        <f>Raw_Data!F70</f>
        <v>USB-C Hub</v>
      </c>
      <c r="G70" t="str">
        <f>Raw_Data!G70</f>
        <v>Accessories</v>
      </c>
      <c r="H70" t="str">
        <f>Raw_Data!H70</f>
        <v>South</v>
      </c>
      <c r="I70" t="str">
        <f>Raw_Data!I70</f>
        <v>Marketplace</v>
      </c>
      <c r="J70" t="str">
        <f>Raw_Data!J70</f>
        <v>Ioana Pavel</v>
      </c>
      <c r="K70">
        <f>Raw_Data!K70</f>
        <v>10</v>
      </c>
      <c r="L70" s="12">
        <f>Raw_Data!L70</f>
        <v>175</v>
      </c>
      <c r="M70" s="12">
        <f>Raw_Data!M70</f>
        <v>98</v>
      </c>
      <c r="N70" s="14">
        <f>Raw_Data!N70</f>
        <v>0.2</v>
      </c>
      <c r="O70" t="str">
        <f>Raw_Data!O70</f>
        <v>Card</v>
      </c>
      <c r="P70" t="str">
        <f>Raw_Data!P70</f>
        <v>Cancelled</v>
      </c>
      <c r="Q70" s="12">
        <f t="shared" si="11"/>
        <v>1750</v>
      </c>
      <c r="R70" s="12">
        <f t="shared" si="12"/>
        <v>1400</v>
      </c>
      <c r="S70" s="12">
        <f t="shared" si="13"/>
        <v>980</v>
      </c>
      <c r="T70" s="12">
        <f t="shared" si="14"/>
        <v>420</v>
      </c>
      <c r="U70" s="11">
        <f t="shared" si="15"/>
        <v>0.3</v>
      </c>
      <c r="V70" t="str">
        <f>IF(OR(A70="",COUNTIF($A$2:$A$301,A70)&gt;1,C70="",D70="",ISERROR(SEARCH("@",D70)),ISERROR(SEARCH(".",D70)),COUNTIF(Lookups!$A$2:$A$11,E70)=0,F70="",H70="",K70&lt;=0,L70&lt;0,M70&lt;0,N70&lt;0,N70&gt;0.5,COUNTIF(Lookups!$K$2:$K$4,P70)=0),"ERROR","VALID")</f>
        <v>VALID</v>
      </c>
      <c r="W70" s="2" t="str">
        <f>IF(A70="","Missing Order ID; ","")&amp;IF(COUNTIF($A$2:$A$301,A70)&gt;1,"Duplicate Order ID; ","")&amp;IF(C70="","Missing Customer ID; ","")&amp;IF(OR(D70="",ISERROR(SEARCH("@",D70)),ISERROR(SEARCH(".",D70))),"Invalid Email; ","")&amp;IF(COUNTIF(Lookups!$A$2:$A$11,E70)=0,"Unknown Product; ","")&amp;IF(F70="","Missing Product Name; ","")&amp;IF(H70="","Missing Region; ","")&amp;IF(K70&lt;=0,"Invalid Quantity; ","")&amp;IF(L70&lt;0,"Invalid Price; ","")&amp;IF(M70&lt;0,"Invalid Cost; ","")&amp;IF(OR(N70&lt;0,N70&gt;0.5),"Invalid Discount; ","")&amp;IF(COUNTIF(Lookups!$K$2:$K$4,P70)=0,"Invalid Status; ","")</f>
        <v/>
      </c>
      <c r="X70" s="15" t="str">
        <f t="shared" si="16"/>
        <v>2025-02</v>
      </c>
      <c r="Y70" t="str">
        <f t="shared" si="17"/>
        <v>Q1</v>
      </c>
      <c r="Z70" t="str">
        <f>IF(R70&gt;=Settings!$B$9,"High Value Customer",IF(R70&gt;=Settings!$B$10,"Medium Value Customer","Standard Customer"))</f>
        <v>Standard Customer</v>
      </c>
      <c r="AA70" t="str">
        <f>IF(R70&gt;=Settings!$B$9,"Large Order",IF(R70&gt;=Settings!$B$10,"Medium Order","Small Order"))</f>
        <v>Small Order</v>
      </c>
      <c r="AB70" t="str">
        <f>IF(N70=0,"No Discount",IF(N70&lt;=0.1,"Low Discount",IF(N70&lt;=Settings!$B$8,"Medium Discount","High Discount")))</f>
        <v>Medium Discount</v>
      </c>
      <c r="AC70" t="str">
        <f t="shared" si="18"/>
        <v>Profitable</v>
      </c>
      <c r="AD70" t="str">
        <f>IFERROR(VLOOKUP(E70,Lookups!$A$2:$E$11,2,FALSE),"Product Not Found")</f>
        <v>USB-C Hub</v>
      </c>
      <c r="AE70" t="str">
        <f>IFERROR(VLOOKUP(E70,Lookups!$A$2:$E$11,3,FALSE),"Category Not Found")</f>
        <v>Accessories</v>
      </c>
      <c r="AF70" t="str">
        <f>IFERROR(IF(L70=VLOOKUP(E70,Lookups!$A$2:$E$11,4,FALSE),"Price OK","Price Mismatch"),"Product Missing")</f>
        <v>Price OK</v>
      </c>
      <c r="AG70" t="str">
        <f t="shared" si="19"/>
        <v>Valid Email</v>
      </c>
      <c r="AH70" t="str">
        <f t="shared" si="20"/>
        <v>READY FOR REPORTING</v>
      </c>
      <c r="AI70" t="str">
        <f>IF(AND(LEFT(A70,LEN(Settings!$B$13))=Settings!$B$13,LEN(A70)=9),"Valid Format","Invalid Format")</f>
        <v>Valid Format</v>
      </c>
      <c r="AJ70" t="str">
        <f>IF(LEFT(C70,LEN(Settings!$B$14))=Settings!$B$14,"Valid Format","Invalid Format")</f>
        <v>Valid Format</v>
      </c>
      <c r="AK70" t="str">
        <f>IF(COUNTIF(Master_Data!$G$5:$G$14,C70)=1,"Known Customer","Customer Not in Master")</f>
        <v>Customer Not in Master</v>
      </c>
      <c r="AL70" t="str">
        <f>IF(U70&gt;=Settings!$B$11,"Target Met","Below Target")</f>
        <v>Target Met</v>
      </c>
      <c r="AM70" t="str">
        <f>IF(YEAR(B70)=Settings!$B$5,"Correct Year","Wrong Year")</f>
        <v>Correct Year</v>
      </c>
      <c r="AN70">
        <f t="shared" si="21"/>
        <v>4</v>
      </c>
    </row>
    <row r="71" spans="1:40">
      <c r="A71" t="str">
        <f>Raw_Data!A71</f>
        <v>ORD-10070</v>
      </c>
      <c r="B71" s="13">
        <f>Raw_Data!B71</f>
        <v>45679</v>
      </c>
      <c r="C71" t="str">
        <f>Raw_Data!C71</f>
        <v>C1085</v>
      </c>
      <c r="D71" t="str">
        <f>Raw_Data!D71</f>
        <v>client95@example.com</v>
      </c>
      <c r="E71" t="str">
        <f>Raw_Data!E71</f>
        <v>P1010</v>
      </c>
      <c r="F71" t="str">
        <f>Raw_Data!F71</f>
        <v>Headset</v>
      </c>
      <c r="G71" t="str">
        <f>Raw_Data!G71</f>
        <v>Electronics</v>
      </c>
      <c r="H71" t="str">
        <f>Raw_Data!H71</f>
        <v>Bucharest</v>
      </c>
      <c r="I71" t="str">
        <f>Raw_Data!I71</f>
        <v>Marketplace</v>
      </c>
      <c r="J71" t="str">
        <f>Raw_Data!J71</f>
        <v>Elena Stan</v>
      </c>
      <c r="K71">
        <f>Raw_Data!K71</f>
        <v>6</v>
      </c>
      <c r="L71" s="12">
        <f>Raw_Data!L71</f>
        <v>195</v>
      </c>
      <c r="M71" s="12">
        <f>Raw_Data!M71</f>
        <v>105</v>
      </c>
      <c r="N71" s="14">
        <f>Raw_Data!N71</f>
        <v>0.15</v>
      </c>
      <c r="O71" t="str">
        <f>Raw_Data!O71</f>
        <v>Card</v>
      </c>
      <c r="P71" t="str">
        <f>Raw_Data!P71</f>
        <v>Completed</v>
      </c>
      <c r="Q71" s="12">
        <f t="shared" si="11"/>
        <v>1170</v>
      </c>
      <c r="R71" s="12">
        <f t="shared" si="12"/>
        <v>994.5</v>
      </c>
      <c r="S71" s="12">
        <f t="shared" si="13"/>
        <v>630</v>
      </c>
      <c r="T71" s="12">
        <f t="shared" si="14"/>
        <v>364.5</v>
      </c>
      <c r="U71" s="11">
        <f t="shared" si="15"/>
        <v>0.36651583710407237</v>
      </c>
      <c r="V71" t="str">
        <f>IF(OR(A71="",COUNTIF($A$2:$A$301,A71)&gt;1,C71="",D71="",ISERROR(SEARCH("@",D71)),ISERROR(SEARCH(".",D71)),COUNTIF(Lookups!$A$2:$A$11,E71)=0,F71="",H71="",K71&lt;=0,L71&lt;0,M71&lt;0,N71&lt;0,N71&gt;0.5,COUNTIF(Lookups!$K$2:$K$4,P71)=0),"ERROR","VALID")</f>
        <v>VALID</v>
      </c>
      <c r="W71" s="2" t="str">
        <f>IF(A71="","Missing Order ID; ","")&amp;IF(COUNTIF($A$2:$A$301,A71)&gt;1,"Duplicate Order ID; ","")&amp;IF(C71="","Missing Customer ID; ","")&amp;IF(OR(D71="",ISERROR(SEARCH("@",D71)),ISERROR(SEARCH(".",D71))),"Invalid Email; ","")&amp;IF(COUNTIF(Lookups!$A$2:$A$11,E71)=0,"Unknown Product; ","")&amp;IF(F71="","Missing Product Name; ","")&amp;IF(H71="","Missing Region; ","")&amp;IF(K71&lt;=0,"Invalid Quantity; ","")&amp;IF(L71&lt;0,"Invalid Price; ","")&amp;IF(M71&lt;0,"Invalid Cost; ","")&amp;IF(OR(N71&lt;0,N71&gt;0.5),"Invalid Discount; ","")&amp;IF(COUNTIF(Lookups!$K$2:$K$4,P71)=0,"Invalid Status; ","")</f>
        <v/>
      </c>
      <c r="X71" s="15" t="str">
        <f t="shared" si="16"/>
        <v>2025-01</v>
      </c>
      <c r="Y71" t="str">
        <f t="shared" si="17"/>
        <v>Q1</v>
      </c>
      <c r="Z71" t="str">
        <f>IF(R71&gt;=Settings!$B$9,"High Value Customer",IF(R71&gt;=Settings!$B$10,"Medium Value Customer","Standard Customer"))</f>
        <v>Standard Customer</v>
      </c>
      <c r="AA71" t="str">
        <f>IF(R71&gt;=Settings!$B$9,"Large Order",IF(R71&gt;=Settings!$B$10,"Medium Order","Small Order"))</f>
        <v>Small Order</v>
      </c>
      <c r="AB71" t="str">
        <f>IF(N71=0,"No Discount",IF(N71&lt;=0.1,"Low Discount",IF(N71&lt;=Settings!$B$8,"Medium Discount","High Discount")))</f>
        <v>Medium Discount</v>
      </c>
      <c r="AC71" t="str">
        <f t="shared" si="18"/>
        <v>Profitable</v>
      </c>
      <c r="AD71" t="str">
        <f>IFERROR(VLOOKUP(E71,Lookups!$A$2:$E$11,2,FALSE),"Product Not Found")</f>
        <v>Headset</v>
      </c>
      <c r="AE71" t="str">
        <f>IFERROR(VLOOKUP(E71,Lookups!$A$2:$E$11,3,FALSE),"Category Not Found")</f>
        <v>Electronics</v>
      </c>
      <c r="AF71" t="str">
        <f>IFERROR(IF(L71=VLOOKUP(E71,Lookups!$A$2:$E$11,4,FALSE),"Price OK","Price Mismatch"),"Product Missing")</f>
        <v>Price OK</v>
      </c>
      <c r="AG71" t="str">
        <f t="shared" si="19"/>
        <v>Valid Email</v>
      </c>
      <c r="AH71" t="str">
        <f t="shared" si="20"/>
        <v>READY FOR REPORTING</v>
      </c>
      <c r="AI71" t="str">
        <f>IF(AND(LEFT(A71,LEN(Settings!$B$13))=Settings!$B$13,LEN(A71)=9),"Valid Format","Invalid Format")</f>
        <v>Valid Format</v>
      </c>
      <c r="AJ71" t="str">
        <f>IF(LEFT(C71,LEN(Settings!$B$14))=Settings!$B$14,"Valid Format","Invalid Format")</f>
        <v>Valid Format</v>
      </c>
      <c r="AK71" t="str">
        <f>IF(COUNTIF(Master_Data!$G$5:$G$14,C71)=1,"Known Customer","Customer Not in Master")</f>
        <v>Customer Not in Master</v>
      </c>
      <c r="AL71" t="str">
        <f>IF(U71&gt;=Settings!$B$11,"Target Met","Below Target")</f>
        <v>Target Met</v>
      </c>
      <c r="AM71" t="str">
        <f>IF(YEAR(B71)=Settings!$B$5,"Correct Year","Wrong Year")</f>
        <v>Correct Year</v>
      </c>
      <c r="AN71">
        <f t="shared" si="21"/>
        <v>4</v>
      </c>
    </row>
    <row r="72" spans="1:40">
      <c r="A72" t="str">
        <f>Raw_Data!A72</f>
        <v>ORD-10071</v>
      </c>
      <c r="B72" s="13">
        <f>Raw_Data!B72</f>
        <v>45908</v>
      </c>
      <c r="C72" t="str">
        <f>Raw_Data!C72</f>
        <v>C1082</v>
      </c>
      <c r="D72" t="str">
        <f>Raw_Data!D72</f>
        <v>client118@example.com</v>
      </c>
      <c r="E72" t="str">
        <f>Raw_Data!E72</f>
        <v>P1007</v>
      </c>
      <c r="F72" t="str">
        <f>Raw_Data!F72</f>
        <v>Office Chair</v>
      </c>
      <c r="G72" t="str">
        <f>Raw_Data!G72</f>
        <v>Furniture</v>
      </c>
      <c r="H72" t="str">
        <f>Raw_Data!H72</f>
        <v>North</v>
      </c>
      <c r="I72" t="str">
        <f>Raw_Data!I72</f>
        <v>Store</v>
      </c>
      <c r="J72" t="str">
        <f>Raw_Data!J72</f>
        <v>Maria Ionescu</v>
      </c>
      <c r="K72">
        <f>Raw_Data!K72</f>
        <v>2</v>
      </c>
      <c r="L72" s="12">
        <f>Raw_Data!L72</f>
        <v>840</v>
      </c>
      <c r="M72" s="12">
        <f>Raw_Data!M72</f>
        <v>590</v>
      </c>
      <c r="N72" s="14">
        <f>Raw_Data!N72</f>
        <v>0.1</v>
      </c>
      <c r="O72" t="str">
        <f>Raw_Data!O72</f>
        <v>Cash</v>
      </c>
      <c r="P72" t="str">
        <f>Raw_Data!P72</f>
        <v>Completed</v>
      </c>
      <c r="Q72" s="12">
        <f t="shared" si="11"/>
        <v>1680</v>
      </c>
      <c r="R72" s="12">
        <f t="shared" si="12"/>
        <v>1512</v>
      </c>
      <c r="S72" s="12">
        <f t="shared" si="13"/>
        <v>1180</v>
      </c>
      <c r="T72" s="12">
        <f t="shared" si="14"/>
        <v>332</v>
      </c>
      <c r="U72" s="11">
        <f t="shared" si="15"/>
        <v>0.21957671957671956</v>
      </c>
      <c r="V72" t="str">
        <f>IF(OR(A72="",COUNTIF($A$2:$A$301,A72)&gt;1,C72="",D72="",ISERROR(SEARCH("@",D72)),ISERROR(SEARCH(".",D72)),COUNTIF(Lookups!$A$2:$A$11,E72)=0,F72="",H72="",K72&lt;=0,L72&lt;0,M72&lt;0,N72&lt;0,N72&gt;0.5,COUNTIF(Lookups!$K$2:$K$4,P72)=0),"ERROR","VALID")</f>
        <v>VALID</v>
      </c>
      <c r="W72" s="2" t="str">
        <f>IF(A72="","Missing Order ID; ","")&amp;IF(COUNTIF($A$2:$A$301,A72)&gt;1,"Duplicate Order ID; ","")&amp;IF(C72="","Missing Customer ID; ","")&amp;IF(OR(D72="",ISERROR(SEARCH("@",D72)),ISERROR(SEARCH(".",D72))),"Invalid Email; ","")&amp;IF(COUNTIF(Lookups!$A$2:$A$11,E72)=0,"Unknown Product; ","")&amp;IF(F72="","Missing Product Name; ","")&amp;IF(H72="","Missing Region; ","")&amp;IF(K72&lt;=0,"Invalid Quantity; ","")&amp;IF(L72&lt;0,"Invalid Price; ","")&amp;IF(M72&lt;0,"Invalid Cost; ","")&amp;IF(OR(N72&lt;0,N72&gt;0.5),"Invalid Discount; ","")&amp;IF(COUNTIF(Lookups!$K$2:$K$4,P72)=0,"Invalid Status; ","")</f>
        <v/>
      </c>
      <c r="X72" s="15" t="str">
        <f t="shared" si="16"/>
        <v>2025-09</v>
      </c>
      <c r="Y72" t="str">
        <f t="shared" si="17"/>
        <v>Q3</v>
      </c>
      <c r="Z72" t="str">
        <f>IF(R72&gt;=Settings!$B$9,"High Value Customer",IF(R72&gt;=Settings!$B$10,"Medium Value Customer","Standard Customer"))</f>
        <v>Standard Customer</v>
      </c>
      <c r="AA72" t="str">
        <f>IF(R72&gt;=Settings!$B$9,"Large Order",IF(R72&gt;=Settings!$B$10,"Medium Order","Small Order"))</f>
        <v>Small Order</v>
      </c>
      <c r="AB72" t="str">
        <f>IF(N72=0,"No Discount",IF(N72&lt;=0.1,"Low Discount",IF(N72&lt;=Settings!$B$8,"Medium Discount","High Discount")))</f>
        <v>Low Discount</v>
      </c>
      <c r="AC72" t="str">
        <f t="shared" si="18"/>
        <v>Profitable</v>
      </c>
      <c r="AD72" t="str">
        <f>IFERROR(VLOOKUP(E72,Lookups!$A$2:$E$11,2,FALSE),"Product Not Found")</f>
        <v>Office Chair</v>
      </c>
      <c r="AE72" t="str">
        <f>IFERROR(VLOOKUP(E72,Lookups!$A$2:$E$11,3,FALSE),"Category Not Found")</f>
        <v>Furniture</v>
      </c>
      <c r="AF72" t="str">
        <f>IFERROR(IF(L72=VLOOKUP(E72,Lookups!$A$2:$E$11,4,FALSE),"Price OK","Price Mismatch"),"Product Missing")</f>
        <v>Price OK</v>
      </c>
      <c r="AG72" t="str">
        <f t="shared" si="19"/>
        <v>Valid Email</v>
      </c>
      <c r="AH72" t="str">
        <f t="shared" si="20"/>
        <v>READY FOR REPORTING</v>
      </c>
      <c r="AI72" t="str">
        <f>IF(AND(LEFT(A72,LEN(Settings!$B$13))=Settings!$B$13,LEN(A72)=9),"Valid Format","Invalid Format")</f>
        <v>Valid Format</v>
      </c>
      <c r="AJ72" t="str">
        <f>IF(LEFT(C72,LEN(Settings!$B$14))=Settings!$B$14,"Valid Format","Invalid Format")</f>
        <v>Valid Format</v>
      </c>
      <c r="AK72" t="str">
        <f>IF(COUNTIF(Master_Data!$G$5:$G$14,C72)=1,"Known Customer","Customer Not in Master")</f>
        <v>Customer Not in Master</v>
      </c>
      <c r="AL72" t="str">
        <f>IF(U72&gt;=Settings!$B$11,"Target Met","Below Target")</f>
        <v>Below Target</v>
      </c>
      <c r="AM72" t="str">
        <f>IF(YEAR(B72)=Settings!$B$5,"Correct Year","Wrong Year")</f>
        <v>Correct Year</v>
      </c>
      <c r="AN72">
        <f t="shared" si="21"/>
        <v>3</v>
      </c>
    </row>
    <row r="73" spans="1:40">
      <c r="A73" t="str">
        <f>Raw_Data!A73</f>
        <v>ORD-10072</v>
      </c>
      <c r="B73" s="13">
        <f>Raw_Data!B73</f>
        <v>45933</v>
      </c>
      <c r="C73" t="str">
        <f>Raw_Data!C73</f>
        <v>C1106</v>
      </c>
      <c r="D73" t="str">
        <f>Raw_Data!D73</f>
        <v>client152@example.com</v>
      </c>
      <c r="E73" t="str">
        <f>Raw_Data!E73</f>
        <v>P1010</v>
      </c>
      <c r="F73" t="str">
        <f>Raw_Data!F73</f>
        <v>Headset</v>
      </c>
      <c r="G73" t="str">
        <f>Raw_Data!G73</f>
        <v>Electronics</v>
      </c>
      <c r="H73" t="str">
        <f>Raw_Data!H73</f>
        <v>South</v>
      </c>
      <c r="I73" t="str">
        <f>Raw_Data!I73</f>
        <v>Store</v>
      </c>
      <c r="J73" t="str">
        <f>Raw_Data!J73</f>
        <v>Maria Ionescu</v>
      </c>
      <c r="K73">
        <f>Raw_Data!K73</f>
        <v>8</v>
      </c>
      <c r="L73" s="12">
        <f>Raw_Data!L73</f>
        <v>195</v>
      </c>
      <c r="M73" s="12">
        <f>Raw_Data!M73</f>
        <v>105</v>
      </c>
      <c r="N73" s="14">
        <f>Raw_Data!N73</f>
        <v>0.1</v>
      </c>
      <c r="O73" t="str">
        <f>Raw_Data!O73</f>
        <v>Card</v>
      </c>
      <c r="P73" t="str">
        <f>Raw_Data!P73</f>
        <v>Completed</v>
      </c>
      <c r="Q73" s="12">
        <f t="shared" si="11"/>
        <v>1560</v>
      </c>
      <c r="R73" s="12">
        <f t="shared" si="12"/>
        <v>1404</v>
      </c>
      <c r="S73" s="12">
        <f t="shared" si="13"/>
        <v>840</v>
      </c>
      <c r="T73" s="12">
        <f t="shared" si="14"/>
        <v>564</v>
      </c>
      <c r="U73" s="11">
        <f t="shared" si="15"/>
        <v>0.40170940170940173</v>
      </c>
      <c r="V73" t="str">
        <f>IF(OR(A73="",COUNTIF($A$2:$A$301,A73)&gt;1,C73="",D73="",ISERROR(SEARCH("@",D73)),ISERROR(SEARCH(".",D73)),COUNTIF(Lookups!$A$2:$A$11,E73)=0,F73="",H73="",K73&lt;=0,L73&lt;0,M73&lt;0,N73&lt;0,N73&gt;0.5,COUNTIF(Lookups!$K$2:$K$4,P73)=0),"ERROR","VALID")</f>
        <v>VALID</v>
      </c>
      <c r="W73" s="2" t="str">
        <f>IF(A73="","Missing Order ID; ","")&amp;IF(COUNTIF($A$2:$A$301,A73)&gt;1,"Duplicate Order ID; ","")&amp;IF(C73="","Missing Customer ID; ","")&amp;IF(OR(D73="",ISERROR(SEARCH("@",D73)),ISERROR(SEARCH(".",D73))),"Invalid Email; ","")&amp;IF(COUNTIF(Lookups!$A$2:$A$11,E73)=0,"Unknown Product; ","")&amp;IF(F73="","Missing Product Name; ","")&amp;IF(H73="","Missing Region; ","")&amp;IF(K73&lt;=0,"Invalid Quantity; ","")&amp;IF(L73&lt;0,"Invalid Price; ","")&amp;IF(M73&lt;0,"Invalid Cost; ","")&amp;IF(OR(N73&lt;0,N73&gt;0.5),"Invalid Discount; ","")&amp;IF(COUNTIF(Lookups!$K$2:$K$4,P73)=0,"Invalid Status; ","")</f>
        <v/>
      </c>
      <c r="X73" s="15" t="str">
        <f t="shared" si="16"/>
        <v>2025-10</v>
      </c>
      <c r="Y73" t="str">
        <f t="shared" si="17"/>
        <v>Q4</v>
      </c>
      <c r="Z73" t="str">
        <f>IF(R73&gt;=Settings!$B$9,"High Value Customer",IF(R73&gt;=Settings!$B$10,"Medium Value Customer","Standard Customer"))</f>
        <v>Standard Customer</v>
      </c>
      <c r="AA73" t="str">
        <f>IF(R73&gt;=Settings!$B$9,"Large Order",IF(R73&gt;=Settings!$B$10,"Medium Order","Small Order"))</f>
        <v>Small Order</v>
      </c>
      <c r="AB73" t="str">
        <f>IF(N73=0,"No Discount",IF(N73&lt;=0.1,"Low Discount",IF(N73&lt;=Settings!$B$8,"Medium Discount","High Discount")))</f>
        <v>Low Discount</v>
      </c>
      <c r="AC73" t="str">
        <f t="shared" si="18"/>
        <v>Profitable</v>
      </c>
      <c r="AD73" t="str">
        <f>IFERROR(VLOOKUP(E73,Lookups!$A$2:$E$11,2,FALSE),"Product Not Found")</f>
        <v>Headset</v>
      </c>
      <c r="AE73" t="str">
        <f>IFERROR(VLOOKUP(E73,Lookups!$A$2:$E$11,3,FALSE),"Category Not Found")</f>
        <v>Electronics</v>
      </c>
      <c r="AF73" t="str">
        <f>IFERROR(IF(L73=VLOOKUP(E73,Lookups!$A$2:$E$11,4,FALSE),"Price OK","Price Mismatch"),"Product Missing")</f>
        <v>Price OK</v>
      </c>
      <c r="AG73" t="str">
        <f t="shared" si="19"/>
        <v>Valid Email</v>
      </c>
      <c r="AH73" t="str">
        <f t="shared" si="20"/>
        <v>READY FOR REPORTING</v>
      </c>
      <c r="AI73" t="str">
        <f>IF(AND(LEFT(A73,LEN(Settings!$B$13))=Settings!$B$13,LEN(A73)=9),"Valid Format","Invalid Format")</f>
        <v>Valid Format</v>
      </c>
      <c r="AJ73" t="str">
        <f>IF(LEFT(C73,LEN(Settings!$B$14))=Settings!$B$14,"Valid Format","Invalid Format")</f>
        <v>Valid Format</v>
      </c>
      <c r="AK73" t="str">
        <f>IF(COUNTIF(Master_Data!$G$5:$G$14,C73)=1,"Known Customer","Customer Not in Master")</f>
        <v>Customer Not in Master</v>
      </c>
      <c r="AL73" t="str">
        <f>IF(U73&gt;=Settings!$B$11,"Target Met","Below Target")</f>
        <v>Target Met</v>
      </c>
      <c r="AM73" t="str">
        <f>IF(YEAR(B73)=Settings!$B$5,"Correct Year","Wrong Year")</f>
        <v>Correct Year</v>
      </c>
      <c r="AN73">
        <f t="shared" si="21"/>
        <v>4</v>
      </c>
    </row>
    <row r="74" spans="1:40">
      <c r="A74" t="str">
        <f>Raw_Data!A74</f>
        <v>ORD-10073</v>
      </c>
      <c r="B74" s="13">
        <f>Raw_Data!B74</f>
        <v>45888</v>
      </c>
      <c r="C74" t="str">
        <f>Raw_Data!C74</f>
        <v>C1079</v>
      </c>
      <c r="D74" t="str">
        <f>Raw_Data!D74</f>
        <v>client172@example.com</v>
      </c>
      <c r="E74" t="str">
        <f>Raw_Data!E74</f>
        <v>P1005</v>
      </c>
      <c r="F74" t="str">
        <f>Raw_Data!F74</f>
        <v>24-inch Monitor</v>
      </c>
      <c r="G74" t="str">
        <f>Raw_Data!G74</f>
        <v>Electronics</v>
      </c>
      <c r="H74">
        <f>Raw_Data!H74</f>
        <v>0</v>
      </c>
      <c r="I74" t="str">
        <f>Raw_Data!I74</f>
        <v>Store</v>
      </c>
      <c r="J74" t="str">
        <f>Raw_Data!J74</f>
        <v>Andrei Pop</v>
      </c>
      <c r="K74">
        <f>Raw_Data!K74</f>
        <v>4</v>
      </c>
      <c r="L74" s="12">
        <f>Raw_Data!L74</f>
        <v>720</v>
      </c>
      <c r="M74" s="12">
        <f>Raw_Data!M74</f>
        <v>510</v>
      </c>
      <c r="N74" s="14">
        <f>Raw_Data!N74</f>
        <v>0.1</v>
      </c>
      <c r="O74" t="str">
        <f>Raw_Data!O74</f>
        <v>Online Wallet</v>
      </c>
      <c r="P74" t="str">
        <f>Raw_Data!P74</f>
        <v>Returned</v>
      </c>
      <c r="Q74" s="12">
        <f t="shared" si="11"/>
        <v>2880</v>
      </c>
      <c r="R74" s="12">
        <f t="shared" si="12"/>
        <v>2592</v>
      </c>
      <c r="S74" s="12">
        <f t="shared" si="13"/>
        <v>2040</v>
      </c>
      <c r="T74" s="12">
        <f t="shared" si="14"/>
        <v>552</v>
      </c>
      <c r="U74" s="11">
        <f t="shared" si="15"/>
        <v>0.21296296296296297</v>
      </c>
      <c r="V74" t="str">
        <f>IF(OR(A74="",COUNTIF($A$2:$A$301,A74)&gt;1,C74="",D74="",ISERROR(SEARCH("@",D74)),ISERROR(SEARCH(".",D74)),COUNTIF(Lookups!$A$2:$A$11,E74)=0,F74="",H74="",K74&lt;=0,L74&lt;0,M74&lt;0,N74&lt;0,N74&gt;0.5,COUNTIF(Lookups!$K$2:$K$4,P74)=0),"ERROR","VALID")</f>
        <v>VALID</v>
      </c>
      <c r="W74" s="2" t="str">
        <f>IF(A74="","Missing Order ID; ","")&amp;IF(COUNTIF($A$2:$A$301,A74)&gt;1,"Duplicate Order ID; ","")&amp;IF(C74="","Missing Customer ID; ","")&amp;IF(OR(D74="",ISERROR(SEARCH("@",D74)),ISERROR(SEARCH(".",D74))),"Invalid Email; ","")&amp;IF(COUNTIF(Lookups!$A$2:$A$11,E74)=0,"Unknown Product; ","")&amp;IF(F74="","Missing Product Name; ","")&amp;IF(H74="","Missing Region; ","")&amp;IF(K74&lt;=0,"Invalid Quantity; ","")&amp;IF(L74&lt;0,"Invalid Price; ","")&amp;IF(M74&lt;0,"Invalid Cost; ","")&amp;IF(OR(N74&lt;0,N74&gt;0.5),"Invalid Discount; ","")&amp;IF(COUNTIF(Lookups!$K$2:$K$4,P74)=0,"Invalid Status; ","")</f>
        <v/>
      </c>
      <c r="X74" s="15" t="str">
        <f t="shared" si="16"/>
        <v>2025-08</v>
      </c>
      <c r="Y74" t="str">
        <f t="shared" si="17"/>
        <v>Q3</v>
      </c>
      <c r="Z74" t="str">
        <f>IF(R74&gt;=Settings!$B$9,"High Value Customer",IF(R74&gt;=Settings!$B$10,"Medium Value Customer","Standard Customer"))</f>
        <v>Medium Value Customer</v>
      </c>
      <c r="AA74" t="str">
        <f>IF(R74&gt;=Settings!$B$9,"Large Order",IF(R74&gt;=Settings!$B$10,"Medium Order","Small Order"))</f>
        <v>Medium Order</v>
      </c>
      <c r="AB74" t="str">
        <f>IF(N74=0,"No Discount",IF(N74&lt;=0.1,"Low Discount",IF(N74&lt;=Settings!$B$8,"Medium Discount","High Discount")))</f>
        <v>Low Discount</v>
      </c>
      <c r="AC74" t="str">
        <f t="shared" si="18"/>
        <v>Profitable</v>
      </c>
      <c r="AD74" t="str">
        <f>IFERROR(VLOOKUP(E74,Lookups!$A$2:$E$11,2,FALSE),"Product Not Found")</f>
        <v>24-inch Monitor</v>
      </c>
      <c r="AE74" t="str">
        <f>IFERROR(VLOOKUP(E74,Lookups!$A$2:$E$11,3,FALSE),"Category Not Found")</f>
        <v>Electronics</v>
      </c>
      <c r="AF74" t="str">
        <f>IFERROR(IF(L74=VLOOKUP(E74,Lookups!$A$2:$E$11,4,FALSE),"Price OK","Price Mismatch"),"Product Missing")</f>
        <v>Price OK</v>
      </c>
      <c r="AG74" t="str">
        <f t="shared" si="19"/>
        <v>Valid Email</v>
      </c>
      <c r="AH74" t="str">
        <f t="shared" si="20"/>
        <v>READY FOR REPORTING</v>
      </c>
      <c r="AI74" t="str">
        <f>IF(AND(LEFT(A74,LEN(Settings!$B$13))=Settings!$B$13,LEN(A74)=9),"Valid Format","Invalid Format")</f>
        <v>Valid Format</v>
      </c>
      <c r="AJ74" t="str">
        <f>IF(LEFT(C74,LEN(Settings!$B$14))=Settings!$B$14,"Valid Format","Invalid Format")</f>
        <v>Valid Format</v>
      </c>
      <c r="AK74" t="str">
        <f>IF(COUNTIF(Master_Data!$G$5:$G$14,C74)=1,"Known Customer","Customer Not in Master")</f>
        <v>Customer Not in Master</v>
      </c>
      <c r="AL74" t="str">
        <f>IF(U74&gt;=Settings!$B$11,"Target Met","Below Target")</f>
        <v>Below Target</v>
      </c>
      <c r="AM74" t="str">
        <f>IF(YEAR(B74)=Settings!$B$5,"Correct Year","Wrong Year")</f>
        <v>Correct Year</v>
      </c>
      <c r="AN74">
        <f t="shared" si="21"/>
        <v>3</v>
      </c>
    </row>
    <row r="75" spans="1:40">
      <c r="A75" t="str">
        <f>Raw_Data!A75</f>
        <v>ORD-10074</v>
      </c>
      <c r="B75" s="13">
        <f>Raw_Data!B75</f>
        <v>45751</v>
      </c>
      <c r="C75" t="str">
        <f>Raw_Data!C75</f>
        <v>C1103</v>
      </c>
      <c r="D75" t="str">
        <f>Raw_Data!D75</f>
        <v>client67@example.com</v>
      </c>
      <c r="E75" t="str">
        <f>Raw_Data!E75</f>
        <v>P1006</v>
      </c>
      <c r="F75" t="str">
        <f>Raw_Data!F75</f>
        <v>27-inch Monitor</v>
      </c>
      <c r="G75" t="str">
        <f>Raw_Data!G75</f>
        <v>Electronics</v>
      </c>
      <c r="H75" t="str">
        <f>Raw_Data!H75</f>
        <v>South</v>
      </c>
      <c r="I75" t="str">
        <f>Raw_Data!I75</f>
        <v>Store</v>
      </c>
      <c r="J75" t="str">
        <f>Raw_Data!J75</f>
        <v>Ioana Pavel</v>
      </c>
      <c r="K75">
        <f>Raw_Data!K75</f>
        <v>8</v>
      </c>
      <c r="L75" s="12">
        <f>Raw_Data!L75</f>
        <v>1090</v>
      </c>
      <c r="M75" s="12">
        <f>Raw_Data!M75</f>
        <v>790</v>
      </c>
      <c r="N75" s="14">
        <f>Raw_Data!N75</f>
        <v>0</v>
      </c>
      <c r="O75" t="str">
        <f>Raw_Data!O75</f>
        <v>Cash</v>
      </c>
      <c r="P75" t="str">
        <f>Raw_Data!P75</f>
        <v>Completed</v>
      </c>
      <c r="Q75" s="12">
        <f t="shared" si="11"/>
        <v>8720</v>
      </c>
      <c r="R75" s="12">
        <f t="shared" si="12"/>
        <v>8720</v>
      </c>
      <c r="S75" s="12">
        <f t="shared" si="13"/>
        <v>6320</v>
      </c>
      <c r="T75" s="12">
        <f t="shared" si="14"/>
        <v>2400</v>
      </c>
      <c r="U75" s="11">
        <f t="shared" si="15"/>
        <v>0.27522935779816515</v>
      </c>
      <c r="V75" t="str">
        <f>IF(OR(A75="",COUNTIF($A$2:$A$301,A75)&gt;1,C75="",D75="",ISERROR(SEARCH("@",D75)),ISERROR(SEARCH(".",D75)),COUNTIF(Lookups!$A$2:$A$11,E75)=0,F75="",H75="",K75&lt;=0,L75&lt;0,M75&lt;0,N75&lt;0,N75&gt;0.5,COUNTIF(Lookups!$K$2:$K$4,P75)=0),"ERROR","VALID")</f>
        <v>VALID</v>
      </c>
      <c r="W75" s="2" t="str">
        <f>IF(A75="","Missing Order ID; ","")&amp;IF(COUNTIF($A$2:$A$301,A75)&gt;1,"Duplicate Order ID; ","")&amp;IF(C75="","Missing Customer ID; ","")&amp;IF(OR(D75="",ISERROR(SEARCH("@",D75)),ISERROR(SEARCH(".",D75))),"Invalid Email; ","")&amp;IF(COUNTIF(Lookups!$A$2:$A$11,E75)=0,"Unknown Product; ","")&amp;IF(F75="","Missing Product Name; ","")&amp;IF(H75="","Missing Region; ","")&amp;IF(K75&lt;=0,"Invalid Quantity; ","")&amp;IF(L75&lt;0,"Invalid Price; ","")&amp;IF(M75&lt;0,"Invalid Cost; ","")&amp;IF(OR(N75&lt;0,N75&gt;0.5),"Invalid Discount; ","")&amp;IF(COUNTIF(Lookups!$K$2:$K$4,P75)=0,"Invalid Status; ","")</f>
        <v/>
      </c>
      <c r="X75" s="15" t="str">
        <f t="shared" si="16"/>
        <v>2025-04</v>
      </c>
      <c r="Y75" t="str">
        <f t="shared" si="17"/>
        <v>Q2</v>
      </c>
      <c r="Z75" t="str">
        <f>IF(R75&gt;=Settings!$B$9,"High Value Customer",IF(R75&gt;=Settings!$B$10,"Medium Value Customer","Standard Customer"))</f>
        <v>High Value Customer</v>
      </c>
      <c r="AA75" t="str">
        <f>IF(R75&gt;=Settings!$B$9,"Large Order",IF(R75&gt;=Settings!$B$10,"Medium Order","Small Order"))</f>
        <v>Large Order</v>
      </c>
      <c r="AB75" t="str">
        <f>IF(N75=0,"No Discount",IF(N75&lt;=0.1,"Low Discount",IF(N75&lt;=Settings!$B$8,"Medium Discount","High Discount")))</f>
        <v>No Discount</v>
      </c>
      <c r="AC75" t="str">
        <f t="shared" si="18"/>
        <v>Profitable</v>
      </c>
      <c r="AD75" t="str">
        <f>IFERROR(VLOOKUP(E75,Lookups!$A$2:$E$11,2,FALSE),"Product Not Found")</f>
        <v>27-inch Monitor</v>
      </c>
      <c r="AE75" t="str">
        <f>IFERROR(VLOOKUP(E75,Lookups!$A$2:$E$11,3,FALSE),"Category Not Found")</f>
        <v>Electronics</v>
      </c>
      <c r="AF75" t="str">
        <f>IFERROR(IF(L75=VLOOKUP(E75,Lookups!$A$2:$E$11,4,FALSE),"Price OK","Price Mismatch"),"Product Missing")</f>
        <v>Price OK</v>
      </c>
      <c r="AG75" t="str">
        <f t="shared" si="19"/>
        <v>Valid Email</v>
      </c>
      <c r="AH75" t="str">
        <f t="shared" si="20"/>
        <v>READY FOR REPORTING</v>
      </c>
      <c r="AI75" t="str">
        <f>IF(AND(LEFT(A75,LEN(Settings!$B$13))=Settings!$B$13,LEN(A75)=9),"Valid Format","Invalid Format")</f>
        <v>Valid Format</v>
      </c>
      <c r="AJ75" t="str">
        <f>IF(LEFT(C75,LEN(Settings!$B$14))=Settings!$B$14,"Valid Format","Invalid Format")</f>
        <v>Valid Format</v>
      </c>
      <c r="AK75" t="str">
        <f>IF(COUNTIF(Master_Data!$G$5:$G$14,C75)=1,"Known Customer","Customer Not in Master")</f>
        <v>Customer Not in Master</v>
      </c>
      <c r="AL75" t="str">
        <f>IF(U75&gt;=Settings!$B$11,"Target Met","Below Target")</f>
        <v>Target Met</v>
      </c>
      <c r="AM75" t="str">
        <f>IF(YEAR(B75)=Settings!$B$5,"Correct Year","Wrong Year")</f>
        <v>Correct Year</v>
      </c>
      <c r="AN75">
        <f t="shared" si="21"/>
        <v>4</v>
      </c>
    </row>
    <row r="76" spans="1:40">
      <c r="A76" t="str">
        <f>Raw_Data!A76</f>
        <v>ORD-10075</v>
      </c>
      <c r="B76" s="13">
        <f>Raw_Data!B76</f>
        <v>45663</v>
      </c>
      <c r="C76" t="str">
        <f>Raw_Data!C76</f>
        <v>C1031</v>
      </c>
      <c r="D76" t="str">
        <f>Raw_Data!D76</f>
        <v>client105@example.com</v>
      </c>
      <c r="E76" t="str">
        <f>Raw_Data!E76</f>
        <v>P1009</v>
      </c>
      <c r="F76" t="str">
        <f>Raw_Data!F76</f>
        <v>Webcam</v>
      </c>
      <c r="G76" t="str">
        <f>Raw_Data!G76</f>
        <v>Electronics</v>
      </c>
      <c r="H76" t="str">
        <f>Raw_Data!H76</f>
        <v>East</v>
      </c>
      <c r="I76" t="str">
        <f>Raw_Data!I76</f>
        <v>Marketplace</v>
      </c>
      <c r="J76" t="str">
        <f>Raw_Data!J76</f>
        <v>Maria Ionescu</v>
      </c>
      <c r="K76">
        <f>Raw_Data!K76</f>
        <v>9</v>
      </c>
      <c r="L76" s="12">
        <f>Raw_Data!L76</f>
        <v>230</v>
      </c>
      <c r="M76" s="12">
        <f>Raw_Data!M76</f>
        <v>132</v>
      </c>
      <c r="N76" s="14">
        <f>Raw_Data!N76</f>
        <v>0</v>
      </c>
      <c r="O76" t="str">
        <f>Raw_Data!O76</f>
        <v>Online Wallet</v>
      </c>
      <c r="P76" t="str">
        <f>Raw_Data!P76</f>
        <v>Completed</v>
      </c>
      <c r="Q76" s="12">
        <f t="shared" si="11"/>
        <v>2070</v>
      </c>
      <c r="R76" s="12">
        <f t="shared" si="12"/>
        <v>2070</v>
      </c>
      <c r="S76" s="12">
        <f t="shared" si="13"/>
        <v>1188</v>
      </c>
      <c r="T76" s="12">
        <f t="shared" si="14"/>
        <v>882</v>
      </c>
      <c r="U76" s="11">
        <f t="shared" si="15"/>
        <v>0.42608695652173911</v>
      </c>
      <c r="V76" t="str">
        <f>IF(OR(A76="",COUNTIF($A$2:$A$301,A76)&gt;1,C76="",D76="",ISERROR(SEARCH("@",D76)),ISERROR(SEARCH(".",D76)),COUNTIF(Lookups!$A$2:$A$11,E76)=0,F76="",H76="",K76&lt;=0,L76&lt;0,M76&lt;0,N76&lt;0,N76&gt;0.5,COUNTIF(Lookups!$K$2:$K$4,P76)=0),"ERROR","VALID")</f>
        <v>VALID</v>
      </c>
      <c r="W76" s="2" t="str">
        <f>IF(A76="","Missing Order ID; ","")&amp;IF(COUNTIF($A$2:$A$301,A76)&gt;1,"Duplicate Order ID; ","")&amp;IF(C76="","Missing Customer ID; ","")&amp;IF(OR(D76="",ISERROR(SEARCH("@",D76)),ISERROR(SEARCH(".",D76))),"Invalid Email; ","")&amp;IF(COUNTIF(Lookups!$A$2:$A$11,E76)=0,"Unknown Product; ","")&amp;IF(F76="","Missing Product Name; ","")&amp;IF(H76="","Missing Region; ","")&amp;IF(K76&lt;=0,"Invalid Quantity; ","")&amp;IF(L76&lt;0,"Invalid Price; ","")&amp;IF(M76&lt;0,"Invalid Cost; ","")&amp;IF(OR(N76&lt;0,N76&gt;0.5),"Invalid Discount; ","")&amp;IF(COUNTIF(Lookups!$K$2:$K$4,P76)=0,"Invalid Status; ","")</f>
        <v/>
      </c>
      <c r="X76" s="15" t="str">
        <f t="shared" si="16"/>
        <v>2025-01</v>
      </c>
      <c r="Y76" t="str">
        <f t="shared" si="17"/>
        <v>Q1</v>
      </c>
      <c r="Z76" t="str">
        <f>IF(R76&gt;=Settings!$B$9,"High Value Customer",IF(R76&gt;=Settings!$B$10,"Medium Value Customer","Standard Customer"))</f>
        <v>Medium Value Customer</v>
      </c>
      <c r="AA76" t="str">
        <f>IF(R76&gt;=Settings!$B$9,"Large Order",IF(R76&gt;=Settings!$B$10,"Medium Order","Small Order"))</f>
        <v>Medium Order</v>
      </c>
      <c r="AB76" t="str">
        <f>IF(N76=0,"No Discount",IF(N76&lt;=0.1,"Low Discount",IF(N76&lt;=Settings!$B$8,"Medium Discount","High Discount")))</f>
        <v>No Discount</v>
      </c>
      <c r="AC76" t="str">
        <f t="shared" si="18"/>
        <v>Profitable</v>
      </c>
      <c r="AD76" t="str">
        <f>IFERROR(VLOOKUP(E76,Lookups!$A$2:$E$11,2,FALSE),"Product Not Found")</f>
        <v>Webcam</v>
      </c>
      <c r="AE76" t="str">
        <f>IFERROR(VLOOKUP(E76,Lookups!$A$2:$E$11,3,FALSE),"Category Not Found")</f>
        <v>Electronics</v>
      </c>
      <c r="AF76" t="str">
        <f>IFERROR(IF(L76=VLOOKUP(E76,Lookups!$A$2:$E$11,4,FALSE),"Price OK","Price Mismatch"),"Product Missing")</f>
        <v>Price OK</v>
      </c>
      <c r="AG76" t="str">
        <f t="shared" si="19"/>
        <v>Valid Email</v>
      </c>
      <c r="AH76" t="str">
        <f t="shared" si="20"/>
        <v>READY FOR REPORTING</v>
      </c>
      <c r="AI76" t="str">
        <f>IF(AND(LEFT(A76,LEN(Settings!$B$13))=Settings!$B$13,LEN(A76)=9),"Valid Format","Invalid Format")</f>
        <v>Valid Format</v>
      </c>
      <c r="AJ76" t="str">
        <f>IF(LEFT(C76,LEN(Settings!$B$14))=Settings!$B$14,"Valid Format","Invalid Format")</f>
        <v>Valid Format</v>
      </c>
      <c r="AK76" t="str">
        <f>IF(COUNTIF(Master_Data!$G$5:$G$14,C76)=1,"Known Customer","Customer Not in Master")</f>
        <v>Customer Not in Master</v>
      </c>
      <c r="AL76" t="str">
        <f>IF(U76&gt;=Settings!$B$11,"Target Met","Below Target")</f>
        <v>Target Met</v>
      </c>
      <c r="AM76" t="str">
        <f>IF(YEAR(B76)=Settings!$B$5,"Correct Year","Wrong Year")</f>
        <v>Correct Year</v>
      </c>
      <c r="AN76">
        <f t="shared" si="21"/>
        <v>4</v>
      </c>
    </row>
    <row r="77" spans="1:40">
      <c r="A77" t="str">
        <f>Raw_Data!A77</f>
        <v>ORD-10076</v>
      </c>
      <c r="B77" s="13">
        <f>Raw_Data!B77</f>
        <v>45887</v>
      </c>
      <c r="C77" t="str">
        <f>Raw_Data!C77</f>
        <v>C1029</v>
      </c>
      <c r="D77" t="str">
        <f>Raw_Data!D77</f>
        <v>client104@example.com</v>
      </c>
      <c r="E77" t="str">
        <f>Raw_Data!E77</f>
        <v>P1008</v>
      </c>
      <c r="F77" t="str">
        <f>Raw_Data!F77</f>
        <v>Standing Desk</v>
      </c>
      <c r="G77" t="str">
        <f>Raw_Data!G77</f>
        <v>Furniture</v>
      </c>
      <c r="H77" t="str">
        <f>Raw_Data!H77</f>
        <v>North</v>
      </c>
      <c r="I77" t="str">
        <f>Raw_Data!I77</f>
        <v>Store</v>
      </c>
      <c r="J77" t="str">
        <f>Raw_Data!J77</f>
        <v>Ioana Pavel</v>
      </c>
      <c r="K77">
        <f>Raw_Data!K77</f>
        <v>1</v>
      </c>
      <c r="L77" s="12">
        <f>Raw_Data!L77</f>
        <v>1450</v>
      </c>
      <c r="M77" s="12">
        <f>Raw_Data!M77</f>
        <v>1030</v>
      </c>
      <c r="N77" s="14">
        <f>Raw_Data!N77</f>
        <v>0</v>
      </c>
      <c r="O77" t="str">
        <f>Raw_Data!O77</f>
        <v>Cash</v>
      </c>
      <c r="P77" t="str">
        <f>Raw_Data!P77</f>
        <v>Completed</v>
      </c>
      <c r="Q77" s="12">
        <f t="shared" si="11"/>
        <v>1450</v>
      </c>
      <c r="R77" s="12">
        <f t="shared" si="12"/>
        <v>1450</v>
      </c>
      <c r="S77" s="12">
        <f t="shared" si="13"/>
        <v>1030</v>
      </c>
      <c r="T77" s="12">
        <f t="shared" si="14"/>
        <v>420</v>
      </c>
      <c r="U77" s="11">
        <f t="shared" si="15"/>
        <v>0.28965517241379313</v>
      </c>
      <c r="V77" t="str">
        <f>IF(OR(A77="",COUNTIF($A$2:$A$301,A77)&gt;1,C77="",D77="",ISERROR(SEARCH("@",D77)),ISERROR(SEARCH(".",D77)),COUNTIF(Lookups!$A$2:$A$11,E77)=0,F77="",H77="",K77&lt;=0,L77&lt;0,M77&lt;0,N77&lt;0,N77&gt;0.5,COUNTIF(Lookups!$K$2:$K$4,P77)=0),"ERROR","VALID")</f>
        <v>VALID</v>
      </c>
      <c r="W77" s="2" t="str">
        <f>IF(A77="","Missing Order ID; ","")&amp;IF(COUNTIF($A$2:$A$301,A77)&gt;1,"Duplicate Order ID; ","")&amp;IF(C77="","Missing Customer ID; ","")&amp;IF(OR(D77="",ISERROR(SEARCH("@",D77)),ISERROR(SEARCH(".",D77))),"Invalid Email; ","")&amp;IF(COUNTIF(Lookups!$A$2:$A$11,E77)=0,"Unknown Product; ","")&amp;IF(F77="","Missing Product Name; ","")&amp;IF(H77="","Missing Region; ","")&amp;IF(K77&lt;=0,"Invalid Quantity; ","")&amp;IF(L77&lt;0,"Invalid Price; ","")&amp;IF(M77&lt;0,"Invalid Cost; ","")&amp;IF(OR(N77&lt;0,N77&gt;0.5),"Invalid Discount; ","")&amp;IF(COUNTIF(Lookups!$K$2:$K$4,P77)=0,"Invalid Status; ","")</f>
        <v/>
      </c>
      <c r="X77" s="15" t="str">
        <f t="shared" si="16"/>
        <v>2025-08</v>
      </c>
      <c r="Y77" t="str">
        <f t="shared" si="17"/>
        <v>Q3</v>
      </c>
      <c r="Z77" t="str">
        <f>IF(R77&gt;=Settings!$B$9,"High Value Customer",IF(R77&gt;=Settings!$B$10,"Medium Value Customer","Standard Customer"))</f>
        <v>Standard Customer</v>
      </c>
      <c r="AA77" t="str">
        <f>IF(R77&gt;=Settings!$B$9,"Large Order",IF(R77&gt;=Settings!$B$10,"Medium Order","Small Order"))</f>
        <v>Small Order</v>
      </c>
      <c r="AB77" t="str">
        <f>IF(N77=0,"No Discount",IF(N77&lt;=0.1,"Low Discount",IF(N77&lt;=Settings!$B$8,"Medium Discount","High Discount")))</f>
        <v>No Discount</v>
      </c>
      <c r="AC77" t="str">
        <f t="shared" si="18"/>
        <v>Profitable</v>
      </c>
      <c r="AD77" t="str">
        <f>IFERROR(VLOOKUP(E77,Lookups!$A$2:$E$11,2,FALSE),"Product Not Found")</f>
        <v>Standing Desk</v>
      </c>
      <c r="AE77" t="str">
        <f>IFERROR(VLOOKUP(E77,Lookups!$A$2:$E$11,3,FALSE),"Category Not Found")</f>
        <v>Furniture</v>
      </c>
      <c r="AF77" t="str">
        <f>IFERROR(IF(L77=VLOOKUP(E77,Lookups!$A$2:$E$11,4,FALSE),"Price OK","Price Mismatch"),"Product Missing")</f>
        <v>Price OK</v>
      </c>
      <c r="AG77" t="str">
        <f t="shared" si="19"/>
        <v>Valid Email</v>
      </c>
      <c r="AH77" t="str">
        <f t="shared" si="20"/>
        <v>READY FOR REPORTING</v>
      </c>
      <c r="AI77" t="str">
        <f>IF(AND(LEFT(A77,LEN(Settings!$B$13))=Settings!$B$13,LEN(A77)=9),"Valid Format","Invalid Format")</f>
        <v>Valid Format</v>
      </c>
      <c r="AJ77" t="str">
        <f>IF(LEFT(C77,LEN(Settings!$B$14))=Settings!$B$14,"Valid Format","Invalid Format")</f>
        <v>Valid Format</v>
      </c>
      <c r="AK77" t="str">
        <f>IF(COUNTIF(Master_Data!$G$5:$G$14,C77)=1,"Known Customer","Customer Not in Master")</f>
        <v>Customer Not in Master</v>
      </c>
      <c r="AL77" t="str">
        <f>IF(U77&gt;=Settings!$B$11,"Target Met","Below Target")</f>
        <v>Target Met</v>
      </c>
      <c r="AM77" t="str">
        <f>IF(YEAR(B77)=Settings!$B$5,"Correct Year","Wrong Year")</f>
        <v>Correct Year</v>
      </c>
      <c r="AN77">
        <f t="shared" si="21"/>
        <v>4</v>
      </c>
    </row>
    <row r="78" spans="1:40">
      <c r="A78" t="str">
        <f>Raw_Data!A78</f>
        <v>ORD-10077</v>
      </c>
      <c r="B78" s="13">
        <f>Raw_Data!B78</f>
        <v>45941</v>
      </c>
      <c r="C78" t="str">
        <f>Raw_Data!C78</f>
        <v>C1096</v>
      </c>
      <c r="D78" t="str">
        <f>Raw_Data!D78</f>
        <v>client141@example.com</v>
      </c>
      <c r="E78" t="str">
        <f>Raw_Data!E78</f>
        <v>P1008</v>
      </c>
      <c r="F78" t="str">
        <f>Raw_Data!F78</f>
        <v>Standing Desk</v>
      </c>
      <c r="G78" t="str">
        <f>Raw_Data!G78</f>
        <v>Furniture</v>
      </c>
      <c r="H78" t="str">
        <f>Raw_Data!H78</f>
        <v>South</v>
      </c>
      <c r="I78" t="str">
        <f>Raw_Data!I78</f>
        <v>Store</v>
      </c>
      <c r="J78" t="str">
        <f>Raw_Data!J78</f>
        <v>Mihai Radu</v>
      </c>
      <c r="K78">
        <f>Raw_Data!K78</f>
        <v>9</v>
      </c>
      <c r="L78" s="12">
        <f>Raw_Data!L78</f>
        <v>1450</v>
      </c>
      <c r="M78" s="12">
        <f>Raw_Data!M78</f>
        <v>1030</v>
      </c>
      <c r="N78" s="14">
        <f>Raw_Data!N78</f>
        <v>0.05</v>
      </c>
      <c r="O78" t="str">
        <f>Raw_Data!O78</f>
        <v>Cash</v>
      </c>
      <c r="P78" t="str">
        <f>Raw_Data!P78</f>
        <v>Completed</v>
      </c>
      <c r="Q78" s="12">
        <f t="shared" si="11"/>
        <v>13050</v>
      </c>
      <c r="R78" s="12">
        <f t="shared" si="12"/>
        <v>12397.5</v>
      </c>
      <c r="S78" s="12">
        <f t="shared" si="13"/>
        <v>9270</v>
      </c>
      <c r="T78" s="12">
        <f t="shared" si="14"/>
        <v>3127.5</v>
      </c>
      <c r="U78" s="11">
        <f t="shared" si="15"/>
        <v>0.25226860254083483</v>
      </c>
      <c r="V78" t="str">
        <f>IF(OR(A78="",COUNTIF($A$2:$A$301,A78)&gt;1,C78="",D78="",ISERROR(SEARCH("@",D78)),ISERROR(SEARCH(".",D78)),COUNTIF(Lookups!$A$2:$A$11,E78)=0,F78="",H78="",K78&lt;=0,L78&lt;0,M78&lt;0,N78&lt;0,N78&gt;0.5,COUNTIF(Lookups!$K$2:$K$4,P78)=0),"ERROR","VALID")</f>
        <v>VALID</v>
      </c>
      <c r="W78" s="2" t="str">
        <f>IF(A78="","Missing Order ID; ","")&amp;IF(COUNTIF($A$2:$A$301,A78)&gt;1,"Duplicate Order ID; ","")&amp;IF(C78="","Missing Customer ID; ","")&amp;IF(OR(D78="",ISERROR(SEARCH("@",D78)),ISERROR(SEARCH(".",D78))),"Invalid Email; ","")&amp;IF(COUNTIF(Lookups!$A$2:$A$11,E78)=0,"Unknown Product; ","")&amp;IF(F78="","Missing Product Name; ","")&amp;IF(H78="","Missing Region; ","")&amp;IF(K78&lt;=0,"Invalid Quantity; ","")&amp;IF(L78&lt;0,"Invalid Price; ","")&amp;IF(M78&lt;0,"Invalid Cost; ","")&amp;IF(OR(N78&lt;0,N78&gt;0.5),"Invalid Discount; ","")&amp;IF(COUNTIF(Lookups!$K$2:$K$4,P78)=0,"Invalid Status; ","")</f>
        <v/>
      </c>
      <c r="X78" s="15" t="str">
        <f t="shared" si="16"/>
        <v>2025-10</v>
      </c>
      <c r="Y78" t="str">
        <f t="shared" si="17"/>
        <v>Q4</v>
      </c>
      <c r="Z78" t="str">
        <f>IF(R78&gt;=Settings!$B$9,"High Value Customer",IF(R78&gt;=Settings!$B$10,"Medium Value Customer","Standard Customer"))</f>
        <v>High Value Customer</v>
      </c>
      <c r="AA78" t="str">
        <f>IF(R78&gt;=Settings!$B$9,"Large Order",IF(R78&gt;=Settings!$B$10,"Medium Order","Small Order"))</f>
        <v>Large Order</v>
      </c>
      <c r="AB78" t="str">
        <f>IF(N78=0,"No Discount",IF(N78&lt;=0.1,"Low Discount",IF(N78&lt;=Settings!$B$8,"Medium Discount","High Discount")))</f>
        <v>Low Discount</v>
      </c>
      <c r="AC78" t="str">
        <f t="shared" si="18"/>
        <v>Profitable</v>
      </c>
      <c r="AD78" t="str">
        <f>IFERROR(VLOOKUP(E78,Lookups!$A$2:$E$11,2,FALSE),"Product Not Found")</f>
        <v>Standing Desk</v>
      </c>
      <c r="AE78" t="str">
        <f>IFERROR(VLOOKUP(E78,Lookups!$A$2:$E$11,3,FALSE),"Category Not Found")</f>
        <v>Furniture</v>
      </c>
      <c r="AF78" t="str">
        <f>IFERROR(IF(L78=VLOOKUP(E78,Lookups!$A$2:$E$11,4,FALSE),"Price OK","Price Mismatch"),"Product Missing")</f>
        <v>Price OK</v>
      </c>
      <c r="AG78" t="str">
        <f t="shared" si="19"/>
        <v>Valid Email</v>
      </c>
      <c r="AH78" t="str">
        <f t="shared" si="20"/>
        <v>READY FOR REPORTING</v>
      </c>
      <c r="AI78" t="str">
        <f>IF(AND(LEFT(A78,LEN(Settings!$B$13))=Settings!$B$13,LEN(A78)=9),"Valid Format","Invalid Format")</f>
        <v>Valid Format</v>
      </c>
      <c r="AJ78" t="str">
        <f>IF(LEFT(C78,LEN(Settings!$B$14))=Settings!$B$14,"Valid Format","Invalid Format")</f>
        <v>Valid Format</v>
      </c>
      <c r="AK78" t="str">
        <f>IF(COUNTIF(Master_Data!$G$5:$G$14,C78)=1,"Known Customer","Customer Not in Master")</f>
        <v>Customer Not in Master</v>
      </c>
      <c r="AL78" t="str">
        <f>IF(U78&gt;=Settings!$B$11,"Target Met","Below Target")</f>
        <v>Target Met</v>
      </c>
      <c r="AM78" t="str">
        <f>IF(YEAR(B78)=Settings!$B$5,"Correct Year","Wrong Year")</f>
        <v>Correct Year</v>
      </c>
      <c r="AN78">
        <f t="shared" si="21"/>
        <v>4</v>
      </c>
    </row>
    <row r="79" spans="1:40">
      <c r="A79" t="str">
        <f>Raw_Data!A79</f>
        <v>ORD-10078</v>
      </c>
      <c r="B79" s="13">
        <f>Raw_Data!B79</f>
        <v>45786</v>
      </c>
      <c r="C79" t="str">
        <f>Raw_Data!C79</f>
        <v>C1025</v>
      </c>
      <c r="D79" t="str">
        <f>Raw_Data!D79</f>
        <v>client81@example.com</v>
      </c>
      <c r="E79" t="str">
        <f>Raw_Data!E79</f>
        <v>P1005</v>
      </c>
      <c r="F79" t="str">
        <f>Raw_Data!F79</f>
        <v>24-inch Monitor</v>
      </c>
      <c r="G79" t="str">
        <f>Raw_Data!G79</f>
        <v>Electronics</v>
      </c>
      <c r="H79" t="str">
        <f>Raw_Data!H79</f>
        <v>Bucharest</v>
      </c>
      <c r="I79" t="str">
        <f>Raw_Data!I79</f>
        <v>Marketplace</v>
      </c>
      <c r="J79" t="str">
        <f>Raw_Data!J79</f>
        <v>Ioana Pavel</v>
      </c>
      <c r="K79">
        <f>Raw_Data!K79</f>
        <v>4</v>
      </c>
      <c r="L79" s="12">
        <f>Raw_Data!L79</f>
        <v>720</v>
      </c>
      <c r="M79" s="12">
        <f>Raw_Data!M79</f>
        <v>510</v>
      </c>
      <c r="N79" s="14">
        <f>Raw_Data!N79</f>
        <v>0</v>
      </c>
      <c r="O79" t="str">
        <f>Raw_Data!O79</f>
        <v>Bank Transfer</v>
      </c>
      <c r="P79" t="str">
        <f>Raw_Data!P79</f>
        <v>Cancelled</v>
      </c>
      <c r="Q79" s="12">
        <f t="shared" si="11"/>
        <v>2880</v>
      </c>
      <c r="R79" s="12">
        <f t="shared" si="12"/>
        <v>2880</v>
      </c>
      <c r="S79" s="12">
        <f t="shared" si="13"/>
        <v>2040</v>
      </c>
      <c r="T79" s="12">
        <f t="shared" si="14"/>
        <v>840</v>
      </c>
      <c r="U79" s="11">
        <f t="shared" si="15"/>
        <v>0.29166666666666669</v>
      </c>
      <c r="V79" t="str">
        <f>IF(OR(A79="",COUNTIF($A$2:$A$301,A79)&gt;1,C79="",D79="",ISERROR(SEARCH("@",D79)),ISERROR(SEARCH(".",D79)),COUNTIF(Lookups!$A$2:$A$11,E79)=0,F79="",H79="",K79&lt;=0,L79&lt;0,M79&lt;0,N79&lt;0,N79&gt;0.5,COUNTIF(Lookups!$K$2:$K$4,P79)=0),"ERROR","VALID")</f>
        <v>VALID</v>
      </c>
      <c r="W79" s="2" t="str">
        <f>IF(A79="","Missing Order ID; ","")&amp;IF(COUNTIF($A$2:$A$301,A79)&gt;1,"Duplicate Order ID; ","")&amp;IF(C79="","Missing Customer ID; ","")&amp;IF(OR(D79="",ISERROR(SEARCH("@",D79)),ISERROR(SEARCH(".",D79))),"Invalid Email; ","")&amp;IF(COUNTIF(Lookups!$A$2:$A$11,E79)=0,"Unknown Product; ","")&amp;IF(F79="","Missing Product Name; ","")&amp;IF(H79="","Missing Region; ","")&amp;IF(K79&lt;=0,"Invalid Quantity; ","")&amp;IF(L79&lt;0,"Invalid Price; ","")&amp;IF(M79&lt;0,"Invalid Cost; ","")&amp;IF(OR(N79&lt;0,N79&gt;0.5),"Invalid Discount; ","")&amp;IF(COUNTIF(Lookups!$K$2:$K$4,P79)=0,"Invalid Status; ","")</f>
        <v/>
      </c>
      <c r="X79" s="15" t="str">
        <f t="shared" si="16"/>
        <v>2025-05</v>
      </c>
      <c r="Y79" t="str">
        <f t="shared" si="17"/>
        <v>Q2</v>
      </c>
      <c r="Z79" t="str">
        <f>IF(R79&gt;=Settings!$B$9,"High Value Customer",IF(R79&gt;=Settings!$B$10,"Medium Value Customer","Standard Customer"))</f>
        <v>Medium Value Customer</v>
      </c>
      <c r="AA79" t="str">
        <f>IF(R79&gt;=Settings!$B$9,"Large Order",IF(R79&gt;=Settings!$B$10,"Medium Order","Small Order"))</f>
        <v>Medium Order</v>
      </c>
      <c r="AB79" t="str">
        <f>IF(N79=0,"No Discount",IF(N79&lt;=0.1,"Low Discount",IF(N79&lt;=Settings!$B$8,"Medium Discount","High Discount")))</f>
        <v>No Discount</v>
      </c>
      <c r="AC79" t="str">
        <f t="shared" si="18"/>
        <v>Profitable</v>
      </c>
      <c r="AD79" t="str">
        <f>IFERROR(VLOOKUP(E79,Lookups!$A$2:$E$11,2,FALSE),"Product Not Found")</f>
        <v>24-inch Monitor</v>
      </c>
      <c r="AE79" t="str">
        <f>IFERROR(VLOOKUP(E79,Lookups!$A$2:$E$11,3,FALSE),"Category Not Found")</f>
        <v>Electronics</v>
      </c>
      <c r="AF79" t="str">
        <f>IFERROR(IF(L79=VLOOKUP(E79,Lookups!$A$2:$E$11,4,FALSE),"Price OK","Price Mismatch"),"Product Missing")</f>
        <v>Price OK</v>
      </c>
      <c r="AG79" t="str">
        <f t="shared" si="19"/>
        <v>Valid Email</v>
      </c>
      <c r="AH79" t="str">
        <f t="shared" si="20"/>
        <v>READY FOR REPORTING</v>
      </c>
      <c r="AI79" t="str">
        <f>IF(AND(LEFT(A79,LEN(Settings!$B$13))=Settings!$B$13,LEN(A79)=9),"Valid Format","Invalid Format")</f>
        <v>Valid Format</v>
      </c>
      <c r="AJ79" t="str">
        <f>IF(LEFT(C79,LEN(Settings!$B$14))=Settings!$B$14,"Valid Format","Invalid Format")</f>
        <v>Valid Format</v>
      </c>
      <c r="AK79" t="str">
        <f>IF(COUNTIF(Master_Data!$G$5:$G$14,C79)=1,"Known Customer","Customer Not in Master")</f>
        <v>Customer Not in Master</v>
      </c>
      <c r="AL79" t="str">
        <f>IF(U79&gt;=Settings!$B$11,"Target Met","Below Target")</f>
        <v>Target Met</v>
      </c>
      <c r="AM79" t="str">
        <f>IF(YEAR(B79)=Settings!$B$5,"Correct Year","Wrong Year")</f>
        <v>Correct Year</v>
      </c>
      <c r="AN79">
        <f t="shared" si="21"/>
        <v>4</v>
      </c>
    </row>
    <row r="80" spans="1:40">
      <c r="A80" t="str">
        <f>Raw_Data!A80</f>
        <v>ORD-10079</v>
      </c>
      <c r="B80" s="13">
        <f>Raw_Data!B80</f>
        <v>45768</v>
      </c>
      <c r="C80" t="str">
        <f>Raw_Data!C80</f>
        <v>C1093</v>
      </c>
      <c r="D80" t="str">
        <f>Raw_Data!D80</f>
        <v>client151@example.com</v>
      </c>
      <c r="E80" t="str">
        <f>Raw_Data!E80</f>
        <v>P1004</v>
      </c>
      <c r="F80" t="str">
        <f>Raw_Data!F80</f>
        <v>USB-C Hub</v>
      </c>
      <c r="G80" t="str">
        <f>Raw_Data!G80</f>
        <v>Accessories</v>
      </c>
      <c r="H80" t="str">
        <f>Raw_Data!H80</f>
        <v>West</v>
      </c>
      <c r="I80" t="str">
        <f>Raw_Data!I80</f>
        <v>Marketplace</v>
      </c>
      <c r="J80" t="str">
        <f>Raw_Data!J80</f>
        <v>Elena Stan</v>
      </c>
      <c r="K80">
        <f>Raw_Data!K80</f>
        <v>12</v>
      </c>
      <c r="L80" s="12">
        <f>Raw_Data!L80</f>
        <v>175</v>
      </c>
      <c r="M80" s="12">
        <f>Raw_Data!M80</f>
        <v>98</v>
      </c>
      <c r="N80" s="14">
        <f>Raw_Data!N80</f>
        <v>0.1</v>
      </c>
      <c r="O80" t="str">
        <f>Raw_Data!O80</f>
        <v>Card</v>
      </c>
      <c r="P80" t="str">
        <f>Raw_Data!P80</f>
        <v>Completed</v>
      </c>
      <c r="Q80" s="12">
        <f t="shared" si="11"/>
        <v>2100</v>
      </c>
      <c r="R80" s="12">
        <f t="shared" si="12"/>
        <v>1890</v>
      </c>
      <c r="S80" s="12">
        <f t="shared" si="13"/>
        <v>1176</v>
      </c>
      <c r="T80" s="12">
        <f t="shared" si="14"/>
        <v>714</v>
      </c>
      <c r="U80" s="11">
        <f t="shared" si="15"/>
        <v>0.37777777777777777</v>
      </c>
      <c r="V80" t="str">
        <f>IF(OR(A80="",COUNTIF($A$2:$A$301,A80)&gt;1,C80="",D80="",ISERROR(SEARCH("@",D80)),ISERROR(SEARCH(".",D80)),COUNTIF(Lookups!$A$2:$A$11,E80)=0,F80="",H80="",K80&lt;=0,L80&lt;0,M80&lt;0,N80&lt;0,N80&gt;0.5,COUNTIF(Lookups!$K$2:$K$4,P80)=0),"ERROR","VALID")</f>
        <v>VALID</v>
      </c>
      <c r="W80" s="2" t="str">
        <f>IF(A80="","Missing Order ID; ","")&amp;IF(COUNTIF($A$2:$A$301,A80)&gt;1,"Duplicate Order ID; ","")&amp;IF(C80="","Missing Customer ID; ","")&amp;IF(OR(D80="",ISERROR(SEARCH("@",D80)),ISERROR(SEARCH(".",D80))),"Invalid Email; ","")&amp;IF(COUNTIF(Lookups!$A$2:$A$11,E80)=0,"Unknown Product; ","")&amp;IF(F80="","Missing Product Name; ","")&amp;IF(H80="","Missing Region; ","")&amp;IF(K80&lt;=0,"Invalid Quantity; ","")&amp;IF(L80&lt;0,"Invalid Price; ","")&amp;IF(M80&lt;0,"Invalid Cost; ","")&amp;IF(OR(N80&lt;0,N80&gt;0.5),"Invalid Discount; ","")&amp;IF(COUNTIF(Lookups!$K$2:$K$4,P80)=0,"Invalid Status; ","")</f>
        <v/>
      </c>
      <c r="X80" s="15" t="str">
        <f t="shared" si="16"/>
        <v>2025-04</v>
      </c>
      <c r="Y80" t="str">
        <f t="shared" si="17"/>
        <v>Q2</v>
      </c>
      <c r="Z80" t="str">
        <f>IF(R80&gt;=Settings!$B$9,"High Value Customer",IF(R80&gt;=Settings!$B$10,"Medium Value Customer","Standard Customer"))</f>
        <v>Standard Customer</v>
      </c>
      <c r="AA80" t="str">
        <f>IF(R80&gt;=Settings!$B$9,"Large Order",IF(R80&gt;=Settings!$B$10,"Medium Order","Small Order"))</f>
        <v>Small Order</v>
      </c>
      <c r="AB80" t="str">
        <f>IF(N80=0,"No Discount",IF(N80&lt;=0.1,"Low Discount",IF(N80&lt;=Settings!$B$8,"Medium Discount","High Discount")))</f>
        <v>Low Discount</v>
      </c>
      <c r="AC80" t="str">
        <f t="shared" si="18"/>
        <v>Profitable</v>
      </c>
      <c r="AD80" t="str">
        <f>IFERROR(VLOOKUP(E80,Lookups!$A$2:$E$11,2,FALSE),"Product Not Found")</f>
        <v>USB-C Hub</v>
      </c>
      <c r="AE80" t="str">
        <f>IFERROR(VLOOKUP(E80,Lookups!$A$2:$E$11,3,FALSE),"Category Not Found")</f>
        <v>Accessories</v>
      </c>
      <c r="AF80" t="str">
        <f>IFERROR(IF(L80=VLOOKUP(E80,Lookups!$A$2:$E$11,4,FALSE),"Price OK","Price Mismatch"),"Product Missing")</f>
        <v>Price OK</v>
      </c>
      <c r="AG80" t="str">
        <f t="shared" si="19"/>
        <v>Valid Email</v>
      </c>
      <c r="AH80" t="str">
        <f t="shared" si="20"/>
        <v>READY FOR REPORTING</v>
      </c>
      <c r="AI80" t="str">
        <f>IF(AND(LEFT(A80,LEN(Settings!$B$13))=Settings!$B$13,LEN(A80)=9),"Valid Format","Invalid Format")</f>
        <v>Valid Format</v>
      </c>
      <c r="AJ80" t="str">
        <f>IF(LEFT(C80,LEN(Settings!$B$14))=Settings!$B$14,"Valid Format","Invalid Format")</f>
        <v>Valid Format</v>
      </c>
      <c r="AK80" t="str">
        <f>IF(COUNTIF(Master_Data!$G$5:$G$14,C80)=1,"Known Customer","Customer Not in Master")</f>
        <v>Customer Not in Master</v>
      </c>
      <c r="AL80" t="str">
        <f>IF(U80&gt;=Settings!$B$11,"Target Met","Below Target")</f>
        <v>Target Met</v>
      </c>
      <c r="AM80" t="str">
        <f>IF(YEAR(B80)=Settings!$B$5,"Correct Year","Wrong Year")</f>
        <v>Correct Year</v>
      </c>
      <c r="AN80">
        <f t="shared" si="21"/>
        <v>4</v>
      </c>
    </row>
    <row r="81" spans="1:40">
      <c r="A81" t="str">
        <f>Raw_Data!A81</f>
        <v>ORD-10080</v>
      </c>
      <c r="B81" s="13">
        <f>Raw_Data!B81</f>
        <v>45809</v>
      </c>
      <c r="C81" t="str">
        <f>Raw_Data!C81</f>
        <v>C1039</v>
      </c>
      <c r="D81" t="str">
        <f>Raw_Data!D81</f>
        <v>client4@example.com</v>
      </c>
      <c r="E81" t="str">
        <f>Raw_Data!E81</f>
        <v>P1004</v>
      </c>
      <c r="F81" t="str">
        <f>Raw_Data!F81</f>
        <v>USB-C Hub</v>
      </c>
      <c r="G81" t="str">
        <f>Raw_Data!G81</f>
        <v>Accessories</v>
      </c>
      <c r="H81" t="str">
        <f>Raw_Data!H81</f>
        <v>West</v>
      </c>
      <c r="I81" t="str">
        <f>Raw_Data!I81</f>
        <v>Online</v>
      </c>
      <c r="J81" t="str">
        <f>Raw_Data!J81</f>
        <v>Elena Stan</v>
      </c>
      <c r="K81">
        <f>Raw_Data!K81</f>
        <v>4</v>
      </c>
      <c r="L81" s="12">
        <f>Raw_Data!L81</f>
        <v>175</v>
      </c>
      <c r="M81" s="12">
        <f>Raw_Data!M81</f>
        <v>98</v>
      </c>
      <c r="N81" s="14">
        <f>Raw_Data!N81</f>
        <v>0.05</v>
      </c>
      <c r="O81" t="str">
        <f>Raw_Data!O81</f>
        <v>Card</v>
      </c>
      <c r="P81" t="str">
        <f>Raw_Data!P81</f>
        <v>Completed</v>
      </c>
      <c r="Q81" s="12">
        <f t="shared" si="11"/>
        <v>700</v>
      </c>
      <c r="R81" s="12">
        <f t="shared" si="12"/>
        <v>665</v>
      </c>
      <c r="S81" s="12">
        <f t="shared" si="13"/>
        <v>392</v>
      </c>
      <c r="T81" s="12">
        <f t="shared" si="14"/>
        <v>273</v>
      </c>
      <c r="U81" s="11">
        <f t="shared" si="15"/>
        <v>0.41052631578947368</v>
      </c>
      <c r="V81" t="str">
        <f>IF(OR(A81="",COUNTIF($A$2:$A$301,A81)&gt;1,C81="",D81="",ISERROR(SEARCH("@",D81)),ISERROR(SEARCH(".",D81)),COUNTIF(Lookups!$A$2:$A$11,E81)=0,F81="",H81="",K81&lt;=0,L81&lt;0,M81&lt;0,N81&lt;0,N81&gt;0.5,COUNTIF(Lookups!$K$2:$K$4,P81)=0),"ERROR","VALID")</f>
        <v>VALID</v>
      </c>
      <c r="W81" s="2" t="str">
        <f>IF(A81="","Missing Order ID; ","")&amp;IF(COUNTIF($A$2:$A$301,A81)&gt;1,"Duplicate Order ID; ","")&amp;IF(C81="","Missing Customer ID; ","")&amp;IF(OR(D81="",ISERROR(SEARCH("@",D81)),ISERROR(SEARCH(".",D81))),"Invalid Email; ","")&amp;IF(COUNTIF(Lookups!$A$2:$A$11,E81)=0,"Unknown Product; ","")&amp;IF(F81="","Missing Product Name; ","")&amp;IF(H81="","Missing Region; ","")&amp;IF(K81&lt;=0,"Invalid Quantity; ","")&amp;IF(L81&lt;0,"Invalid Price; ","")&amp;IF(M81&lt;0,"Invalid Cost; ","")&amp;IF(OR(N81&lt;0,N81&gt;0.5),"Invalid Discount; ","")&amp;IF(COUNTIF(Lookups!$K$2:$K$4,P81)=0,"Invalid Status; ","")</f>
        <v/>
      </c>
      <c r="X81" s="15" t="str">
        <f t="shared" si="16"/>
        <v>2025-06</v>
      </c>
      <c r="Y81" t="str">
        <f t="shared" si="17"/>
        <v>Q2</v>
      </c>
      <c r="Z81" t="str">
        <f>IF(R81&gt;=Settings!$B$9,"High Value Customer",IF(R81&gt;=Settings!$B$10,"Medium Value Customer","Standard Customer"))</f>
        <v>Standard Customer</v>
      </c>
      <c r="AA81" t="str">
        <f>IF(R81&gt;=Settings!$B$9,"Large Order",IF(R81&gt;=Settings!$B$10,"Medium Order","Small Order"))</f>
        <v>Small Order</v>
      </c>
      <c r="AB81" t="str">
        <f>IF(N81=0,"No Discount",IF(N81&lt;=0.1,"Low Discount",IF(N81&lt;=Settings!$B$8,"Medium Discount","High Discount")))</f>
        <v>Low Discount</v>
      </c>
      <c r="AC81" t="str">
        <f t="shared" si="18"/>
        <v>Profitable</v>
      </c>
      <c r="AD81" t="str">
        <f>IFERROR(VLOOKUP(E81,Lookups!$A$2:$E$11,2,FALSE),"Product Not Found")</f>
        <v>USB-C Hub</v>
      </c>
      <c r="AE81" t="str">
        <f>IFERROR(VLOOKUP(E81,Lookups!$A$2:$E$11,3,FALSE),"Category Not Found")</f>
        <v>Accessories</v>
      </c>
      <c r="AF81" t="str">
        <f>IFERROR(IF(L81=VLOOKUP(E81,Lookups!$A$2:$E$11,4,FALSE),"Price OK","Price Mismatch"),"Product Missing")</f>
        <v>Price OK</v>
      </c>
      <c r="AG81" t="str">
        <f t="shared" si="19"/>
        <v>Valid Email</v>
      </c>
      <c r="AH81" t="str">
        <f t="shared" si="20"/>
        <v>READY FOR REPORTING</v>
      </c>
      <c r="AI81" t="str">
        <f>IF(AND(LEFT(A81,LEN(Settings!$B$13))=Settings!$B$13,LEN(A81)=9),"Valid Format","Invalid Format")</f>
        <v>Valid Format</v>
      </c>
      <c r="AJ81" t="str">
        <f>IF(LEFT(C81,LEN(Settings!$B$14))=Settings!$B$14,"Valid Format","Invalid Format")</f>
        <v>Valid Format</v>
      </c>
      <c r="AK81" t="str">
        <f>IF(COUNTIF(Master_Data!$G$5:$G$14,C81)=1,"Known Customer","Customer Not in Master")</f>
        <v>Customer Not in Master</v>
      </c>
      <c r="AL81" t="str">
        <f>IF(U81&gt;=Settings!$B$11,"Target Met","Below Target")</f>
        <v>Target Met</v>
      </c>
      <c r="AM81" t="str">
        <f>IF(YEAR(B81)=Settings!$B$5,"Correct Year","Wrong Year")</f>
        <v>Correct Year</v>
      </c>
      <c r="AN81">
        <f t="shared" si="21"/>
        <v>4</v>
      </c>
    </row>
    <row r="82" spans="1:40">
      <c r="A82" t="str">
        <f>Raw_Data!A82</f>
        <v>ORD-10081</v>
      </c>
      <c r="B82" s="13">
        <f>Raw_Data!B82</f>
        <v>45941</v>
      </c>
      <c r="C82" t="str">
        <f>Raw_Data!C82</f>
        <v>C1082</v>
      </c>
      <c r="D82" t="str">
        <f>Raw_Data!D82</f>
        <v>client126@example.com</v>
      </c>
      <c r="E82" t="str">
        <f>Raw_Data!E82</f>
        <v>P1001</v>
      </c>
      <c r="F82" t="str">
        <f>Raw_Data!F82</f>
        <v>Laptop Stand</v>
      </c>
      <c r="G82" t="str">
        <f>Raw_Data!G82</f>
        <v>Accessories</v>
      </c>
      <c r="H82" t="str">
        <f>Raw_Data!H82</f>
        <v>Bucharest</v>
      </c>
      <c r="I82" t="str">
        <f>Raw_Data!I82</f>
        <v>Online</v>
      </c>
      <c r="J82" t="str">
        <f>Raw_Data!J82</f>
        <v>Ioana Pavel</v>
      </c>
      <c r="K82">
        <f>Raw_Data!K82</f>
        <v>5</v>
      </c>
      <c r="L82" s="12">
        <f>Raw_Data!L82</f>
        <v>95</v>
      </c>
      <c r="M82" s="12">
        <f>Raw_Data!M82</f>
        <v>52</v>
      </c>
      <c r="N82" s="14">
        <f>Raw_Data!N82</f>
        <v>0.2</v>
      </c>
      <c r="O82" t="str">
        <f>Raw_Data!O82</f>
        <v>Cash</v>
      </c>
      <c r="P82" t="str">
        <f>Raw_Data!P82</f>
        <v>Completed</v>
      </c>
      <c r="Q82" s="12">
        <f t="shared" si="11"/>
        <v>475</v>
      </c>
      <c r="R82" s="12">
        <f t="shared" si="12"/>
        <v>380</v>
      </c>
      <c r="S82" s="12">
        <f t="shared" si="13"/>
        <v>260</v>
      </c>
      <c r="T82" s="12">
        <f t="shared" si="14"/>
        <v>120</v>
      </c>
      <c r="U82" s="11">
        <f t="shared" si="15"/>
        <v>0.31578947368421051</v>
      </c>
      <c r="V82" t="str">
        <f>IF(OR(A82="",COUNTIF($A$2:$A$301,A82)&gt;1,C82="",D82="",ISERROR(SEARCH("@",D82)),ISERROR(SEARCH(".",D82)),COUNTIF(Lookups!$A$2:$A$11,E82)=0,F82="",H82="",K82&lt;=0,L82&lt;0,M82&lt;0,N82&lt;0,N82&gt;0.5,COUNTIF(Lookups!$K$2:$K$4,P82)=0),"ERROR","VALID")</f>
        <v>VALID</v>
      </c>
      <c r="W82" s="2" t="str">
        <f>IF(A82="","Missing Order ID; ","")&amp;IF(COUNTIF($A$2:$A$301,A82)&gt;1,"Duplicate Order ID; ","")&amp;IF(C82="","Missing Customer ID; ","")&amp;IF(OR(D82="",ISERROR(SEARCH("@",D82)),ISERROR(SEARCH(".",D82))),"Invalid Email; ","")&amp;IF(COUNTIF(Lookups!$A$2:$A$11,E82)=0,"Unknown Product; ","")&amp;IF(F82="","Missing Product Name; ","")&amp;IF(H82="","Missing Region; ","")&amp;IF(K82&lt;=0,"Invalid Quantity; ","")&amp;IF(L82&lt;0,"Invalid Price; ","")&amp;IF(M82&lt;0,"Invalid Cost; ","")&amp;IF(OR(N82&lt;0,N82&gt;0.5),"Invalid Discount; ","")&amp;IF(COUNTIF(Lookups!$K$2:$K$4,P82)=0,"Invalid Status; ","")</f>
        <v/>
      </c>
      <c r="X82" s="15" t="str">
        <f t="shared" si="16"/>
        <v>2025-10</v>
      </c>
      <c r="Y82" t="str">
        <f t="shared" si="17"/>
        <v>Q4</v>
      </c>
      <c r="Z82" t="str">
        <f>IF(R82&gt;=Settings!$B$9,"High Value Customer",IF(R82&gt;=Settings!$B$10,"Medium Value Customer","Standard Customer"))</f>
        <v>Standard Customer</v>
      </c>
      <c r="AA82" t="str">
        <f>IF(R82&gt;=Settings!$B$9,"Large Order",IF(R82&gt;=Settings!$B$10,"Medium Order","Small Order"))</f>
        <v>Small Order</v>
      </c>
      <c r="AB82" t="str">
        <f>IF(N82=0,"No Discount",IF(N82&lt;=0.1,"Low Discount",IF(N82&lt;=Settings!$B$8,"Medium Discount","High Discount")))</f>
        <v>Medium Discount</v>
      </c>
      <c r="AC82" t="str">
        <f t="shared" si="18"/>
        <v>Profitable</v>
      </c>
      <c r="AD82" t="str">
        <f>IFERROR(VLOOKUP(E82,Lookups!$A$2:$E$11,2,FALSE),"Product Not Found")</f>
        <v>Laptop Stand</v>
      </c>
      <c r="AE82" t="str">
        <f>IFERROR(VLOOKUP(E82,Lookups!$A$2:$E$11,3,FALSE),"Category Not Found")</f>
        <v>Accessories</v>
      </c>
      <c r="AF82" t="str">
        <f>IFERROR(IF(L82=VLOOKUP(E82,Lookups!$A$2:$E$11,4,FALSE),"Price OK","Price Mismatch"),"Product Missing")</f>
        <v>Price OK</v>
      </c>
      <c r="AG82" t="str">
        <f t="shared" si="19"/>
        <v>Valid Email</v>
      </c>
      <c r="AH82" t="str">
        <f t="shared" si="20"/>
        <v>READY FOR REPORTING</v>
      </c>
      <c r="AI82" t="str">
        <f>IF(AND(LEFT(A82,LEN(Settings!$B$13))=Settings!$B$13,LEN(A82)=9),"Valid Format","Invalid Format")</f>
        <v>Valid Format</v>
      </c>
      <c r="AJ82" t="str">
        <f>IF(LEFT(C82,LEN(Settings!$B$14))=Settings!$B$14,"Valid Format","Invalid Format")</f>
        <v>Valid Format</v>
      </c>
      <c r="AK82" t="str">
        <f>IF(COUNTIF(Master_Data!$G$5:$G$14,C82)=1,"Known Customer","Customer Not in Master")</f>
        <v>Customer Not in Master</v>
      </c>
      <c r="AL82" t="str">
        <f>IF(U82&gt;=Settings!$B$11,"Target Met","Below Target")</f>
        <v>Target Met</v>
      </c>
      <c r="AM82" t="str">
        <f>IF(YEAR(B82)=Settings!$B$5,"Correct Year","Wrong Year")</f>
        <v>Correct Year</v>
      </c>
      <c r="AN82">
        <f t="shared" si="21"/>
        <v>4</v>
      </c>
    </row>
    <row r="83" spans="1:40">
      <c r="A83" t="str">
        <f>Raw_Data!A83</f>
        <v>ORD-10082</v>
      </c>
      <c r="B83" s="13">
        <f>Raw_Data!B83</f>
        <v>45903</v>
      </c>
      <c r="C83" t="str">
        <f>Raw_Data!C83</f>
        <v>C1124</v>
      </c>
      <c r="D83" t="str">
        <f>Raw_Data!D83</f>
        <v>client14@example.com</v>
      </c>
      <c r="E83" t="str">
        <f>Raw_Data!E83</f>
        <v>P1008</v>
      </c>
      <c r="F83" t="str">
        <f>Raw_Data!F83</f>
        <v>Standing Desk</v>
      </c>
      <c r="G83" t="str">
        <f>Raw_Data!G83</f>
        <v>Furniture</v>
      </c>
      <c r="H83" t="str">
        <f>Raw_Data!H83</f>
        <v>South</v>
      </c>
      <c r="I83" t="str">
        <f>Raw_Data!I83</f>
        <v>Store</v>
      </c>
      <c r="J83" t="str">
        <f>Raw_Data!J83</f>
        <v>Andrei Pop</v>
      </c>
      <c r="K83">
        <f>Raw_Data!K83</f>
        <v>8</v>
      </c>
      <c r="L83" s="12">
        <f>Raw_Data!L83</f>
        <v>1450</v>
      </c>
      <c r="M83" s="12">
        <f>Raw_Data!M83</f>
        <v>1030</v>
      </c>
      <c r="N83" s="14">
        <f>Raw_Data!N83</f>
        <v>0.05</v>
      </c>
      <c r="O83" t="str">
        <f>Raw_Data!O83</f>
        <v>Card</v>
      </c>
      <c r="P83" t="str">
        <f>Raw_Data!P83</f>
        <v>Completed</v>
      </c>
      <c r="Q83" s="12">
        <f t="shared" si="11"/>
        <v>11600</v>
      </c>
      <c r="R83" s="12">
        <f t="shared" si="12"/>
        <v>11020</v>
      </c>
      <c r="S83" s="12">
        <f t="shared" si="13"/>
        <v>8240</v>
      </c>
      <c r="T83" s="12">
        <f t="shared" si="14"/>
        <v>2780</v>
      </c>
      <c r="U83" s="11">
        <f t="shared" si="15"/>
        <v>0.25226860254083483</v>
      </c>
      <c r="V83" t="str">
        <f>IF(OR(A83="",COUNTIF($A$2:$A$301,A83)&gt;1,C83="",D83="",ISERROR(SEARCH("@",D83)),ISERROR(SEARCH(".",D83)),COUNTIF(Lookups!$A$2:$A$11,E83)=0,F83="",H83="",K83&lt;=0,L83&lt;0,M83&lt;0,N83&lt;0,N83&gt;0.5,COUNTIF(Lookups!$K$2:$K$4,P83)=0),"ERROR","VALID")</f>
        <v>VALID</v>
      </c>
      <c r="W83" s="2" t="str">
        <f>IF(A83="","Missing Order ID; ","")&amp;IF(COUNTIF($A$2:$A$301,A83)&gt;1,"Duplicate Order ID; ","")&amp;IF(C83="","Missing Customer ID; ","")&amp;IF(OR(D83="",ISERROR(SEARCH("@",D83)),ISERROR(SEARCH(".",D83))),"Invalid Email; ","")&amp;IF(COUNTIF(Lookups!$A$2:$A$11,E83)=0,"Unknown Product; ","")&amp;IF(F83="","Missing Product Name; ","")&amp;IF(H83="","Missing Region; ","")&amp;IF(K83&lt;=0,"Invalid Quantity; ","")&amp;IF(L83&lt;0,"Invalid Price; ","")&amp;IF(M83&lt;0,"Invalid Cost; ","")&amp;IF(OR(N83&lt;0,N83&gt;0.5),"Invalid Discount; ","")&amp;IF(COUNTIF(Lookups!$K$2:$K$4,P83)=0,"Invalid Status; ","")</f>
        <v/>
      </c>
      <c r="X83" s="15" t="str">
        <f t="shared" si="16"/>
        <v>2025-09</v>
      </c>
      <c r="Y83" t="str">
        <f t="shared" si="17"/>
        <v>Q3</v>
      </c>
      <c r="Z83" t="str">
        <f>IF(R83&gt;=Settings!$B$9,"High Value Customer",IF(R83&gt;=Settings!$B$10,"Medium Value Customer","Standard Customer"))</f>
        <v>High Value Customer</v>
      </c>
      <c r="AA83" t="str">
        <f>IF(R83&gt;=Settings!$B$9,"Large Order",IF(R83&gt;=Settings!$B$10,"Medium Order","Small Order"))</f>
        <v>Large Order</v>
      </c>
      <c r="AB83" t="str">
        <f>IF(N83=0,"No Discount",IF(N83&lt;=0.1,"Low Discount",IF(N83&lt;=Settings!$B$8,"Medium Discount","High Discount")))</f>
        <v>Low Discount</v>
      </c>
      <c r="AC83" t="str">
        <f t="shared" si="18"/>
        <v>Profitable</v>
      </c>
      <c r="AD83" t="str">
        <f>IFERROR(VLOOKUP(E83,Lookups!$A$2:$E$11,2,FALSE),"Product Not Found")</f>
        <v>Standing Desk</v>
      </c>
      <c r="AE83" t="str">
        <f>IFERROR(VLOOKUP(E83,Lookups!$A$2:$E$11,3,FALSE),"Category Not Found")</f>
        <v>Furniture</v>
      </c>
      <c r="AF83" t="str">
        <f>IFERROR(IF(L83=VLOOKUP(E83,Lookups!$A$2:$E$11,4,FALSE),"Price OK","Price Mismatch"),"Product Missing")</f>
        <v>Price OK</v>
      </c>
      <c r="AG83" t="str">
        <f t="shared" si="19"/>
        <v>Valid Email</v>
      </c>
      <c r="AH83" t="str">
        <f t="shared" si="20"/>
        <v>READY FOR REPORTING</v>
      </c>
      <c r="AI83" t="str">
        <f>IF(AND(LEFT(A83,LEN(Settings!$B$13))=Settings!$B$13,LEN(A83)=9),"Valid Format","Invalid Format")</f>
        <v>Valid Format</v>
      </c>
      <c r="AJ83" t="str">
        <f>IF(LEFT(C83,LEN(Settings!$B$14))=Settings!$B$14,"Valid Format","Invalid Format")</f>
        <v>Valid Format</v>
      </c>
      <c r="AK83" t="str">
        <f>IF(COUNTIF(Master_Data!$G$5:$G$14,C83)=1,"Known Customer","Customer Not in Master")</f>
        <v>Customer Not in Master</v>
      </c>
      <c r="AL83" t="str">
        <f>IF(U83&gt;=Settings!$B$11,"Target Met","Below Target")</f>
        <v>Target Met</v>
      </c>
      <c r="AM83" t="str">
        <f>IF(YEAR(B83)=Settings!$B$5,"Correct Year","Wrong Year")</f>
        <v>Correct Year</v>
      </c>
      <c r="AN83">
        <f t="shared" si="21"/>
        <v>4</v>
      </c>
    </row>
    <row r="84" spans="1:40">
      <c r="A84" t="str">
        <f>Raw_Data!A84</f>
        <v>ORD-10083</v>
      </c>
      <c r="B84" s="13">
        <f>Raw_Data!B84</f>
        <v>45909</v>
      </c>
      <c r="C84" t="str">
        <f>Raw_Data!C84</f>
        <v>C1088</v>
      </c>
      <c r="D84" t="str">
        <f>Raw_Data!D84</f>
        <v>client14@example.com</v>
      </c>
      <c r="E84" t="str">
        <f>Raw_Data!E84</f>
        <v>P1007</v>
      </c>
      <c r="F84" t="str">
        <f>Raw_Data!F84</f>
        <v>Office Chair</v>
      </c>
      <c r="G84" t="str">
        <f>Raw_Data!G84</f>
        <v>Furniture</v>
      </c>
      <c r="H84" t="str">
        <f>Raw_Data!H84</f>
        <v>North</v>
      </c>
      <c r="I84" t="str">
        <f>Raw_Data!I84</f>
        <v>Online</v>
      </c>
      <c r="J84" t="str">
        <f>Raw_Data!J84</f>
        <v>Ioana Pavel</v>
      </c>
      <c r="K84">
        <f>Raw_Data!K84</f>
        <v>2</v>
      </c>
      <c r="L84" s="12">
        <f>Raw_Data!L84</f>
        <v>840</v>
      </c>
      <c r="M84" s="12">
        <f>Raw_Data!M84</f>
        <v>590</v>
      </c>
      <c r="N84" s="14">
        <f>Raw_Data!N84</f>
        <v>0.15</v>
      </c>
      <c r="O84" t="str">
        <f>Raw_Data!O84</f>
        <v>Cash</v>
      </c>
      <c r="P84" t="str">
        <f>Raw_Data!P84</f>
        <v>Cancelled</v>
      </c>
      <c r="Q84" s="12">
        <f t="shared" si="11"/>
        <v>1680</v>
      </c>
      <c r="R84" s="12">
        <f t="shared" si="12"/>
        <v>1428</v>
      </c>
      <c r="S84" s="12">
        <f t="shared" si="13"/>
        <v>1180</v>
      </c>
      <c r="T84" s="12">
        <f t="shared" si="14"/>
        <v>248</v>
      </c>
      <c r="U84" s="11">
        <f t="shared" si="15"/>
        <v>0.17366946778711484</v>
      </c>
      <c r="V84" t="str">
        <f>IF(OR(A84="",COUNTIF($A$2:$A$301,A84)&gt;1,C84="",D84="",ISERROR(SEARCH("@",D84)),ISERROR(SEARCH(".",D84)),COUNTIF(Lookups!$A$2:$A$11,E84)=0,F84="",H84="",K84&lt;=0,L84&lt;0,M84&lt;0,N84&lt;0,N84&gt;0.5,COUNTIF(Lookups!$K$2:$K$4,P84)=0),"ERROR","VALID")</f>
        <v>VALID</v>
      </c>
      <c r="W84" s="2" t="str">
        <f>IF(A84="","Missing Order ID; ","")&amp;IF(COUNTIF($A$2:$A$301,A84)&gt;1,"Duplicate Order ID; ","")&amp;IF(C84="","Missing Customer ID; ","")&amp;IF(OR(D84="",ISERROR(SEARCH("@",D84)),ISERROR(SEARCH(".",D84))),"Invalid Email; ","")&amp;IF(COUNTIF(Lookups!$A$2:$A$11,E84)=0,"Unknown Product; ","")&amp;IF(F84="","Missing Product Name; ","")&amp;IF(H84="","Missing Region; ","")&amp;IF(K84&lt;=0,"Invalid Quantity; ","")&amp;IF(L84&lt;0,"Invalid Price; ","")&amp;IF(M84&lt;0,"Invalid Cost; ","")&amp;IF(OR(N84&lt;0,N84&gt;0.5),"Invalid Discount; ","")&amp;IF(COUNTIF(Lookups!$K$2:$K$4,P84)=0,"Invalid Status; ","")</f>
        <v/>
      </c>
      <c r="X84" s="15" t="str">
        <f t="shared" si="16"/>
        <v>2025-09</v>
      </c>
      <c r="Y84" t="str">
        <f t="shared" si="17"/>
        <v>Q3</v>
      </c>
      <c r="Z84" t="str">
        <f>IF(R84&gt;=Settings!$B$9,"High Value Customer",IF(R84&gt;=Settings!$B$10,"Medium Value Customer","Standard Customer"))</f>
        <v>Standard Customer</v>
      </c>
      <c r="AA84" t="str">
        <f>IF(R84&gt;=Settings!$B$9,"Large Order",IF(R84&gt;=Settings!$B$10,"Medium Order","Small Order"))</f>
        <v>Small Order</v>
      </c>
      <c r="AB84" t="str">
        <f>IF(N84=0,"No Discount",IF(N84&lt;=0.1,"Low Discount",IF(N84&lt;=Settings!$B$8,"Medium Discount","High Discount")))</f>
        <v>Medium Discount</v>
      </c>
      <c r="AC84" t="str">
        <f t="shared" si="18"/>
        <v>Profitable</v>
      </c>
      <c r="AD84" t="str">
        <f>IFERROR(VLOOKUP(E84,Lookups!$A$2:$E$11,2,FALSE),"Product Not Found")</f>
        <v>Office Chair</v>
      </c>
      <c r="AE84" t="str">
        <f>IFERROR(VLOOKUP(E84,Lookups!$A$2:$E$11,3,FALSE),"Category Not Found")</f>
        <v>Furniture</v>
      </c>
      <c r="AF84" t="str">
        <f>IFERROR(IF(L84=VLOOKUP(E84,Lookups!$A$2:$E$11,4,FALSE),"Price OK","Price Mismatch"),"Product Missing")</f>
        <v>Price OK</v>
      </c>
      <c r="AG84" t="str">
        <f t="shared" si="19"/>
        <v>Valid Email</v>
      </c>
      <c r="AH84" t="str">
        <f t="shared" si="20"/>
        <v>READY FOR REPORTING</v>
      </c>
      <c r="AI84" t="str">
        <f>IF(AND(LEFT(A84,LEN(Settings!$B$13))=Settings!$B$13,LEN(A84)=9),"Valid Format","Invalid Format")</f>
        <v>Valid Format</v>
      </c>
      <c r="AJ84" t="str">
        <f>IF(LEFT(C84,LEN(Settings!$B$14))=Settings!$B$14,"Valid Format","Invalid Format")</f>
        <v>Valid Format</v>
      </c>
      <c r="AK84" t="str">
        <f>IF(COUNTIF(Master_Data!$G$5:$G$14,C84)=1,"Known Customer","Customer Not in Master")</f>
        <v>Customer Not in Master</v>
      </c>
      <c r="AL84" t="str">
        <f>IF(U84&gt;=Settings!$B$11,"Target Met","Below Target")</f>
        <v>Below Target</v>
      </c>
      <c r="AM84" t="str">
        <f>IF(YEAR(B84)=Settings!$B$5,"Correct Year","Wrong Year")</f>
        <v>Correct Year</v>
      </c>
      <c r="AN84">
        <f t="shared" si="21"/>
        <v>3</v>
      </c>
    </row>
    <row r="85" spans="1:40">
      <c r="A85" t="str">
        <f>Raw_Data!A85</f>
        <v>ORD-10084</v>
      </c>
      <c r="B85" s="13">
        <f>Raw_Data!B85</f>
        <v>45785</v>
      </c>
      <c r="C85" t="str">
        <f>Raw_Data!C85</f>
        <v>C1078</v>
      </c>
      <c r="D85" t="str">
        <f>Raw_Data!D85</f>
        <v>client153@example.com</v>
      </c>
      <c r="E85" t="str">
        <f>Raw_Data!E85</f>
        <v>P1002</v>
      </c>
      <c r="F85" t="str">
        <f>Raw_Data!F85</f>
        <v>Wireless Mouse</v>
      </c>
      <c r="G85" t="str">
        <f>Raw_Data!G85</f>
        <v>Accessories</v>
      </c>
      <c r="H85" t="str">
        <f>Raw_Data!H85</f>
        <v>West</v>
      </c>
      <c r="I85" t="str">
        <f>Raw_Data!I85</f>
        <v>Online</v>
      </c>
      <c r="J85" t="str">
        <f>Raw_Data!J85</f>
        <v>Ioana Pavel</v>
      </c>
      <c r="K85">
        <f>Raw_Data!K85</f>
        <v>2</v>
      </c>
      <c r="L85" s="12">
        <f>Raw_Data!L85</f>
        <v>85</v>
      </c>
      <c r="M85" s="12">
        <f>Raw_Data!M85</f>
        <v>44</v>
      </c>
      <c r="N85" s="14">
        <f>Raw_Data!N85</f>
        <v>0.15</v>
      </c>
      <c r="O85" t="str">
        <f>Raw_Data!O85</f>
        <v>Online Wallet</v>
      </c>
      <c r="P85" t="str">
        <f>Raw_Data!P85</f>
        <v>Completed</v>
      </c>
      <c r="Q85" s="12">
        <f t="shared" si="11"/>
        <v>170</v>
      </c>
      <c r="R85" s="12">
        <f t="shared" si="12"/>
        <v>144.5</v>
      </c>
      <c r="S85" s="12">
        <f t="shared" si="13"/>
        <v>88</v>
      </c>
      <c r="T85" s="12">
        <f t="shared" si="14"/>
        <v>56.5</v>
      </c>
      <c r="U85" s="11">
        <f t="shared" si="15"/>
        <v>0.39100346020761245</v>
      </c>
      <c r="V85" t="str">
        <f>IF(OR(A85="",COUNTIF($A$2:$A$301,A85)&gt;1,C85="",D85="",ISERROR(SEARCH("@",D85)),ISERROR(SEARCH(".",D85)),COUNTIF(Lookups!$A$2:$A$11,E85)=0,F85="",H85="",K85&lt;=0,L85&lt;0,M85&lt;0,N85&lt;0,N85&gt;0.5,COUNTIF(Lookups!$K$2:$K$4,P85)=0),"ERROR","VALID")</f>
        <v>VALID</v>
      </c>
      <c r="W85" s="2" t="str">
        <f>IF(A85="","Missing Order ID; ","")&amp;IF(COUNTIF($A$2:$A$301,A85)&gt;1,"Duplicate Order ID; ","")&amp;IF(C85="","Missing Customer ID; ","")&amp;IF(OR(D85="",ISERROR(SEARCH("@",D85)),ISERROR(SEARCH(".",D85))),"Invalid Email; ","")&amp;IF(COUNTIF(Lookups!$A$2:$A$11,E85)=0,"Unknown Product; ","")&amp;IF(F85="","Missing Product Name; ","")&amp;IF(H85="","Missing Region; ","")&amp;IF(K85&lt;=0,"Invalid Quantity; ","")&amp;IF(L85&lt;0,"Invalid Price; ","")&amp;IF(M85&lt;0,"Invalid Cost; ","")&amp;IF(OR(N85&lt;0,N85&gt;0.5),"Invalid Discount; ","")&amp;IF(COUNTIF(Lookups!$K$2:$K$4,P85)=0,"Invalid Status; ","")</f>
        <v/>
      </c>
      <c r="X85" s="15" t="str">
        <f t="shared" si="16"/>
        <v>2025-05</v>
      </c>
      <c r="Y85" t="str">
        <f t="shared" si="17"/>
        <v>Q2</v>
      </c>
      <c r="Z85" t="str">
        <f>IF(R85&gt;=Settings!$B$9,"High Value Customer",IF(R85&gt;=Settings!$B$10,"Medium Value Customer","Standard Customer"))</f>
        <v>Standard Customer</v>
      </c>
      <c r="AA85" t="str">
        <f>IF(R85&gt;=Settings!$B$9,"Large Order",IF(R85&gt;=Settings!$B$10,"Medium Order","Small Order"))</f>
        <v>Small Order</v>
      </c>
      <c r="AB85" t="str">
        <f>IF(N85=0,"No Discount",IF(N85&lt;=0.1,"Low Discount",IF(N85&lt;=Settings!$B$8,"Medium Discount","High Discount")))</f>
        <v>Medium Discount</v>
      </c>
      <c r="AC85" t="str">
        <f t="shared" si="18"/>
        <v>Profitable</v>
      </c>
      <c r="AD85" t="str">
        <f>IFERROR(VLOOKUP(E85,Lookups!$A$2:$E$11,2,FALSE),"Product Not Found")</f>
        <v>Wireless Mouse</v>
      </c>
      <c r="AE85" t="str">
        <f>IFERROR(VLOOKUP(E85,Lookups!$A$2:$E$11,3,FALSE),"Category Not Found")</f>
        <v>Accessories</v>
      </c>
      <c r="AF85" t="str">
        <f>IFERROR(IF(L85=VLOOKUP(E85,Lookups!$A$2:$E$11,4,FALSE),"Price OK","Price Mismatch"),"Product Missing")</f>
        <v>Price OK</v>
      </c>
      <c r="AG85" t="str">
        <f t="shared" si="19"/>
        <v>Valid Email</v>
      </c>
      <c r="AH85" t="str">
        <f t="shared" si="20"/>
        <v>READY FOR REPORTING</v>
      </c>
      <c r="AI85" t="str">
        <f>IF(AND(LEFT(A85,LEN(Settings!$B$13))=Settings!$B$13,LEN(A85)=9),"Valid Format","Invalid Format")</f>
        <v>Valid Format</v>
      </c>
      <c r="AJ85" t="str">
        <f>IF(LEFT(C85,LEN(Settings!$B$14))=Settings!$B$14,"Valid Format","Invalid Format")</f>
        <v>Valid Format</v>
      </c>
      <c r="AK85" t="str">
        <f>IF(COUNTIF(Master_Data!$G$5:$G$14,C85)=1,"Known Customer","Customer Not in Master")</f>
        <v>Customer Not in Master</v>
      </c>
      <c r="AL85" t="str">
        <f>IF(U85&gt;=Settings!$B$11,"Target Met","Below Target")</f>
        <v>Target Met</v>
      </c>
      <c r="AM85" t="str">
        <f>IF(YEAR(B85)=Settings!$B$5,"Correct Year","Wrong Year")</f>
        <v>Correct Year</v>
      </c>
      <c r="AN85">
        <f t="shared" si="21"/>
        <v>4</v>
      </c>
    </row>
    <row r="86" spans="1:40">
      <c r="A86" t="str">
        <f>Raw_Data!A86</f>
        <v>ORD-10085</v>
      </c>
      <c r="B86" s="13">
        <f>Raw_Data!B86</f>
        <v>45884</v>
      </c>
      <c r="C86" t="str">
        <f>Raw_Data!C86</f>
        <v>C1040</v>
      </c>
      <c r="D86" t="str">
        <f>Raw_Data!D86</f>
        <v>client146@example.com</v>
      </c>
      <c r="E86" t="str">
        <f>Raw_Data!E86</f>
        <v>P1008</v>
      </c>
      <c r="F86" t="str">
        <f>Raw_Data!F86</f>
        <v>Standing Desk</v>
      </c>
      <c r="G86" t="str">
        <f>Raw_Data!G86</f>
        <v>Furniture</v>
      </c>
      <c r="H86" t="str">
        <f>Raw_Data!H86</f>
        <v>West</v>
      </c>
      <c r="I86" t="str">
        <f>Raw_Data!I86</f>
        <v>Online</v>
      </c>
      <c r="J86" t="str">
        <f>Raw_Data!J86</f>
        <v>Ioana Pavel</v>
      </c>
      <c r="K86">
        <f>Raw_Data!K86</f>
        <v>5</v>
      </c>
      <c r="L86" s="12">
        <f>Raw_Data!L86</f>
        <v>1450</v>
      </c>
      <c r="M86" s="12">
        <f>Raw_Data!M86</f>
        <v>1030</v>
      </c>
      <c r="N86" s="14">
        <f>Raw_Data!N86</f>
        <v>0.15</v>
      </c>
      <c r="O86" t="str">
        <f>Raw_Data!O86</f>
        <v>Card</v>
      </c>
      <c r="P86" t="str">
        <f>Raw_Data!P86</f>
        <v>Completed</v>
      </c>
      <c r="Q86" s="12">
        <f t="shared" si="11"/>
        <v>7250</v>
      </c>
      <c r="R86" s="12">
        <f t="shared" si="12"/>
        <v>6162.5</v>
      </c>
      <c r="S86" s="12">
        <f t="shared" si="13"/>
        <v>5150</v>
      </c>
      <c r="T86" s="12">
        <f t="shared" si="14"/>
        <v>1012.5</v>
      </c>
      <c r="U86" s="11">
        <f t="shared" si="15"/>
        <v>0.1643002028397566</v>
      </c>
      <c r="V86" t="str">
        <f>IF(OR(A86="",COUNTIF($A$2:$A$301,A86)&gt;1,C86="",D86="",ISERROR(SEARCH("@",D86)),ISERROR(SEARCH(".",D86)),COUNTIF(Lookups!$A$2:$A$11,E86)=0,F86="",H86="",K86&lt;=0,L86&lt;0,M86&lt;0,N86&lt;0,N86&gt;0.5,COUNTIF(Lookups!$K$2:$K$4,P86)=0),"ERROR","VALID")</f>
        <v>VALID</v>
      </c>
      <c r="W86" s="2" t="str">
        <f>IF(A86="","Missing Order ID; ","")&amp;IF(COUNTIF($A$2:$A$301,A86)&gt;1,"Duplicate Order ID; ","")&amp;IF(C86="","Missing Customer ID; ","")&amp;IF(OR(D86="",ISERROR(SEARCH("@",D86)),ISERROR(SEARCH(".",D86))),"Invalid Email; ","")&amp;IF(COUNTIF(Lookups!$A$2:$A$11,E86)=0,"Unknown Product; ","")&amp;IF(F86="","Missing Product Name; ","")&amp;IF(H86="","Missing Region; ","")&amp;IF(K86&lt;=0,"Invalid Quantity; ","")&amp;IF(L86&lt;0,"Invalid Price; ","")&amp;IF(M86&lt;0,"Invalid Cost; ","")&amp;IF(OR(N86&lt;0,N86&gt;0.5),"Invalid Discount; ","")&amp;IF(COUNTIF(Lookups!$K$2:$K$4,P86)=0,"Invalid Status; ","")</f>
        <v/>
      </c>
      <c r="X86" s="15" t="str">
        <f t="shared" si="16"/>
        <v>2025-08</v>
      </c>
      <c r="Y86" t="str">
        <f t="shared" si="17"/>
        <v>Q3</v>
      </c>
      <c r="Z86" t="str">
        <f>IF(R86&gt;=Settings!$B$9,"High Value Customer",IF(R86&gt;=Settings!$B$10,"Medium Value Customer","Standard Customer"))</f>
        <v>High Value Customer</v>
      </c>
      <c r="AA86" t="str">
        <f>IF(R86&gt;=Settings!$B$9,"Large Order",IF(R86&gt;=Settings!$B$10,"Medium Order","Small Order"))</f>
        <v>Large Order</v>
      </c>
      <c r="AB86" t="str">
        <f>IF(N86=0,"No Discount",IF(N86&lt;=0.1,"Low Discount",IF(N86&lt;=Settings!$B$8,"Medium Discount","High Discount")))</f>
        <v>Medium Discount</v>
      </c>
      <c r="AC86" t="str">
        <f t="shared" si="18"/>
        <v>Profitable</v>
      </c>
      <c r="AD86" t="str">
        <f>IFERROR(VLOOKUP(E86,Lookups!$A$2:$E$11,2,FALSE),"Product Not Found")</f>
        <v>Standing Desk</v>
      </c>
      <c r="AE86" t="str">
        <f>IFERROR(VLOOKUP(E86,Lookups!$A$2:$E$11,3,FALSE),"Category Not Found")</f>
        <v>Furniture</v>
      </c>
      <c r="AF86" t="str">
        <f>IFERROR(IF(L86=VLOOKUP(E86,Lookups!$A$2:$E$11,4,FALSE),"Price OK","Price Mismatch"),"Product Missing")</f>
        <v>Price OK</v>
      </c>
      <c r="AG86" t="str">
        <f t="shared" si="19"/>
        <v>Valid Email</v>
      </c>
      <c r="AH86" t="str">
        <f t="shared" si="20"/>
        <v>READY FOR REPORTING</v>
      </c>
      <c r="AI86" t="str">
        <f>IF(AND(LEFT(A86,LEN(Settings!$B$13))=Settings!$B$13,LEN(A86)=9),"Valid Format","Invalid Format")</f>
        <v>Valid Format</v>
      </c>
      <c r="AJ86" t="str">
        <f>IF(LEFT(C86,LEN(Settings!$B$14))=Settings!$B$14,"Valid Format","Invalid Format")</f>
        <v>Valid Format</v>
      </c>
      <c r="AK86" t="str">
        <f>IF(COUNTIF(Master_Data!$G$5:$G$14,C86)=1,"Known Customer","Customer Not in Master")</f>
        <v>Customer Not in Master</v>
      </c>
      <c r="AL86" t="str">
        <f>IF(U86&gt;=Settings!$B$11,"Target Met","Below Target")</f>
        <v>Below Target</v>
      </c>
      <c r="AM86" t="str">
        <f>IF(YEAR(B86)=Settings!$B$5,"Correct Year","Wrong Year")</f>
        <v>Correct Year</v>
      </c>
      <c r="AN86">
        <f t="shared" si="21"/>
        <v>3</v>
      </c>
    </row>
    <row r="87" spans="1:40">
      <c r="A87" t="str">
        <f>Raw_Data!A87</f>
        <v>ORD-10086</v>
      </c>
      <c r="B87" s="13">
        <f>Raw_Data!B87</f>
        <v>45978</v>
      </c>
      <c r="C87" t="str">
        <f>Raw_Data!C87</f>
        <v>C1011</v>
      </c>
      <c r="D87" t="str">
        <f>Raw_Data!D87</f>
        <v>client41@example.com</v>
      </c>
      <c r="E87" t="str">
        <f>Raw_Data!E87</f>
        <v>P1004</v>
      </c>
      <c r="F87" t="str">
        <f>Raw_Data!F87</f>
        <v>USB-C Hub</v>
      </c>
      <c r="G87" t="str">
        <f>Raw_Data!G87</f>
        <v>Accessories</v>
      </c>
      <c r="H87" t="str">
        <f>Raw_Data!H87</f>
        <v>North</v>
      </c>
      <c r="I87" t="str">
        <f>Raw_Data!I87</f>
        <v>Online</v>
      </c>
      <c r="J87" t="str">
        <f>Raw_Data!J87</f>
        <v>Ioana Pavel</v>
      </c>
      <c r="K87">
        <f>Raw_Data!K87</f>
        <v>4</v>
      </c>
      <c r="L87" s="12">
        <f>Raw_Data!L87</f>
        <v>175</v>
      </c>
      <c r="M87" s="12">
        <f>Raw_Data!M87</f>
        <v>98</v>
      </c>
      <c r="N87" s="14">
        <f>Raw_Data!N87</f>
        <v>0.05</v>
      </c>
      <c r="O87" t="str">
        <f>Raw_Data!O87</f>
        <v>Card</v>
      </c>
      <c r="P87" t="str">
        <f>Raw_Data!P87</f>
        <v>Cancelled</v>
      </c>
      <c r="Q87" s="12">
        <f t="shared" si="11"/>
        <v>700</v>
      </c>
      <c r="R87" s="12">
        <f t="shared" si="12"/>
        <v>665</v>
      </c>
      <c r="S87" s="12">
        <f t="shared" si="13"/>
        <v>392</v>
      </c>
      <c r="T87" s="12">
        <f t="shared" si="14"/>
        <v>273</v>
      </c>
      <c r="U87" s="11">
        <f t="shared" si="15"/>
        <v>0.41052631578947368</v>
      </c>
      <c r="V87" t="str">
        <f>IF(OR(A87="",COUNTIF($A$2:$A$301,A87)&gt;1,C87="",D87="",ISERROR(SEARCH("@",D87)),ISERROR(SEARCH(".",D87)),COUNTIF(Lookups!$A$2:$A$11,E87)=0,F87="",H87="",K87&lt;=0,L87&lt;0,M87&lt;0,N87&lt;0,N87&gt;0.5,COUNTIF(Lookups!$K$2:$K$4,P87)=0),"ERROR","VALID")</f>
        <v>VALID</v>
      </c>
      <c r="W87" s="2" t="str">
        <f>IF(A87="","Missing Order ID; ","")&amp;IF(COUNTIF($A$2:$A$301,A87)&gt;1,"Duplicate Order ID; ","")&amp;IF(C87="","Missing Customer ID; ","")&amp;IF(OR(D87="",ISERROR(SEARCH("@",D87)),ISERROR(SEARCH(".",D87))),"Invalid Email; ","")&amp;IF(COUNTIF(Lookups!$A$2:$A$11,E87)=0,"Unknown Product; ","")&amp;IF(F87="","Missing Product Name; ","")&amp;IF(H87="","Missing Region; ","")&amp;IF(K87&lt;=0,"Invalid Quantity; ","")&amp;IF(L87&lt;0,"Invalid Price; ","")&amp;IF(M87&lt;0,"Invalid Cost; ","")&amp;IF(OR(N87&lt;0,N87&gt;0.5),"Invalid Discount; ","")&amp;IF(COUNTIF(Lookups!$K$2:$K$4,P87)=0,"Invalid Status; ","")</f>
        <v/>
      </c>
      <c r="X87" s="15" t="str">
        <f t="shared" si="16"/>
        <v>2025-11</v>
      </c>
      <c r="Y87" t="str">
        <f t="shared" si="17"/>
        <v>Q4</v>
      </c>
      <c r="Z87" t="str">
        <f>IF(R87&gt;=Settings!$B$9,"High Value Customer",IF(R87&gt;=Settings!$B$10,"Medium Value Customer","Standard Customer"))</f>
        <v>Standard Customer</v>
      </c>
      <c r="AA87" t="str">
        <f>IF(R87&gt;=Settings!$B$9,"Large Order",IF(R87&gt;=Settings!$B$10,"Medium Order","Small Order"))</f>
        <v>Small Order</v>
      </c>
      <c r="AB87" t="str">
        <f>IF(N87=0,"No Discount",IF(N87&lt;=0.1,"Low Discount",IF(N87&lt;=Settings!$B$8,"Medium Discount","High Discount")))</f>
        <v>Low Discount</v>
      </c>
      <c r="AC87" t="str">
        <f t="shared" si="18"/>
        <v>Profitable</v>
      </c>
      <c r="AD87" t="str">
        <f>IFERROR(VLOOKUP(E87,Lookups!$A$2:$E$11,2,FALSE),"Product Not Found")</f>
        <v>USB-C Hub</v>
      </c>
      <c r="AE87" t="str">
        <f>IFERROR(VLOOKUP(E87,Lookups!$A$2:$E$11,3,FALSE),"Category Not Found")</f>
        <v>Accessories</v>
      </c>
      <c r="AF87" t="str">
        <f>IFERROR(IF(L87=VLOOKUP(E87,Lookups!$A$2:$E$11,4,FALSE),"Price OK","Price Mismatch"),"Product Missing")</f>
        <v>Price OK</v>
      </c>
      <c r="AG87" t="str">
        <f t="shared" si="19"/>
        <v>Valid Email</v>
      </c>
      <c r="AH87" t="str">
        <f t="shared" si="20"/>
        <v>READY FOR REPORTING</v>
      </c>
      <c r="AI87" t="str">
        <f>IF(AND(LEFT(A87,LEN(Settings!$B$13))=Settings!$B$13,LEN(A87)=9),"Valid Format","Invalid Format")</f>
        <v>Valid Format</v>
      </c>
      <c r="AJ87" t="str">
        <f>IF(LEFT(C87,LEN(Settings!$B$14))=Settings!$B$14,"Valid Format","Invalid Format")</f>
        <v>Valid Format</v>
      </c>
      <c r="AK87" t="str">
        <f>IF(COUNTIF(Master_Data!$G$5:$G$14,C87)=1,"Known Customer","Customer Not in Master")</f>
        <v>Customer Not in Master</v>
      </c>
      <c r="AL87" t="str">
        <f>IF(U87&gt;=Settings!$B$11,"Target Met","Below Target")</f>
        <v>Target Met</v>
      </c>
      <c r="AM87" t="str">
        <f>IF(YEAR(B87)=Settings!$B$5,"Correct Year","Wrong Year")</f>
        <v>Correct Year</v>
      </c>
      <c r="AN87">
        <f t="shared" si="21"/>
        <v>4</v>
      </c>
    </row>
    <row r="88" spans="1:40">
      <c r="A88" t="str">
        <f>Raw_Data!A88</f>
        <v>ORD-10087</v>
      </c>
      <c r="B88" s="13">
        <f>Raw_Data!B88</f>
        <v>45659</v>
      </c>
      <c r="C88" t="str">
        <f>Raw_Data!C88</f>
        <v>C1077</v>
      </c>
      <c r="D88" t="str">
        <f>Raw_Data!D88</f>
        <v>client121@example.com</v>
      </c>
      <c r="E88" t="str">
        <f>Raw_Data!E88</f>
        <v>P1003</v>
      </c>
      <c r="F88" t="str">
        <f>Raw_Data!F88</f>
        <v>Mechanical Keyboard</v>
      </c>
      <c r="G88" t="str">
        <f>Raw_Data!G88</f>
        <v>Accessories</v>
      </c>
      <c r="H88" t="str">
        <f>Raw_Data!H88</f>
        <v>South</v>
      </c>
      <c r="I88" t="str">
        <f>Raw_Data!I88</f>
        <v>Online</v>
      </c>
      <c r="J88" t="str">
        <f>Raw_Data!J88</f>
        <v>Maria Ionescu</v>
      </c>
      <c r="K88">
        <f>Raw_Data!K88</f>
        <v>7</v>
      </c>
      <c r="L88" s="12">
        <f>Raw_Data!L88</f>
        <v>265</v>
      </c>
      <c r="M88" s="12">
        <f>Raw_Data!M88</f>
        <v>155</v>
      </c>
      <c r="N88" s="14">
        <f>Raw_Data!N88</f>
        <v>0.1</v>
      </c>
      <c r="O88" t="str">
        <f>Raw_Data!O88</f>
        <v>Cash</v>
      </c>
      <c r="P88" t="str">
        <f>Raw_Data!P88</f>
        <v>Cancelled</v>
      </c>
      <c r="Q88" s="12">
        <f t="shared" si="11"/>
        <v>1855</v>
      </c>
      <c r="R88" s="12">
        <f t="shared" si="12"/>
        <v>1669.5</v>
      </c>
      <c r="S88" s="12">
        <f t="shared" si="13"/>
        <v>1085</v>
      </c>
      <c r="T88" s="12">
        <f t="shared" si="14"/>
        <v>584.5</v>
      </c>
      <c r="U88" s="11">
        <f t="shared" si="15"/>
        <v>0.35010482180293501</v>
      </c>
      <c r="V88" t="str">
        <f>IF(OR(A88="",COUNTIF($A$2:$A$301,A88)&gt;1,C88="",D88="",ISERROR(SEARCH("@",D88)),ISERROR(SEARCH(".",D88)),COUNTIF(Lookups!$A$2:$A$11,E88)=0,F88="",H88="",K88&lt;=0,L88&lt;0,M88&lt;0,N88&lt;0,N88&gt;0.5,COUNTIF(Lookups!$K$2:$K$4,P88)=0),"ERROR","VALID")</f>
        <v>VALID</v>
      </c>
      <c r="W88" s="2" t="str">
        <f>IF(A88="","Missing Order ID; ","")&amp;IF(COUNTIF($A$2:$A$301,A88)&gt;1,"Duplicate Order ID; ","")&amp;IF(C88="","Missing Customer ID; ","")&amp;IF(OR(D88="",ISERROR(SEARCH("@",D88)),ISERROR(SEARCH(".",D88))),"Invalid Email; ","")&amp;IF(COUNTIF(Lookups!$A$2:$A$11,E88)=0,"Unknown Product; ","")&amp;IF(F88="","Missing Product Name; ","")&amp;IF(H88="","Missing Region; ","")&amp;IF(K88&lt;=0,"Invalid Quantity; ","")&amp;IF(L88&lt;0,"Invalid Price; ","")&amp;IF(M88&lt;0,"Invalid Cost; ","")&amp;IF(OR(N88&lt;0,N88&gt;0.5),"Invalid Discount; ","")&amp;IF(COUNTIF(Lookups!$K$2:$K$4,P88)=0,"Invalid Status; ","")</f>
        <v/>
      </c>
      <c r="X88" s="15" t="str">
        <f t="shared" si="16"/>
        <v>2025-01</v>
      </c>
      <c r="Y88" t="str">
        <f t="shared" si="17"/>
        <v>Q1</v>
      </c>
      <c r="Z88" t="str">
        <f>IF(R88&gt;=Settings!$B$9,"High Value Customer",IF(R88&gt;=Settings!$B$10,"Medium Value Customer","Standard Customer"))</f>
        <v>Standard Customer</v>
      </c>
      <c r="AA88" t="str">
        <f>IF(R88&gt;=Settings!$B$9,"Large Order",IF(R88&gt;=Settings!$B$10,"Medium Order","Small Order"))</f>
        <v>Small Order</v>
      </c>
      <c r="AB88" t="str">
        <f>IF(N88=0,"No Discount",IF(N88&lt;=0.1,"Low Discount",IF(N88&lt;=Settings!$B$8,"Medium Discount","High Discount")))</f>
        <v>Low Discount</v>
      </c>
      <c r="AC88" t="str">
        <f t="shared" si="18"/>
        <v>Profitable</v>
      </c>
      <c r="AD88" t="str">
        <f>IFERROR(VLOOKUP(E88,Lookups!$A$2:$E$11,2,FALSE),"Product Not Found")</f>
        <v>Mechanical Keyboard</v>
      </c>
      <c r="AE88" t="str">
        <f>IFERROR(VLOOKUP(E88,Lookups!$A$2:$E$11,3,FALSE),"Category Not Found")</f>
        <v>Accessories</v>
      </c>
      <c r="AF88" t="str">
        <f>IFERROR(IF(L88=VLOOKUP(E88,Lookups!$A$2:$E$11,4,FALSE),"Price OK","Price Mismatch"),"Product Missing")</f>
        <v>Price OK</v>
      </c>
      <c r="AG88" t="str">
        <f t="shared" si="19"/>
        <v>Valid Email</v>
      </c>
      <c r="AH88" t="str">
        <f t="shared" si="20"/>
        <v>READY FOR REPORTING</v>
      </c>
      <c r="AI88" t="str">
        <f>IF(AND(LEFT(A88,LEN(Settings!$B$13))=Settings!$B$13,LEN(A88)=9),"Valid Format","Invalid Format")</f>
        <v>Valid Format</v>
      </c>
      <c r="AJ88" t="str">
        <f>IF(LEFT(C88,LEN(Settings!$B$14))=Settings!$B$14,"Valid Format","Invalid Format")</f>
        <v>Valid Format</v>
      </c>
      <c r="AK88" t="str">
        <f>IF(COUNTIF(Master_Data!$G$5:$G$14,C88)=1,"Known Customer","Customer Not in Master")</f>
        <v>Customer Not in Master</v>
      </c>
      <c r="AL88" t="str">
        <f>IF(U88&gt;=Settings!$B$11,"Target Met","Below Target")</f>
        <v>Target Met</v>
      </c>
      <c r="AM88" t="str">
        <f>IF(YEAR(B88)=Settings!$B$5,"Correct Year","Wrong Year")</f>
        <v>Correct Year</v>
      </c>
      <c r="AN88">
        <f t="shared" si="21"/>
        <v>4</v>
      </c>
    </row>
    <row r="89" spans="1:40">
      <c r="A89" t="str">
        <f>Raw_Data!A89</f>
        <v>ORD-10088</v>
      </c>
      <c r="B89" s="13">
        <f>Raw_Data!B89</f>
        <v>46017</v>
      </c>
      <c r="C89" t="str">
        <f>Raw_Data!C89</f>
        <v>C1030</v>
      </c>
      <c r="D89" t="str">
        <f>Raw_Data!D89</f>
        <v>client68@example.com</v>
      </c>
      <c r="E89" t="str">
        <f>Raw_Data!E89</f>
        <v>P1005</v>
      </c>
      <c r="F89" t="str">
        <f>Raw_Data!F89</f>
        <v>24-inch Monitor</v>
      </c>
      <c r="G89" t="str">
        <f>Raw_Data!G89</f>
        <v>Electronics</v>
      </c>
      <c r="H89" t="str">
        <f>Raw_Data!H89</f>
        <v>West</v>
      </c>
      <c r="I89" t="str">
        <f>Raw_Data!I89</f>
        <v>Marketplace</v>
      </c>
      <c r="J89" t="str">
        <f>Raw_Data!J89</f>
        <v>Maria Ionescu</v>
      </c>
      <c r="K89">
        <f>Raw_Data!K89</f>
        <v>8</v>
      </c>
      <c r="L89" s="12">
        <f>Raw_Data!L89</f>
        <v>720</v>
      </c>
      <c r="M89" s="12">
        <f>Raw_Data!M89</f>
        <v>510</v>
      </c>
      <c r="N89" s="14">
        <f>Raw_Data!N89</f>
        <v>0</v>
      </c>
      <c r="O89" t="str">
        <f>Raw_Data!O89</f>
        <v>Online Wallet</v>
      </c>
      <c r="P89" t="str">
        <f>Raw_Data!P89</f>
        <v>Cancelled</v>
      </c>
      <c r="Q89" s="12">
        <f t="shared" si="11"/>
        <v>5760</v>
      </c>
      <c r="R89" s="12">
        <f t="shared" si="12"/>
        <v>5760</v>
      </c>
      <c r="S89" s="12">
        <f t="shared" si="13"/>
        <v>4080</v>
      </c>
      <c r="T89" s="12">
        <f t="shared" si="14"/>
        <v>1680</v>
      </c>
      <c r="U89" s="11">
        <f t="shared" si="15"/>
        <v>0.29166666666666669</v>
      </c>
      <c r="V89" t="str">
        <f>IF(OR(A89="",COUNTIF($A$2:$A$301,A89)&gt;1,C89="",D89="",ISERROR(SEARCH("@",D89)),ISERROR(SEARCH(".",D89)),COUNTIF(Lookups!$A$2:$A$11,E89)=0,F89="",H89="",K89&lt;=0,L89&lt;0,M89&lt;0,N89&lt;0,N89&gt;0.5,COUNTIF(Lookups!$K$2:$K$4,P89)=0),"ERROR","VALID")</f>
        <v>VALID</v>
      </c>
      <c r="W89" s="2" t="str">
        <f>IF(A89="","Missing Order ID; ","")&amp;IF(COUNTIF($A$2:$A$301,A89)&gt;1,"Duplicate Order ID; ","")&amp;IF(C89="","Missing Customer ID; ","")&amp;IF(OR(D89="",ISERROR(SEARCH("@",D89)),ISERROR(SEARCH(".",D89))),"Invalid Email; ","")&amp;IF(COUNTIF(Lookups!$A$2:$A$11,E89)=0,"Unknown Product; ","")&amp;IF(F89="","Missing Product Name; ","")&amp;IF(H89="","Missing Region; ","")&amp;IF(K89&lt;=0,"Invalid Quantity; ","")&amp;IF(L89&lt;0,"Invalid Price; ","")&amp;IF(M89&lt;0,"Invalid Cost; ","")&amp;IF(OR(N89&lt;0,N89&gt;0.5),"Invalid Discount; ","")&amp;IF(COUNTIF(Lookups!$K$2:$K$4,P89)=0,"Invalid Status; ","")</f>
        <v/>
      </c>
      <c r="X89" s="15" t="str">
        <f t="shared" si="16"/>
        <v>2025-12</v>
      </c>
      <c r="Y89" t="str">
        <f t="shared" si="17"/>
        <v>Q4</v>
      </c>
      <c r="Z89" t="str">
        <f>IF(R89&gt;=Settings!$B$9,"High Value Customer",IF(R89&gt;=Settings!$B$10,"Medium Value Customer","Standard Customer"))</f>
        <v>High Value Customer</v>
      </c>
      <c r="AA89" t="str">
        <f>IF(R89&gt;=Settings!$B$9,"Large Order",IF(R89&gt;=Settings!$B$10,"Medium Order","Small Order"))</f>
        <v>Large Order</v>
      </c>
      <c r="AB89" t="str">
        <f>IF(N89=0,"No Discount",IF(N89&lt;=0.1,"Low Discount",IF(N89&lt;=Settings!$B$8,"Medium Discount","High Discount")))</f>
        <v>No Discount</v>
      </c>
      <c r="AC89" t="str">
        <f t="shared" si="18"/>
        <v>Profitable</v>
      </c>
      <c r="AD89" t="str">
        <f>IFERROR(VLOOKUP(E89,Lookups!$A$2:$E$11,2,FALSE),"Product Not Found")</f>
        <v>24-inch Monitor</v>
      </c>
      <c r="AE89" t="str">
        <f>IFERROR(VLOOKUP(E89,Lookups!$A$2:$E$11,3,FALSE),"Category Not Found")</f>
        <v>Electronics</v>
      </c>
      <c r="AF89" t="str">
        <f>IFERROR(IF(L89=VLOOKUP(E89,Lookups!$A$2:$E$11,4,FALSE),"Price OK","Price Mismatch"),"Product Missing")</f>
        <v>Price OK</v>
      </c>
      <c r="AG89" t="str">
        <f t="shared" si="19"/>
        <v>Valid Email</v>
      </c>
      <c r="AH89" t="str">
        <f t="shared" si="20"/>
        <v>READY FOR REPORTING</v>
      </c>
      <c r="AI89" t="str">
        <f>IF(AND(LEFT(A89,LEN(Settings!$B$13))=Settings!$B$13,LEN(A89)=9),"Valid Format","Invalid Format")</f>
        <v>Valid Format</v>
      </c>
      <c r="AJ89" t="str">
        <f>IF(LEFT(C89,LEN(Settings!$B$14))=Settings!$B$14,"Valid Format","Invalid Format")</f>
        <v>Valid Format</v>
      </c>
      <c r="AK89" t="str">
        <f>IF(COUNTIF(Master_Data!$G$5:$G$14,C89)=1,"Known Customer","Customer Not in Master")</f>
        <v>Customer Not in Master</v>
      </c>
      <c r="AL89" t="str">
        <f>IF(U89&gt;=Settings!$B$11,"Target Met","Below Target")</f>
        <v>Target Met</v>
      </c>
      <c r="AM89" t="str">
        <f>IF(YEAR(B89)=Settings!$B$5,"Correct Year","Wrong Year")</f>
        <v>Correct Year</v>
      </c>
      <c r="AN89">
        <f t="shared" si="21"/>
        <v>4</v>
      </c>
    </row>
    <row r="90" spans="1:40">
      <c r="A90" t="str">
        <f>Raw_Data!A90</f>
        <v>ORD-10089</v>
      </c>
      <c r="B90" s="13">
        <f>Raw_Data!B90</f>
        <v>45936</v>
      </c>
      <c r="C90" t="str">
        <f>Raw_Data!C90</f>
        <v>C1117</v>
      </c>
      <c r="D90" t="str">
        <f>Raw_Data!D90</f>
        <v>client69@example.com</v>
      </c>
      <c r="E90" t="str">
        <f>Raw_Data!E90</f>
        <v>P1002</v>
      </c>
      <c r="F90" t="str">
        <f>Raw_Data!F90</f>
        <v>Wireless Mouse</v>
      </c>
      <c r="G90" t="str">
        <f>Raw_Data!G90</f>
        <v>Accessories</v>
      </c>
      <c r="H90" t="str">
        <f>Raw_Data!H90</f>
        <v>North</v>
      </c>
      <c r="I90" t="str">
        <f>Raw_Data!I90</f>
        <v>Online</v>
      </c>
      <c r="J90" t="str">
        <f>Raw_Data!J90</f>
        <v>Andrei Pop</v>
      </c>
      <c r="K90">
        <f>Raw_Data!K90</f>
        <v>4</v>
      </c>
      <c r="L90" s="12">
        <f>Raw_Data!L90</f>
        <v>85</v>
      </c>
      <c r="M90" s="12">
        <f>Raw_Data!M90</f>
        <v>44</v>
      </c>
      <c r="N90" s="14">
        <f>Raw_Data!N90</f>
        <v>0.2</v>
      </c>
      <c r="O90" t="str">
        <f>Raw_Data!O90</f>
        <v>Bank Transfer</v>
      </c>
      <c r="P90" t="str">
        <f>Raw_Data!P90</f>
        <v>Completed</v>
      </c>
      <c r="Q90" s="12">
        <f t="shared" si="11"/>
        <v>340</v>
      </c>
      <c r="R90" s="12">
        <f t="shared" si="12"/>
        <v>272</v>
      </c>
      <c r="S90" s="12">
        <f t="shared" si="13"/>
        <v>176</v>
      </c>
      <c r="T90" s="12">
        <f t="shared" si="14"/>
        <v>96</v>
      </c>
      <c r="U90" s="11">
        <f t="shared" si="15"/>
        <v>0.35294117647058826</v>
      </c>
      <c r="V90" t="str">
        <f>IF(OR(A90="",COUNTIF($A$2:$A$301,A90)&gt;1,C90="",D90="",ISERROR(SEARCH("@",D90)),ISERROR(SEARCH(".",D90)),COUNTIF(Lookups!$A$2:$A$11,E90)=0,F90="",H90="",K90&lt;=0,L90&lt;0,M90&lt;0,N90&lt;0,N90&gt;0.5,COUNTIF(Lookups!$K$2:$K$4,P90)=0),"ERROR","VALID")</f>
        <v>VALID</v>
      </c>
      <c r="W90" s="2" t="str">
        <f>IF(A90="","Missing Order ID; ","")&amp;IF(COUNTIF($A$2:$A$301,A90)&gt;1,"Duplicate Order ID; ","")&amp;IF(C90="","Missing Customer ID; ","")&amp;IF(OR(D90="",ISERROR(SEARCH("@",D90)),ISERROR(SEARCH(".",D90))),"Invalid Email; ","")&amp;IF(COUNTIF(Lookups!$A$2:$A$11,E90)=0,"Unknown Product; ","")&amp;IF(F90="","Missing Product Name; ","")&amp;IF(H90="","Missing Region; ","")&amp;IF(K90&lt;=0,"Invalid Quantity; ","")&amp;IF(L90&lt;0,"Invalid Price; ","")&amp;IF(M90&lt;0,"Invalid Cost; ","")&amp;IF(OR(N90&lt;0,N90&gt;0.5),"Invalid Discount; ","")&amp;IF(COUNTIF(Lookups!$K$2:$K$4,P90)=0,"Invalid Status; ","")</f>
        <v/>
      </c>
      <c r="X90" s="15" t="str">
        <f t="shared" si="16"/>
        <v>2025-10</v>
      </c>
      <c r="Y90" t="str">
        <f t="shared" si="17"/>
        <v>Q4</v>
      </c>
      <c r="Z90" t="str">
        <f>IF(R90&gt;=Settings!$B$9,"High Value Customer",IF(R90&gt;=Settings!$B$10,"Medium Value Customer","Standard Customer"))</f>
        <v>Standard Customer</v>
      </c>
      <c r="AA90" t="str">
        <f>IF(R90&gt;=Settings!$B$9,"Large Order",IF(R90&gt;=Settings!$B$10,"Medium Order","Small Order"))</f>
        <v>Small Order</v>
      </c>
      <c r="AB90" t="str">
        <f>IF(N90=0,"No Discount",IF(N90&lt;=0.1,"Low Discount",IF(N90&lt;=Settings!$B$8,"Medium Discount","High Discount")))</f>
        <v>Medium Discount</v>
      </c>
      <c r="AC90" t="str">
        <f t="shared" si="18"/>
        <v>Profitable</v>
      </c>
      <c r="AD90" t="str">
        <f>IFERROR(VLOOKUP(E90,Lookups!$A$2:$E$11,2,FALSE),"Product Not Found")</f>
        <v>Wireless Mouse</v>
      </c>
      <c r="AE90" t="str">
        <f>IFERROR(VLOOKUP(E90,Lookups!$A$2:$E$11,3,FALSE),"Category Not Found")</f>
        <v>Accessories</v>
      </c>
      <c r="AF90" t="str">
        <f>IFERROR(IF(L90=VLOOKUP(E90,Lookups!$A$2:$E$11,4,FALSE),"Price OK","Price Mismatch"),"Product Missing")</f>
        <v>Price OK</v>
      </c>
      <c r="AG90" t="str">
        <f t="shared" si="19"/>
        <v>Valid Email</v>
      </c>
      <c r="AH90" t="str">
        <f t="shared" si="20"/>
        <v>READY FOR REPORTING</v>
      </c>
      <c r="AI90" t="str">
        <f>IF(AND(LEFT(A90,LEN(Settings!$B$13))=Settings!$B$13,LEN(A90)=9),"Valid Format","Invalid Format")</f>
        <v>Valid Format</v>
      </c>
      <c r="AJ90" t="str">
        <f>IF(LEFT(C90,LEN(Settings!$B$14))=Settings!$B$14,"Valid Format","Invalid Format")</f>
        <v>Valid Format</v>
      </c>
      <c r="AK90" t="str">
        <f>IF(COUNTIF(Master_Data!$G$5:$G$14,C90)=1,"Known Customer","Customer Not in Master")</f>
        <v>Customer Not in Master</v>
      </c>
      <c r="AL90" t="str">
        <f>IF(U90&gt;=Settings!$B$11,"Target Met","Below Target")</f>
        <v>Target Met</v>
      </c>
      <c r="AM90" t="str">
        <f>IF(YEAR(B90)=Settings!$B$5,"Correct Year","Wrong Year")</f>
        <v>Correct Year</v>
      </c>
      <c r="AN90">
        <f t="shared" si="21"/>
        <v>4</v>
      </c>
    </row>
    <row r="91" spans="1:40">
      <c r="A91" t="str">
        <f>Raw_Data!A91</f>
        <v>ORD-10090</v>
      </c>
      <c r="B91" s="13">
        <f>Raw_Data!B91</f>
        <v>45962</v>
      </c>
      <c r="C91" t="str">
        <f>Raw_Data!C91</f>
        <v>C1057</v>
      </c>
      <c r="D91" t="str">
        <f>Raw_Data!D91</f>
        <v>client32@example.com</v>
      </c>
      <c r="E91" t="str">
        <f>Raw_Data!E91</f>
        <v>P1005</v>
      </c>
      <c r="F91" t="str">
        <f>Raw_Data!F91</f>
        <v>24-inch Monitor</v>
      </c>
      <c r="G91" t="str">
        <f>Raw_Data!G91</f>
        <v>Electronics</v>
      </c>
      <c r="H91" t="str">
        <f>Raw_Data!H91</f>
        <v>East</v>
      </c>
      <c r="I91" t="str">
        <f>Raw_Data!I91</f>
        <v>Marketplace</v>
      </c>
      <c r="J91" t="str">
        <f>Raw_Data!J91</f>
        <v>Elena Stan</v>
      </c>
      <c r="K91">
        <f>Raw_Data!K91</f>
        <v>12</v>
      </c>
      <c r="L91" s="12">
        <f>Raw_Data!L91</f>
        <v>720</v>
      </c>
      <c r="M91" s="12">
        <f>Raw_Data!M91</f>
        <v>510</v>
      </c>
      <c r="N91" s="14">
        <f>Raw_Data!N91</f>
        <v>0.15</v>
      </c>
      <c r="O91" t="str">
        <f>Raw_Data!O91</f>
        <v>Online Wallet</v>
      </c>
      <c r="P91" t="str">
        <f>Raw_Data!P91</f>
        <v>Completed</v>
      </c>
      <c r="Q91" s="12">
        <f t="shared" si="11"/>
        <v>8640</v>
      </c>
      <c r="R91" s="12">
        <f t="shared" si="12"/>
        <v>7344</v>
      </c>
      <c r="S91" s="12">
        <f t="shared" si="13"/>
        <v>6120</v>
      </c>
      <c r="T91" s="12">
        <f t="shared" si="14"/>
        <v>1224</v>
      </c>
      <c r="U91" s="11">
        <f t="shared" si="15"/>
        <v>0.16666666666666666</v>
      </c>
      <c r="V91" t="str">
        <f>IF(OR(A91="",COUNTIF($A$2:$A$301,A91)&gt;1,C91="",D91="",ISERROR(SEARCH("@",D91)),ISERROR(SEARCH(".",D91)),COUNTIF(Lookups!$A$2:$A$11,E91)=0,F91="",H91="",K91&lt;=0,L91&lt;0,M91&lt;0,N91&lt;0,N91&gt;0.5,COUNTIF(Lookups!$K$2:$K$4,P91)=0),"ERROR","VALID")</f>
        <v>VALID</v>
      </c>
      <c r="W91" s="2" t="str">
        <f>IF(A91="","Missing Order ID; ","")&amp;IF(COUNTIF($A$2:$A$301,A91)&gt;1,"Duplicate Order ID; ","")&amp;IF(C91="","Missing Customer ID; ","")&amp;IF(OR(D91="",ISERROR(SEARCH("@",D91)),ISERROR(SEARCH(".",D91))),"Invalid Email; ","")&amp;IF(COUNTIF(Lookups!$A$2:$A$11,E91)=0,"Unknown Product; ","")&amp;IF(F91="","Missing Product Name; ","")&amp;IF(H91="","Missing Region; ","")&amp;IF(K91&lt;=0,"Invalid Quantity; ","")&amp;IF(L91&lt;0,"Invalid Price; ","")&amp;IF(M91&lt;0,"Invalid Cost; ","")&amp;IF(OR(N91&lt;0,N91&gt;0.5),"Invalid Discount; ","")&amp;IF(COUNTIF(Lookups!$K$2:$K$4,P91)=0,"Invalid Status; ","")</f>
        <v/>
      </c>
      <c r="X91" s="15" t="str">
        <f t="shared" si="16"/>
        <v>2025-11</v>
      </c>
      <c r="Y91" t="str">
        <f t="shared" si="17"/>
        <v>Q4</v>
      </c>
      <c r="Z91" t="str">
        <f>IF(R91&gt;=Settings!$B$9,"High Value Customer",IF(R91&gt;=Settings!$B$10,"Medium Value Customer","Standard Customer"))</f>
        <v>High Value Customer</v>
      </c>
      <c r="AA91" t="str">
        <f>IF(R91&gt;=Settings!$B$9,"Large Order",IF(R91&gt;=Settings!$B$10,"Medium Order","Small Order"))</f>
        <v>Large Order</v>
      </c>
      <c r="AB91" t="str">
        <f>IF(N91=0,"No Discount",IF(N91&lt;=0.1,"Low Discount",IF(N91&lt;=Settings!$B$8,"Medium Discount","High Discount")))</f>
        <v>Medium Discount</v>
      </c>
      <c r="AC91" t="str">
        <f t="shared" si="18"/>
        <v>Profitable</v>
      </c>
      <c r="AD91" t="str">
        <f>IFERROR(VLOOKUP(E91,Lookups!$A$2:$E$11,2,FALSE),"Product Not Found")</f>
        <v>24-inch Monitor</v>
      </c>
      <c r="AE91" t="str">
        <f>IFERROR(VLOOKUP(E91,Lookups!$A$2:$E$11,3,FALSE),"Category Not Found")</f>
        <v>Electronics</v>
      </c>
      <c r="AF91" t="str">
        <f>IFERROR(IF(L91=VLOOKUP(E91,Lookups!$A$2:$E$11,4,FALSE),"Price OK","Price Mismatch"),"Product Missing")</f>
        <v>Price OK</v>
      </c>
      <c r="AG91" t="str">
        <f t="shared" si="19"/>
        <v>Valid Email</v>
      </c>
      <c r="AH91" t="str">
        <f t="shared" si="20"/>
        <v>READY FOR REPORTING</v>
      </c>
      <c r="AI91" t="str">
        <f>IF(AND(LEFT(A91,LEN(Settings!$B$13))=Settings!$B$13,LEN(A91)=9),"Valid Format","Invalid Format")</f>
        <v>Valid Format</v>
      </c>
      <c r="AJ91" t="str">
        <f>IF(LEFT(C91,LEN(Settings!$B$14))=Settings!$B$14,"Valid Format","Invalid Format")</f>
        <v>Valid Format</v>
      </c>
      <c r="AK91" t="str">
        <f>IF(COUNTIF(Master_Data!$G$5:$G$14,C91)=1,"Known Customer","Customer Not in Master")</f>
        <v>Customer Not in Master</v>
      </c>
      <c r="AL91" t="str">
        <f>IF(U91&gt;=Settings!$B$11,"Target Met","Below Target")</f>
        <v>Below Target</v>
      </c>
      <c r="AM91" t="str">
        <f>IF(YEAR(B91)=Settings!$B$5,"Correct Year","Wrong Year")</f>
        <v>Correct Year</v>
      </c>
      <c r="AN91">
        <f t="shared" si="21"/>
        <v>3</v>
      </c>
    </row>
    <row r="92" spans="1:40">
      <c r="A92" t="str">
        <f>Raw_Data!A92</f>
        <v>ORD-10091</v>
      </c>
      <c r="B92" s="13">
        <f>Raw_Data!B92</f>
        <v>45914</v>
      </c>
      <c r="C92" t="str">
        <f>Raw_Data!C92</f>
        <v>C1011</v>
      </c>
      <c r="D92" t="str">
        <f>Raw_Data!D92</f>
        <v>client154@example.com</v>
      </c>
      <c r="E92" t="str">
        <f>Raw_Data!E92</f>
        <v>P1005</v>
      </c>
      <c r="F92" t="str">
        <f>Raw_Data!F92</f>
        <v>24-inch Monitor</v>
      </c>
      <c r="G92" t="str">
        <f>Raw_Data!G92</f>
        <v>Electronics</v>
      </c>
      <c r="H92" t="str">
        <f>Raw_Data!H92</f>
        <v>Bucharest</v>
      </c>
      <c r="I92" t="str">
        <f>Raw_Data!I92</f>
        <v>Store</v>
      </c>
      <c r="J92" t="str">
        <f>Raw_Data!J92</f>
        <v>Elena Stan</v>
      </c>
      <c r="K92">
        <f>Raw_Data!K92</f>
        <v>9</v>
      </c>
      <c r="L92" s="12">
        <f>Raw_Data!L92</f>
        <v>720</v>
      </c>
      <c r="M92" s="12">
        <f>Raw_Data!M92</f>
        <v>510</v>
      </c>
      <c r="N92" s="14">
        <f>Raw_Data!N92</f>
        <v>0.1</v>
      </c>
      <c r="O92" t="str">
        <f>Raw_Data!O92</f>
        <v>Cash</v>
      </c>
      <c r="P92" t="str">
        <f>Raw_Data!P92</f>
        <v>Completed</v>
      </c>
      <c r="Q92" s="12">
        <f t="shared" si="11"/>
        <v>6480</v>
      </c>
      <c r="R92" s="12">
        <f t="shared" si="12"/>
        <v>5832</v>
      </c>
      <c r="S92" s="12">
        <f t="shared" si="13"/>
        <v>4590</v>
      </c>
      <c r="T92" s="12">
        <f t="shared" si="14"/>
        <v>1242</v>
      </c>
      <c r="U92" s="11">
        <f t="shared" si="15"/>
        <v>0.21296296296296297</v>
      </c>
      <c r="V92" t="str">
        <f>IF(OR(A92="",COUNTIF($A$2:$A$301,A92)&gt;1,C92="",D92="",ISERROR(SEARCH("@",D92)),ISERROR(SEARCH(".",D92)),COUNTIF(Lookups!$A$2:$A$11,E92)=0,F92="",H92="",K92&lt;=0,L92&lt;0,M92&lt;0,N92&lt;0,N92&gt;0.5,COUNTIF(Lookups!$K$2:$K$4,P92)=0),"ERROR","VALID")</f>
        <v>VALID</v>
      </c>
      <c r="W92" s="2" t="str">
        <f>IF(A92="","Missing Order ID; ","")&amp;IF(COUNTIF($A$2:$A$301,A92)&gt;1,"Duplicate Order ID; ","")&amp;IF(C92="","Missing Customer ID; ","")&amp;IF(OR(D92="",ISERROR(SEARCH("@",D92)),ISERROR(SEARCH(".",D92))),"Invalid Email; ","")&amp;IF(COUNTIF(Lookups!$A$2:$A$11,E92)=0,"Unknown Product; ","")&amp;IF(F92="","Missing Product Name; ","")&amp;IF(H92="","Missing Region; ","")&amp;IF(K92&lt;=0,"Invalid Quantity; ","")&amp;IF(L92&lt;0,"Invalid Price; ","")&amp;IF(M92&lt;0,"Invalid Cost; ","")&amp;IF(OR(N92&lt;0,N92&gt;0.5),"Invalid Discount; ","")&amp;IF(COUNTIF(Lookups!$K$2:$K$4,P92)=0,"Invalid Status; ","")</f>
        <v/>
      </c>
      <c r="X92" s="15" t="str">
        <f t="shared" si="16"/>
        <v>2025-09</v>
      </c>
      <c r="Y92" t="str">
        <f t="shared" si="17"/>
        <v>Q3</v>
      </c>
      <c r="Z92" t="str">
        <f>IF(R92&gt;=Settings!$B$9,"High Value Customer",IF(R92&gt;=Settings!$B$10,"Medium Value Customer","Standard Customer"))</f>
        <v>High Value Customer</v>
      </c>
      <c r="AA92" t="str">
        <f>IF(R92&gt;=Settings!$B$9,"Large Order",IF(R92&gt;=Settings!$B$10,"Medium Order","Small Order"))</f>
        <v>Large Order</v>
      </c>
      <c r="AB92" t="str">
        <f>IF(N92=0,"No Discount",IF(N92&lt;=0.1,"Low Discount",IF(N92&lt;=Settings!$B$8,"Medium Discount","High Discount")))</f>
        <v>Low Discount</v>
      </c>
      <c r="AC92" t="str">
        <f t="shared" si="18"/>
        <v>Profitable</v>
      </c>
      <c r="AD92" t="str">
        <f>IFERROR(VLOOKUP(E92,Lookups!$A$2:$E$11,2,FALSE),"Product Not Found")</f>
        <v>24-inch Monitor</v>
      </c>
      <c r="AE92" t="str">
        <f>IFERROR(VLOOKUP(E92,Lookups!$A$2:$E$11,3,FALSE),"Category Not Found")</f>
        <v>Electronics</v>
      </c>
      <c r="AF92" t="str">
        <f>IFERROR(IF(L92=VLOOKUP(E92,Lookups!$A$2:$E$11,4,FALSE),"Price OK","Price Mismatch"),"Product Missing")</f>
        <v>Price OK</v>
      </c>
      <c r="AG92" t="str">
        <f t="shared" si="19"/>
        <v>Valid Email</v>
      </c>
      <c r="AH92" t="str">
        <f t="shared" si="20"/>
        <v>READY FOR REPORTING</v>
      </c>
      <c r="AI92" t="str">
        <f>IF(AND(LEFT(A92,LEN(Settings!$B$13))=Settings!$B$13,LEN(A92)=9),"Valid Format","Invalid Format")</f>
        <v>Valid Format</v>
      </c>
      <c r="AJ92" t="str">
        <f>IF(LEFT(C92,LEN(Settings!$B$14))=Settings!$B$14,"Valid Format","Invalid Format")</f>
        <v>Valid Format</v>
      </c>
      <c r="AK92" t="str">
        <f>IF(COUNTIF(Master_Data!$G$5:$G$14,C92)=1,"Known Customer","Customer Not in Master")</f>
        <v>Customer Not in Master</v>
      </c>
      <c r="AL92" t="str">
        <f>IF(U92&gt;=Settings!$B$11,"Target Met","Below Target")</f>
        <v>Below Target</v>
      </c>
      <c r="AM92" t="str">
        <f>IF(YEAR(B92)=Settings!$B$5,"Correct Year","Wrong Year")</f>
        <v>Correct Year</v>
      </c>
      <c r="AN92">
        <f t="shared" si="21"/>
        <v>3</v>
      </c>
    </row>
    <row r="93" spans="1:40">
      <c r="A93" t="str">
        <f>Raw_Data!A93</f>
        <v>ORD-10092</v>
      </c>
      <c r="B93" s="13">
        <f>Raw_Data!B93</f>
        <v>45704</v>
      </c>
      <c r="C93" t="str">
        <f>Raw_Data!C93</f>
        <v>C1076</v>
      </c>
      <c r="D93" t="str">
        <f>Raw_Data!D93</f>
        <v>client6@example.com</v>
      </c>
      <c r="E93" t="str">
        <f>Raw_Data!E93</f>
        <v>P1001</v>
      </c>
      <c r="F93" t="str">
        <f>Raw_Data!F93</f>
        <v>Laptop Stand</v>
      </c>
      <c r="G93" t="str">
        <f>Raw_Data!G93</f>
        <v>Accessories</v>
      </c>
      <c r="H93" t="str">
        <f>Raw_Data!H93</f>
        <v>South</v>
      </c>
      <c r="I93" t="str">
        <f>Raw_Data!I93</f>
        <v>Marketplace</v>
      </c>
      <c r="J93" t="str">
        <f>Raw_Data!J93</f>
        <v>Andrei Pop</v>
      </c>
      <c r="K93">
        <f>Raw_Data!K93</f>
        <v>4</v>
      </c>
      <c r="L93" s="12">
        <f>Raw_Data!L93</f>
        <v>95</v>
      </c>
      <c r="M93" s="12">
        <f>Raw_Data!M93</f>
        <v>52</v>
      </c>
      <c r="N93" s="14">
        <f>Raw_Data!N93</f>
        <v>0.2</v>
      </c>
      <c r="O93" t="str">
        <f>Raw_Data!O93</f>
        <v>Bank Transfer</v>
      </c>
      <c r="P93" t="str">
        <f>Raw_Data!P93</f>
        <v>Returned</v>
      </c>
      <c r="Q93" s="12">
        <f t="shared" si="11"/>
        <v>380</v>
      </c>
      <c r="R93" s="12">
        <f t="shared" si="12"/>
        <v>304</v>
      </c>
      <c r="S93" s="12">
        <f t="shared" si="13"/>
        <v>208</v>
      </c>
      <c r="T93" s="12">
        <f t="shared" si="14"/>
        <v>96</v>
      </c>
      <c r="U93" s="11">
        <f t="shared" si="15"/>
        <v>0.31578947368421051</v>
      </c>
      <c r="V93" t="str">
        <f>IF(OR(A93="",COUNTIF($A$2:$A$301,A93)&gt;1,C93="",D93="",ISERROR(SEARCH("@",D93)),ISERROR(SEARCH(".",D93)),COUNTIF(Lookups!$A$2:$A$11,E93)=0,F93="",H93="",K93&lt;=0,L93&lt;0,M93&lt;0,N93&lt;0,N93&gt;0.5,COUNTIF(Lookups!$K$2:$K$4,P93)=0),"ERROR","VALID")</f>
        <v>VALID</v>
      </c>
      <c r="W93" s="2" t="str">
        <f>IF(A93="","Missing Order ID; ","")&amp;IF(COUNTIF($A$2:$A$301,A93)&gt;1,"Duplicate Order ID; ","")&amp;IF(C93="","Missing Customer ID; ","")&amp;IF(OR(D93="",ISERROR(SEARCH("@",D93)),ISERROR(SEARCH(".",D93))),"Invalid Email; ","")&amp;IF(COUNTIF(Lookups!$A$2:$A$11,E93)=0,"Unknown Product; ","")&amp;IF(F93="","Missing Product Name; ","")&amp;IF(H93="","Missing Region; ","")&amp;IF(K93&lt;=0,"Invalid Quantity; ","")&amp;IF(L93&lt;0,"Invalid Price; ","")&amp;IF(M93&lt;0,"Invalid Cost; ","")&amp;IF(OR(N93&lt;0,N93&gt;0.5),"Invalid Discount; ","")&amp;IF(COUNTIF(Lookups!$K$2:$K$4,P93)=0,"Invalid Status; ","")</f>
        <v/>
      </c>
      <c r="X93" s="15" t="str">
        <f t="shared" si="16"/>
        <v>2025-02</v>
      </c>
      <c r="Y93" t="str">
        <f t="shared" si="17"/>
        <v>Q1</v>
      </c>
      <c r="Z93" t="str">
        <f>IF(R93&gt;=Settings!$B$9,"High Value Customer",IF(R93&gt;=Settings!$B$10,"Medium Value Customer","Standard Customer"))</f>
        <v>Standard Customer</v>
      </c>
      <c r="AA93" t="str">
        <f>IF(R93&gt;=Settings!$B$9,"Large Order",IF(R93&gt;=Settings!$B$10,"Medium Order","Small Order"))</f>
        <v>Small Order</v>
      </c>
      <c r="AB93" t="str">
        <f>IF(N93=0,"No Discount",IF(N93&lt;=0.1,"Low Discount",IF(N93&lt;=Settings!$B$8,"Medium Discount","High Discount")))</f>
        <v>Medium Discount</v>
      </c>
      <c r="AC93" t="str">
        <f t="shared" si="18"/>
        <v>Profitable</v>
      </c>
      <c r="AD93" t="str">
        <f>IFERROR(VLOOKUP(E93,Lookups!$A$2:$E$11,2,FALSE),"Product Not Found")</f>
        <v>Laptop Stand</v>
      </c>
      <c r="AE93" t="str">
        <f>IFERROR(VLOOKUP(E93,Lookups!$A$2:$E$11,3,FALSE),"Category Not Found")</f>
        <v>Accessories</v>
      </c>
      <c r="AF93" t="str">
        <f>IFERROR(IF(L93=VLOOKUP(E93,Lookups!$A$2:$E$11,4,FALSE),"Price OK","Price Mismatch"),"Product Missing")</f>
        <v>Price OK</v>
      </c>
      <c r="AG93" t="str">
        <f t="shared" si="19"/>
        <v>Valid Email</v>
      </c>
      <c r="AH93" t="str">
        <f t="shared" si="20"/>
        <v>READY FOR REPORTING</v>
      </c>
      <c r="AI93" t="str">
        <f>IF(AND(LEFT(A93,LEN(Settings!$B$13))=Settings!$B$13,LEN(A93)=9),"Valid Format","Invalid Format")</f>
        <v>Valid Format</v>
      </c>
      <c r="AJ93" t="str">
        <f>IF(LEFT(C93,LEN(Settings!$B$14))=Settings!$B$14,"Valid Format","Invalid Format")</f>
        <v>Valid Format</v>
      </c>
      <c r="AK93" t="str">
        <f>IF(COUNTIF(Master_Data!$G$5:$G$14,C93)=1,"Known Customer","Customer Not in Master")</f>
        <v>Customer Not in Master</v>
      </c>
      <c r="AL93" t="str">
        <f>IF(U93&gt;=Settings!$B$11,"Target Met","Below Target")</f>
        <v>Target Met</v>
      </c>
      <c r="AM93" t="str">
        <f>IF(YEAR(B93)=Settings!$B$5,"Correct Year","Wrong Year")</f>
        <v>Correct Year</v>
      </c>
      <c r="AN93">
        <f t="shared" si="21"/>
        <v>4</v>
      </c>
    </row>
    <row r="94" spans="1:40">
      <c r="A94" t="str">
        <f>Raw_Data!A94</f>
        <v>ORD-10093</v>
      </c>
      <c r="B94" s="13">
        <f>Raw_Data!B94</f>
        <v>45923</v>
      </c>
      <c r="C94" t="str">
        <f>Raw_Data!C94</f>
        <v>C1024</v>
      </c>
      <c r="D94" t="str">
        <f>Raw_Data!D94</f>
        <v>client150@example.com</v>
      </c>
      <c r="E94" t="str">
        <f>Raw_Data!E94</f>
        <v>P1008</v>
      </c>
      <c r="F94" t="str">
        <f>Raw_Data!F94</f>
        <v>Standing Desk</v>
      </c>
      <c r="G94" t="str">
        <f>Raw_Data!G94</f>
        <v>Furniture</v>
      </c>
      <c r="H94" t="str">
        <f>Raw_Data!H94</f>
        <v>East</v>
      </c>
      <c r="I94" t="str">
        <f>Raw_Data!I94</f>
        <v>Marketplace</v>
      </c>
      <c r="J94" t="str">
        <f>Raw_Data!J94</f>
        <v>Mihai Radu</v>
      </c>
      <c r="K94">
        <f>Raw_Data!K94</f>
        <v>11</v>
      </c>
      <c r="L94" s="12">
        <f>Raw_Data!L94</f>
        <v>1450</v>
      </c>
      <c r="M94" s="12">
        <f>Raw_Data!M94</f>
        <v>1030</v>
      </c>
      <c r="N94" s="14">
        <f>Raw_Data!N94</f>
        <v>0.1</v>
      </c>
      <c r="O94" t="str">
        <f>Raw_Data!O94</f>
        <v>Card</v>
      </c>
      <c r="P94" t="str">
        <f>Raw_Data!P94</f>
        <v>Completed</v>
      </c>
      <c r="Q94" s="12">
        <f t="shared" si="11"/>
        <v>15950</v>
      </c>
      <c r="R94" s="12">
        <f t="shared" si="12"/>
        <v>14355</v>
      </c>
      <c r="S94" s="12">
        <f t="shared" si="13"/>
        <v>11330</v>
      </c>
      <c r="T94" s="12">
        <f t="shared" si="14"/>
        <v>3025</v>
      </c>
      <c r="U94" s="11">
        <f t="shared" si="15"/>
        <v>0.21072796934865901</v>
      </c>
      <c r="V94" t="str">
        <f>IF(OR(A94="",COUNTIF($A$2:$A$301,A94)&gt;1,C94="",D94="",ISERROR(SEARCH("@",D94)),ISERROR(SEARCH(".",D94)),COUNTIF(Lookups!$A$2:$A$11,E94)=0,F94="",H94="",K94&lt;=0,L94&lt;0,M94&lt;0,N94&lt;0,N94&gt;0.5,COUNTIF(Lookups!$K$2:$K$4,P94)=0),"ERROR","VALID")</f>
        <v>VALID</v>
      </c>
      <c r="W94" s="2" t="str">
        <f>IF(A94="","Missing Order ID; ","")&amp;IF(COUNTIF($A$2:$A$301,A94)&gt;1,"Duplicate Order ID; ","")&amp;IF(C94="","Missing Customer ID; ","")&amp;IF(OR(D94="",ISERROR(SEARCH("@",D94)),ISERROR(SEARCH(".",D94))),"Invalid Email; ","")&amp;IF(COUNTIF(Lookups!$A$2:$A$11,E94)=0,"Unknown Product; ","")&amp;IF(F94="","Missing Product Name; ","")&amp;IF(H94="","Missing Region; ","")&amp;IF(K94&lt;=0,"Invalid Quantity; ","")&amp;IF(L94&lt;0,"Invalid Price; ","")&amp;IF(M94&lt;0,"Invalid Cost; ","")&amp;IF(OR(N94&lt;0,N94&gt;0.5),"Invalid Discount; ","")&amp;IF(COUNTIF(Lookups!$K$2:$K$4,P94)=0,"Invalid Status; ","")</f>
        <v/>
      </c>
      <c r="X94" s="15" t="str">
        <f t="shared" si="16"/>
        <v>2025-09</v>
      </c>
      <c r="Y94" t="str">
        <f t="shared" si="17"/>
        <v>Q3</v>
      </c>
      <c r="Z94" t="str">
        <f>IF(R94&gt;=Settings!$B$9,"High Value Customer",IF(R94&gt;=Settings!$B$10,"Medium Value Customer","Standard Customer"))</f>
        <v>High Value Customer</v>
      </c>
      <c r="AA94" t="str">
        <f>IF(R94&gt;=Settings!$B$9,"Large Order",IF(R94&gt;=Settings!$B$10,"Medium Order","Small Order"))</f>
        <v>Large Order</v>
      </c>
      <c r="AB94" t="str">
        <f>IF(N94=0,"No Discount",IF(N94&lt;=0.1,"Low Discount",IF(N94&lt;=Settings!$B$8,"Medium Discount","High Discount")))</f>
        <v>Low Discount</v>
      </c>
      <c r="AC94" t="str">
        <f t="shared" si="18"/>
        <v>Profitable</v>
      </c>
      <c r="AD94" t="str">
        <f>IFERROR(VLOOKUP(E94,Lookups!$A$2:$E$11,2,FALSE),"Product Not Found")</f>
        <v>Standing Desk</v>
      </c>
      <c r="AE94" t="str">
        <f>IFERROR(VLOOKUP(E94,Lookups!$A$2:$E$11,3,FALSE),"Category Not Found")</f>
        <v>Furniture</v>
      </c>
      <c r="AF94" t="str">
        <f>IFERROR(IF(L94=VLOOKUP(E94,Lookups!$A$2:$E$11,4,FALSE),"Price OK","Price Mismatch"),"Product Missing")</f>
        <v>Price OK</v>
      </c>
      <c r="AG94" t="str">
        <f t="shared" si="19"/>
        <v>Valid Email</v>
      </c>
      <c r="AH94" t="str">
        <f t="shared" si="20"/>
        <v>READY FOR REPORTING</v>
      </c>
      <c r="AI94" t="str">
        <f>IF(AND(LEFT(A94,LEN(Settings!$B$13))=Settings!$B$13,LEN(A94)=9),"Valid Format","Invalid Format")</f>
        <v>Valid Format</v>
      </c>
      <c r="AJ94" t="str">
        <f>IF(LEFT(C94,LEN(Settings!$B$14))=Settings!$B$14,"Valid Format","Invalid Format")</f>
        <v>Valid Format</v>
      </c>
      <c r="AK94" t="str">
        <f>IF(COUNTIF(Master_Data!$G$5:$G$14,C94)=1,"Known Customer","Customer Not in Master")</f>
        <v>Customer Not in Master</v>
      </c>
      <c r="AL94" t="str">
        <f>IF(U94&gt;=Settings!$B$11,"Target Met","Below Target")</f>
        <v>Below Target</v>
      </c>
      <c r="AM94" t="str">
        <f>IF(YEAR(B94)=Settings!$B$5,"Correct Year","Wrong Year")</f>
        <v>Correct Year</v>
      </c>
      <c r="AN94">
        <f t="shared" si="21"/>
        <v>3</v>
      </c>
    </row>
    <row r="95" spans="1:40">
      <c r="A95" t="str">
        <f>Raw_Data!A95</f>
        <v>ORD-10094</v>
      </c>
      <c r="B95" s="13">
        <f>Raw_Data!B95</f>
        <v>45836</v>
      </c>
      <c r="C95" t="str">
        <f>Raw_Data!C95</f>
        <v>C1086</v>
      </c>
      <c r="D95" t="str">
        <f>Raw_Data!D95</f>
        <v>client27@example.com</v>
      </c>
      <c r="E95" t="str">
        <f>Raw_Data!E95</f>
        <v>P1008</v>
      </c>
      <c r="F95" t="str">
        <f>Raw_Data!F95</f>
        <v>Standing Desk</v>
      </c>
      <c r="G95" t="str">
        <f>Raw_Data!G95</f>
        <v>Furniture</v>
      </c>
      <c r="H95" t="str">
        <f>Raw_Data!H95</f>
        <v>North</v>
      </c>
      <c r="I95" t="str">
        <f>Raw_Data!I95</f>
        <v>Store</v>
      </c>
      <c r="J95" t="str">
        <f>Raw_Data!J95</f>
        <v>Mihai Radu</v>
      </c>
      <c r="K95">
        <f>Raw_Data!K95</f>
        <v>7</v>
      </c>
      <c r="L95" s="12">
        <f>Raw_Data!L95</f>
        <v>1450</v>
      </c>
      <c r="M95" s="12">
        <f>Raw_Data!M95</f>
        <v>1030</v>
      </c>
      <c r="N95" s="14">
        <f>Raw_Data!N95</f>
        <v>0.05</v>
      </c>
      <c r="O95" t="str">
        <f>Raw_Data!O95</f>
        <v>Online Wallet</v>
      </c>
      <c r="P95" t="str">
        <f>Raw_Data!P95</f>
        <v>Completed</v>
      </c>
      <c r="Q95" s="12">
        <f t="shared" si="11"/>
        <v>10150</v>
      </c>
      <c r="R95" s="12">
        <f t="shared" si="12"/>
        <v>9642.5</v>
      </c>
      <c r="S95" s="12">
        <f t="shared" si="13"/>
        <v>7210</v>
      </c>
      <c r="T95" s="12">
        <f t="shared" si="14"/>
        <v>2432.5</v>
      </c>
      <c r="U95" s="11">
        <f t="shared" si="15"/>
        <v>0.25226860254083483</v>
      </c>
      <c r="V95" t="str">
        <f>IF(OR(A95="",COUNTIF($A$2:$A$301,A95)&gt;1,C95="",D95="",ISERROR(SEARCH("@",D95)),ISERROR(SEARCH(".",D95)),COUNTIF(Lookups!$A$2:$A$11,E95)=0,F95="",H95="",K95&lt;=0,L95&lt;0,M95&lt;0,N95&lt;0,N95&gt;0.5,COUNTIF(Lookups!$K$2:$K$4,P95)=0),"ERROR","VALID")</f>
        <v>VALID</v>
      </c>
      <c r="W95" s="2" t="str">
        <f>IF(A95="","Missing Order ID; ","")&amp;IF(COUNTIF($A$2:$A$301,A95)&gt;1,"Duplicate Order ID; ","")&amp;IF(C95="","Missing Customer ID; ","")&amp;IF(OR(D95="",ISERROR(SEARCH("@",D95)),ISERROR(SEARCH(".",D95))),"Invalid Email; ","")&amp;IF(COUNTIF(Lookups!$A$2:$A$11,E95)=0,"Unknown Product; ","")&amp;IF(F95="","Missing Product Name; ","")&amp;IF(H95="","Missing Region; ","")&amp;IF(K95&lt;=0,"Invalid Quantity; ","")&amp;IF(L95&lt;0,"Invalid Price; ","")&amp;IF(M95&lt;0,"Invalid Cost; ","")&amp;IF(OR(N95&lt;0,N95&gt;0.5),"Invalid Discount; ","")&amp;IF(COUNTIF(Lookups!$K$2:$K$4,P95)=0,"Invalid Status; ","")</f>
        <v/>
      </c>
      <c r="X95" s="15" t="str">
        <f t="shared" si="16"/>
        <v>2025-06</v>
      </c>
      <c r="Y95" t="str">
        <f t="shared" si="17"/>
        <v>Q2</v>
      </c>
      <c r="Z95" t="str">
        <f>IF(R95&gt;=Settings!$B$9,"High Value Customer",IF(R95&gt;=Settings!$B$10,"Medium Value Customer","Standard Customer"))</f>
        <v>High Value Customer</v>
      </c>
      <c r="AA95" t="str">
        <f>IF(R95&gt;=Settings!$B$9,"Large Order",IF(R95&gt;=Settings!$B$10,"Medium Order","Small Order"))</f>
        <v>Large Order</v>
      </c>
      <c r="AB95" t="str">
        <f>IF(N95=0,"No Discount",IF(N95&lt;=0.1,"Low Discount",IF(N95&lt;=Settings!$B$8,"Medium Discount","High Discount")))</f>
        <v>Low Discount</v>
      </c>
      <c r="AC95" t="str">
        <f t="shared" si="18"/>
        <v>Profitable</v>
      </c>
      <c r="AD95" t="str">
        <f>IFERROR(VLOOKUP(E95,Lookups!$A$2:$E$11,2,FALSE),"Product Not Found")</f>
        <v>Standing Desk</v>
      </c>
      <c r="AE95" t="str">
        <f>IFERROR(VLOOKUP(E95,Lookups!$A$2:$E$11,3,FALSE),"Category Not Found")</f>
        <v>Furniture</v>
      </c>
      <c r="AF95" t="str">
        <f>IFERROR(IF(L95=VLOOKUP(E95,Lookups!$A$2:$E$11,4,FALSE),"Price OK","Price Mismatch"),"Product Missing")</f>
        <v>Price OK</v>
      </c>
      <c r="AG95" t="str">
        <f t="shared" si="19"/>
        <v>Valid Email</v>
      </c>
      <c r="AH95" t="str">
        <f t="shared" si="20"/>
        <v>READY FOR REPORTING</v>
      </c>
      <c r="AI95" t="str">
        <f>IF(AND(LEFT(A95,LEN(Settings!$B$13))=Settings!$B$13,LEN(A95)=9),"Valid Format","Invalid Format")</f>
        <v>Valid Format</v>
      </c>
      <c r="AJ95" t="str">
        <f>IF(LEFT(C95,LEN(Settings!$B$14))=Settings!$B$14,"Valid Format","Invalid Format")</f>
        <v>Valid Format</v>
      </c>
      <c r="AK95" t="str">
        <f>IF(COUNTIF(Master_Data!$G$5:$G$14,C95)=1,"Known Customer","Customer Not in Master")</f>
        <v>Customer Not in Master</v>
      </c>
      <c r="AL95" t="str">
        <f>IF(U95&gt;=Settings!$B$11,"Target Met","Below Target")</f>
        <v>Target Met</v>
      </c>
      <c r="AM95" t="str">
        <f>IF(YEAR(B95)=Settings!$B$5,"Correct Year","Wrong Year")</f>
        <v>Correct Year</v>
      </c>
      <c r="AN95">
        <f t="shared" si="21"/>
        <v>4</v>
      </c>
    </row>
    <row r="96" spans="1:40">
      <c r="A96" t="str">
        <f>Raw_Data!A96</f>
        <v>ORD-10095</v>
      </c>
      <c r="B96" s="13">
        <f>Raw_Data!B96</f>
        <v>45997</v>
      </c>
      <c r="C96" t="str">
        <f>Raw_Data!C96</f>
        <v>C1059</v>
      </c>
      <c r="D96" t="str">
        <f>Raw_Data!D96</f>
        <v>client23@example.com</v>
      </c>
      <c r="E96" t="str">
        <f>Raw_Data!E96</f>
        <v>P1005</v>
      </c>
      <c r="F96" t="str">
        <f>Raw_Data!F96</f>
        <v>24-inch Monitor</v>
      </c>
      <c r="G96" t="str">
        <f>Raw_Data!G96</f>
        <v>Electronics</v>
      </c>
      <c r="H96" t="str">
        <f>Raw_Data!H96</f>
        <v>South</v>
      </c>
      <c r="I96" t="str">
        <f>Raw_Data!I96</f>
        <v>Store</v>
      </c>
      <c r="J96" t="str">
        <f>Raw_Data!J96</f>
        <v>Elena Stan</v>
      </c>
      <c r="K96">
        <f>Raw_Data!K96</f>
        <v>7</v>
      </c>
      <c r="L96" s="12">
        <f>Raw_Data!L96</f>
        <v>720</v>
      </c>
      <c r="M96" s="12">
        <f>Raw_Data!M96</f>
        <v>510</v>
      </c>
      <c r="N96" s="14">
        <f>Raw_Data!N96</f>
        <v>0.15</v>
      </c>
      <c r="O96" t="str">
        <f>Raw_Data!O96</f>
        <v>Card</v>
      </c>
      <c r="P96" t="str">
        <f>Raw_Data!P96</f>
        <v>Completed</v>
      </c>
      <c r="Q96" s="12">
        <f t="shared" si="11"/>
        <v>5040</v>
      </c>
      <c r="R96" s="12">
        <f t="shared" si="12"/>
        <v>4284</v>
      </c>
      <c r="S96" s="12">
        <f t="shared" si="13"/>
        <v>3570</v>
      </c>
      <c r="T96" s="12">
        <f t="shared" si="14"/>
        <v>714</v>
      </c>
      <c r="U96" s="11">
        <f t="shared" si="15"/>
        <v>0.16666666666666666</v>
      </c>
      <c r="V96" t="str">
        <f>IF(OR(A96="",COUNTIF($A$2:$A$301,A96)&gt;1,C96="",D96="",ISERROR(SEARCH("@",D96)),ISERROR(SEARCH(".",D96)),COUNTIF(Lookups!$A$2:$A$11,E96)=0,F96="",H96="",K96&lt;=0,L96&lt;0,M96&lt;0,N96&lt;0,N96&gt;0.5,COUNTIF(Lookups!$K$2:$K$4,P96)=0),"ERROR","VALID")</f>
        <v>VALID</v>
      </c>
      <c r="W96" s="2" t="str">
        <f>IF(A96="","Missing Order ID; ","")&amp;IF(COUNTIF($A$2:$A$301,A96)&gt;1,"Duplicate Order ID; ","")&amp;IF(C96="","Missing Customer ID; ","")&amp;IF(OR(D96="",ISERROR(SEARCH("@",D96)),ISERROR(SEARCH(".",D96))),"Invalid Email; ","")&amp;IF(COUNTIF(Lookups!$A$2:$A$11,E96)=0,"Unknown Product; ","")&amp;IF(F96="","Missing Product Name; ","")&amp;IF(H96="","Missing Region; ","")&amp;IF(K96&lt;=0,"Invalid Quantity; ","")&amp;IF(L96&lt;0,"Invalid Price; ","")&amp;IF(M96&lt;0,"Invalid Cost; ","")&amp;IF(OR(N96&lt;0,N96&gt;0.5),"Invalid Discount; ","")&amp;IF(COUNTIF(Lookups!$K$2:$K$4,P96)=0,"Invalid Status; ","")</f>
        <v/>
      </c>
      <c r="X96" s="15" t="str">
        <f t="shared" si="16"/>
        <v>2025-12</v>
      </c>
      <c r="Y96" t="str">
        <f t="shared" si="17"/>
        <v>Q4</v>
      </c>
      <c r="Z96" t="str">
        <f>IF(R96&gt;=Settings!$B$9,"High Value Customer",IF(R96&gt;=Settings!$B$10,"Medium Value Customer","Standard Customer"))</f>
        <v>Medium Value Customer</v>
      </c>
      <c r="AA96" t="str">
        <f>IF(R96&gt;=Settings!$B$9,"Large Order",IF(R96&gt;=Settings!$B$10,"Medium Order","Small Order"))</f>
        <v>Medium Order</v>
      </c>
      <c r="AB96" t="str">
        <f>IF(N96=0,"No Discount",IF(N96&lt;=0.1,"Low Discount",IF(N96&lt;=Settings!$B$8,"Medium Discount","High Discount")))</f>
        <v>Medium Discount</v>
      </c>
      <c r="AC96" t="str">
        <f t="shared" si="18"/>
        <v>Profitable</v>
      </c>
      <c r="AD96" t="str">
        <f>IFERROR(VLOOKUP(E96,Lookups!$A$2:$E$11,2,FALSE),"Product Not Found")</f>
        <v>24-inch Monitor</v>
      </c>
      <c r="AE96" t="str">
        <f>IFERROR(VLOOKUP(E96,Lookups!$A$2:$E$11,3,FALSE),"Category Not Found")</f>
        <v>Electronics</v>
      </c>
      <c r="AF96" t="str">
        <f>IFERROR(IF(L96=VLOOKUP(E96,Lookups!$A$2:$E$11,4,FALSE),"Price OK","Price Mismatch"),"Product Missing")</f>
        <v>Price OK</v>
      </c>
      <c r="AG96" t="str">
        <f t="shared" si="19"/>
        <v>Valid Email</v>
      </c>
      <c r="AH96" t="str">
        <f t="shared" si="20"/>
        <v>READY FOR REPORTING</v>
      </c>
      <c r="AI96" t="str">
        <f>IF(AND(LEFT(A96,LEN(Settings!$B$13))=Settings!$B$13,LEN(A96)=9),"Valid Format","Invalid Format")</f>
        <v>Valid Format</v>
      </c>
      <c r="AJ96" t="str">
        <f>IF(LEFT(C96,LEN(Settings!$B$14))=Settings!$B$14,"Valid Format","Invalid Format")</f>
        <v>Valid Format</v>
      </c>
      <c r="AK96" t="str">
        <f>IF(COUNTIF(Master_Data!$G$5:$G$14,C96)=1,"Known Customer","Customer Not in Master")</f>
        <v>Customer Not in Master</v>
      </c>
      <c r="AL96" t="str">
        <f>IF(U96&gt;=Settings!$B$11,"Target Met","Below Target")</f>
        <v>Below Target</v>
      </c>
      <c r="AM96" t="str">
        <f>IF(YEAR(B96)=Settings!$B$5,"Correct Year","Wrong Year")</f>
        <v>Correct Year</v>
      </c>
      <c r="AN96">
        <f t="shared" si="21"/>
        <v>3</v>
      </c>
    </row>
    <row r="97" spans="1:40">
      <c r="A97" t="str">
        <f>Raw_Data!A97</f>
        <v>ORD-10096</v>
      </c>
      <c r="B97" s="13">
        <f>Raw_Data!B97</f>
        <v>45921</v>
      </c>
      <c r="C97" t="str">
        <f>Raw_Data!C97</f>
        <v>C1060</v>
      </c>
      <c r="D97" t="str">
        <f>Raw_Data!D97</f>
        <v>client106@example.com</v>
      </c>
      <c r="E97" t="str">
        <f>Raw_Data!E97</f>
        <v>P1007</v>
      </c>
      <c r="F97" t="str">
        <f>Raw_Data!F97</f>
        <v>Office Chair</v>
      </c>
      <c r="G97" t="str">
        <f>Raw_Data!G97</f>
        <v>Furniture</v>
      </c>
      <c r="H97" t="str">
        <f>Raw_Data!H97</f>
        <v>Bucharest</v>
      </c>
      <c r="I97" t="str">
        <f>Raw_Data!I97</f>
        <v>Online</v>
      </c>
      <c r="J97" t="str">
        <f>Raw_Data!J97</f>
        <v>Ioana Pavel</v>
      </c>
      <c r="K97">
        <f>Raw_Data!K97</f>
        <v>1</v>
      </c>
      <c r="L97" s="12">
        <f>Raw_Data!L97</f>
        <v>840</v>
      </c>
      <c r="M97" s="12">
        <f>Raw_Data!M97</f>
        <v>590</v>
      </c>
      <c r="N97" s="14">
        <f>Raw_Data!N97</f>
        <v>1.25</v>
      </c>
      <c r="O97" t="str">
        <f>Raw_Data!O97</f>
        <v>Cash</v>
      </c>
      <c r="P97" t="str">
        <f>Raw_Data!P97</f>
        <v>Returned</v>
      </c>
      <c r="Q97" s="12">
        <f t="shared" si="11"/>
        <v>840</v>
      </c>
      <c r="R97" s="12">
        <f t="shared" si="12"/>
        <v>-210</v>
      </c>
      <c r="S97" s="12">
        <f t="shared" si="13"/>
        <v>590</v>
      </c>
      <c r="T97" s="12">
        <f t="shared" si="14"/>
        <v>-800</v>
      </c>
      <c r="U97" s="11">
        <f t="shared" si="15"/>
        <v>3.8095238095238093</v>
      </c>
      <c r="V97" t="str">
        <f>IF(OR(A97="",COUNTIF($A$2:$A$301,A97)&gt;1,C97="",D97="",ISERROR(SEARCH("@",D97)),ISERROR(SEARCH(".",D97)),COUNTIF(Lookups!$A$2:$A$11,E97)=0,F97="",H97="",K97&lt;=0,L97&lt;0,M97&lt;0,N97&lt;0,N97&gt;0.5,COUNTIF(Lookups!$K$2:$K$4,P97)=0),"ERROR","VALID")</f>
        <v>ERROR</v>
      </c>
      <c r="W97" s="2" t="str">
        <f>IF(A97="","Missing Order ID; ","")&amp;IF(COUNTIF($A$2:$A$301,A97)&gt;1,"Duplicate Order ID; ","")&amp;IF(C97="","Missing Customer ID; ","")&amp;IF(OR(D97="",ISERROR(SEARCH("@",D97)),ISERROR(SEARCH(".",D97))),"Invalid Email; ","")&amp;IF(COUNTIF(Lookups!$A$2:$A$11,E97)=0,"Unknown Product; ","")&amp;IF(F97="","Missing Product Name; ","")&amp;IF(H97="","Missing Region; ","")&amp;IF(K97&lt;=0,"Invalid Quantity; ","")&amp;IF(L97&lt;0,"Invalid Price; ","")&amp;IF(M97&lt;0,"Invalid Cost; ","")&amp;IF(OR(N97&lt;0,N97&gt;0.5),"Invalid Discount; ","")&amp;IF(COUNTIF(Lookups!$K$2:$K$4,P97)=0,"Invalid Status; ","")</f>
        <v xml:space="preserve">Invalid Discount; </v>
      </c>
      <c r="X97" s="15" t="str">
        <f t="shared" si="16"/>
        <v>2025-09</v>
      </c>
      <c r="Y97" t="str">
        <f t="shared" si="17"/>
        <v>Q3</v>
      </c>
      <c r="Z97" t="str">
        <f>IF(R97&gt;=Settings!$B$9,"High Value Customer",IF(R97&gt;=Settings!$B$10,"Medium Value Customer","Standard Customer"))</f>
        <v>Standard Customer</v>
      </c>
      <c r="AA97" t="str">
        <f>IF(R97&gt;=Settings!$B$9,"Large Order",IF(R97&gt;=Settings!$B$10,"Medium Order","Small Order"))</f>
        <v>Small Order</v>
      </c>
      <c r="AB97" t="str">
        <f>IF(N97=0,"No Discount",IF(N97&lt;=0.1,"Low Discount",IF(N97&lt;=Settings!$B$8,"Medium Discount","High Discount")))</f>
        <v>High Discount</v>
      </c>
      <c r="AC97" t="str">
        <f t="shared" si="18"/>
        <v>Loss</v>
      </c>
      <c r="AD97" t="str">
        <f>IFERROR(VLOOKUP(E97,Lookups!$A$2:$E$11,2,FALSE),"Product Not Found")</f>
        <v>Office Chair</v>
      </c>
      <c r="AE97" t="str">
        <f>IFERROR(VLOOKUP(E97,Lookups!$A$2:$E$11,3,FALSE),"Category Not Found")</f>
        <v>Furniture</v>
      </c>
      <c r="AF97" t="str">
        <f>IFERROR(IF(L97=VLOOKUP(E97,Lookups!$A$2:$E$11,4,FALSE),"Price OK","Price Mismatch"),"Product Missing")</f>
        <v>Price OK</v>
      </c>
      <c r="AG97" t="str">
        <f t="shared" si="19"/>
        <v>Valid Email</v>
      </c>
      <c r="AH97" t="str">
        <f t="shared" si="20"/>
        <v>REVIEW REQUIRED</v>
      </c>
      <c r="AI97" t="str">
        <f>IF(AND(LEFT(A97,LEN(Settings!$B$13))=Settings!$B$13,LEN(A97)=9),"Valid Format","Invalid Format")</f>
        <v>Valid Format</v>
      </c>
      <c r="AJ97" t="str">
        <f>IF(LEFT(C97,LEN(Settings!$B$14))=Settings!$B$14,"Valid Format","Invalid Format")</f>
        <v>Valid Format</v>
      </c>
      <c r="AK97" t="str">
        <f>IF(COUNTIF(Master_Data!$G$5:$G$14,C97)=1,"Known Customer","Customer Not in Master")</f>
        <v>Customer Not in Master</v>
      </c>
      <c r="AL97" t="str">
        <f>IF(U97&gt;=Settings!$B$11,"Target Met","Below Target")</f>
        <v>Target Met</v>
      </c>
      <c r="AM97" t="str">
        <f>IF(YEAR(B97)=Settings!$B$5,"Correct Year","Wrong Year")</f>
        <v>Correct Year</v>
      </c>
      <c r="AN97">
        <f t="shared" si="21"/>
        <v>4</v>
      </c>
    </row>
    <row r="98" spans="1:40">
      <c r="A98" t="str">
        <f>Raw_Data!A98</f>
        <v>ORD-10097</v>
      </c>
      <c r="B98" s="13">
        <f>Raw_Data!B98</f>
        <v>45913</v>
      </c>
      <c r="C98" t="str">
        <f>Raw_Data!C98</f>
        <v>C1027</v>
      </c>
      <c r="D98" t="str">
        <f>Raw_Data!D98</f>
        <v>client69@example.com</v>
      </c>
      <c r="E98" t="str">
        <f>Raw_Data!E98</f>
        <v>P1010</v>
      </c>
      <c r="F98" t="str">
        <f>Raw_Data!F98</f>
        <v>Headset</v>
      </c>
      <c r="G98" t="str">
        <f>Raw_Data!G98</f>
        <v>Electronics</v>
      </c>
      <c r="H98" t="str">
        <f>Raw_Data!H98</f>
        <v>West</v>
      </c>
      <c r="I98" t="str">
        <f>Raw_Data!I98</f>
        <v>Online</v>
      </c>
      <c r="J98" t="str">
        <f>Raw_Data!J98</f>
        <v>Elena Stan</v>
      </c>
      <c r="K98">
        <f>Raw_Data!K98</f>
        <v>11</v>
      </c>
      <c r="L98" s="12">
        <f>Raw_Data!L98</f>
        <v>195</v>
      </c>
      <c r="M98" s="12">
        <f>Raw_Data!M98</f>
        <v>105</v>
      </c>
      <c r="N98" s="14">
        <f>Raw_Data!N98</f>
        <v>0.1</v>
      </c>
      <c r="O98" t="str">
        <f>Raw_Data!O98</f>
        <v>Online Wallet</v>
      </c>
      <c r="P98" t="str">
        <f>Raw_Data!P98</f>
        <v>Completed</v>
      </c>
      <c r="Q98" s="12">
        <f t="shared" si="11"/>
        <v>2145</v>
      </c>
      <c r="R98" s="12">
        <f t="shared" si="12"/>
        <v>1930.5</v>
      </c>
      <c r="S98" s="12">
        <f t="shared" si="13"/>
        <v>1155</v>
      </c>
      <c r="T98" s="12">
        <f t="shared" si="14"/>
        <v>775.5</v>
      </c>
      <c r="U98" s="11">
        <f t="shared" si="15"/>
        <v>0.40170940170940173</v>
      </c>
      <c r="V98" t="str">
        <f>IF(OR(A98="",COUNTIF($A$2:$A$301,A98)&gt;1,C98="",D98="",ISERROR(SEARCH("@",D98)),ISERROR(SEARCH(".",D98)),COUNTIF(Lookups!$A$2:$A$11,E98)=0,F98="",H98="",K98&lt;=0,L98&lt;0,M98&lt;0,N98&lt;0,N98&gt;0.5,COUNTIF(Lookups!$K$2:$K$4,P98)=0),"ERROR","VALID")</f>
        <v>VALID</v>
      </c>
      <c r="W98" s="2" t="str">
        <f>IF(A98="","Missing Order ID; ","")&amp;IF(COUNTIF($A$2:$A$301,A98)&gt;1,"Duplicate Order ID; ","")&amp;IF(C98="","Missing Customer ID; ","")&amp;IF(OR(D98="",ISERROR(SEARCH("@",D98)),ISERROR(SEARCH(".",D98))),"Invalid Email; ","")&amp;IF(COUNTIF(Lookups!$A$2:$A$11,E98)=0,"Unknown Product; ","")&amp;IF(F98="","Missing Product Name; ","")&amp;IF(H98="","Missing Region; ","")&amp;IF(K98&lt;=0,"Invalid Quantity; ","")&amp;IF(L98&lt;0,"Invalid Price; ","")&amp;IF(M98&lt;0,"Invalid Cost; ","")&amp;IF(OR(N98&lt;0,N98&gt;0.5),"Invalid Discount; ","")&amp;IF(COUNTIF(Lookups!$K$2:$K$4,P98)=0,"Invalid Status; ","")</f>
        <v/>
      </c>
      <c r="X98" s="15" t="str">
        <f t="shared" si="16"/>
        <v>2025-09</v>
      </c>
      <c r="Y98" t="str">
        <f t="shared" si="17"/>
        <v>Q3</v>
      </c>
      <c r="Z98" t="str">
        <f>IF(R98&gt;=Settings!$B$9,"High Value Customer",IF(R98&gt;=Settings!$B$10,"Medium Value Customer","Standard Customer"))</f>
        <v>Standard Customer</v>
      </c>
      <c r="AA98" t="str">
        <f>IF(R98&gt;=Settings!$B$9,"Large Order",IF(R98&gt;=Settings!$B$10,"Medium Order","Small Order"))</f>
        <v>Small Order</v>
      </c>
      <c r="AB98" t="str">
        <f>IF(N98=0,"No Discount",IF(N98&lt;=0.1,"Low Discount",IF(N98&lt;=Settings!$B$8,"Medium Discount","High Discount")))</f>
        <v>Low Discount</v>
      </c>
      <c r="AC98" t="str">
        <f t="shared" si="18"/>
        <v>Profitable</v>
      </c>
      <c r="AD98" t="str">
        <f>IFERROR(VLOOKUP(E98,Lookups!$A$2:$E$11,2,FALSE),"Product Not Found")</f>
        <v>Headset</v>
      </c>
      <c r="AE98" t="str">
        <f>IFERROR(VLOOKUP(E98,Lookups!$A$2:$E$11,3,FALSE),"Category Not Found")</f>
        <v>Electronics</v>
      </c>
      <c r="AF98" t="str">
        <f>IFERROR(IF(L98=VLOOKUP(E98,Lookups!$A$2:$E$11,4,FALSE),"Price OK","Price Mismatch"),"Product Missing")</f>
        <v>Price OK</v>
      </c>
      <c r="AG98" t="str">
        <f t="shared" si="19"/>
        <v>Valid Email</v>
      </c>
      <c r="AH98" t="str">
        <f t="shared" si="20"/>
        <v>READY FOR REPORTING</v>
      </c>
      <c r="AI98" t="str">
        <f>IF(AND(LEFT(A98,LEN(Settings!$B$13))=Settings!$B$13,LEN(A98)=9),"Valid Format","Invalid Format")</f>
        <v>Valid Format</v>
      </c>
      <c r="AJ98" t="str">
        <f>IF(LEFT(C98,LEN(Settings!$B$14))=Settings!$B$14,"Valid Format","Invalid Format")</f>
        <v>Valid Format</v>
      </c>
      <c r="AK98" t="str">
        <f>IF(COUNTIF(Master_Data!$G$5:$G$14,C98)=1,"Known Customer","Customer Not in Master")</f>
        <v>Customer Not in Master</v>
      </c>
      <c r="AL98" t="str">
        <f>IF(U98&gt;=Settings!$B$11,"Target Met","Below Target")</f>
        <v>Target Met</v>
      </c>
      <c r="AM98" t="str">
        <f>IF(YEAR(B98)=Settings!$B$5,"Correct Year","Wrong Year")</f>
        <v>Correct Year</v>
      </c>
      <c r="AN98">
        <f t="shared" si="21"/>
        <v>4</v>
      </c>
    </row>
    <row r="99" spans="1:40">
      <c r="A99" t="str">
        <f>Raw_Data!A99</f>
        <v>ORD-10098</v>
      </c>
      <c r="B99" s="13">
        <f>Raw_Data!B99</f>
        <v>45720</v>
      </c>
      <c r="C99" t="str">
        <f>Raw_Data!C99</f>
        <v>C1103</v>
      </c>
      <c r="D99" t="str">
        <f>Raw_Data!D99</f>
        <v>client62@example.com</v>
      </c>
      <c r="E99" t="str">
        <f>Raw_Data!E99</f>
        <v>P1008</v>
      </c>
      <c r="F99" t="str">
        <f>Raw_Data!F99</f>
        <v>Standing Desk</v>
      </c>
      <c r="G99" t="str">
        <f>Raw_Data!G99</f>
        <v>Furniture</v>
      </c>
      <c r="H99" t="str">
        <f>Raw_Data!H99</f>
        <v>North</v>
      </c>
      <c r="I99" t="str">
        <f>Raw_Data!I99</f>
        <v>Store</v>
      </c>
      <c r="J99" t="str">
        <f>Raw_Data!J99</f>
        <v>Ioana Pavel</v>
      </c>
      <c r="K99">
        <f>Raw_Data!K99</f>
        <v>1</v>
      </c>
      <c r="L99" s="12">
        <f>Raw_Data!L99</f>
        <v>1450</v>
      </c>
      <c r="M99" s="12">
        <f>Raw_Data!M99</f>
        <v>1030</v>
      </c>
      <c r="N99" s="14">
        <f>Raw_Data!N99</f>
        <v>0.2</v>
      </c>
      <c r="O99" t="str">
        <f>Raw_Data!O99</f>
        <v>Card</v>
      </c>
      <c r="P99" t="str">
        <f>Raw_Data!P99</f>
        <v>Returned</v>
      </c>
      <c r="Q99" s="12">
        <f t="shared" si="11"/>
        <v>1450</v>
      </c>
      <c r="R99" s="12">
        <f t="shared" si="12"/>
        <v>1160</v>
      </c>
      <c r="S99" s="12">
        <f t="shared" si="13"/>
        <v>1030</v>
      </c>
      <c r="T99" s="12">
        <f t="shared" si="14"/>
        <v>130</v>
      </c>
      <c r="U99" s="11">
        <f t="shared" si="15"/>
        <v>0.11206896551724138</v>
      </c>
      <c r="V99" t="str">
        <f>IF(OR(A99="",COUNTIF($A$2:$A$301,A99)&gt;1,C99="",D99="",ISERROR(SEARCH("@",D99)),ISERROR(SEARCH(".",D99)),COUNTIF(Lookups!$A$2:$A$11,E99)=0,F99="",H99="",K99&lt;=0,L99&lt;0,M99&lt;0,N99&lt;0,N99&gt;0.5,COUNTIF(Lookups!$K$2:$K$4,P99)=0),"ERROR","VALID")</f>
        <v>VALID</v>
      </c>
      <c r="W99" s="2" t="str">
        <f>IF(A99="","Missing Order ID; ","")&amp;IF(COUNTIF($A$2:$A$301,A99)&gt;1,"Duplicate Order ID; ","")&amp;IF(C99="","Missing Customer ID; ","")&amp;IF(OR(D99="",ISERROR(SEARCH("@",D99)),ISERROR(SEARCH(".",D99))),"Invalid Email; ","")&amp;IF(COUNTIF(Lookups!$A$2:$A$11,E99)=0,"Unknown Product; ","")&amp;IF(F99="","Missing Product Name; ","")&amp;IF(H99="","Missing Region; ","")&amp;IF(K99&lt;=0,"Invalid Quantity; ","")&amp;IF(L99&lt;0,"Invalid Price; ","")&amp;IF(M99&lt;0,"Invalid Cost; ","")&amp;IF(OR(N99&lt;0,N99&gt;0.5),"Invalid Discount; ","")&amp;IF(COUNTIF(Lookups!$K$2:$K$4,P99)=0,"Invalid Status; ","")</f>
        <v/>
      </c>
      <c r="X99" s="15" t="str">
        <f t="shared" si="16"/>
        <v>2025-03</v>
      </c>
      <c r="Y99" t="str">
        <f t="shared" si="17"/>
        <v>Q1</v>
      </c>
      <c r="Z99" t="str">
        <f>IF(R99&gt;=Settings!$B$9,"High Value Customer",IF(R99&gt;=Settings!$B$10,"Medium Value Customer","Standard Customer"))</f>
        <v>Standard Customer</v>
      </c>
      <c r="AA99" t="str">
        <f>IF(R99&gt;=Settings!$B$9,"Large Order",IF(R99&gt;=Settings!$B$10,"Medium Order","Small Order"))</f>
        <v>Small Order</v>
      </c>
      <c r="AB99" t="str">
        <f>IF(N99=0,"No Discount",IF(N99&lt;=0.1,"Low Discount",IF(N99&lt;=Settings!$B$8,"Medium Discount","High Discount")))</f>
        <v>Medium Discount</v>
      </c>
      <c r="AC99" t="str">
        <f t="shared" si="18"/>
        <v>Profitable</v>
      </c>
      <c r="AD99" t="str">
        <f>IFERROR(VLOOKUP(E99,Lookups!$A$2:$E$11,2,FALSE),"Product Not Found")</f>
        <v>Standing Desk</v>
      </c>
      <c r="AE99" t="str">
        <f>IFERROR(VLOOKUP(E99,Lookups!$A$2:$E$11,3,FALSE),"Category Not Found")</f>
        <v>Furniture</v>
      </c>
      <c r="AF99" t="str">
        <f>IFERROR(IF(L99=VLOOKUP(E99,Lookups!$A$2:$E$11,4,FALSE),"Price OK","Price Mismatch"),"Product Missing")</f>
        <v>Price OK</v>
      </c>
      <c r="AG99" t="str">
        <f t="shared" si="19"/>
        <v>Valid Email</v>
      </c>
      <c r="AH99" t="str">
        <f t="shared" si="20"/>
        <v>READY FOR REPORTING</v>
      </c>
      <c r="AI99" t="str">
        <f>IF(AND(LEFT(A99,LEN(Settings!$B$13))=Settings!$B$13,LEN(A99)=9),"Valid Format","Invalid Format")</f>
        <v>Valid Format</v>
      </c>
      <c r="AJ99" t="str">
        <f>IF(LEFT(C99,LEN(Settings!$B$14))=Settings!$B$14,"Valid Format","Invalid Format")</f>
        <v>Valid Format</v>
      </c>
      <c r="AK99" t="str">
        <f>IF(COUNTIF(Master_Data!$G$5:$G$14,C99)=1,"Known Customer","Customer Not in Master")</f>
        <v>Customer Not in Master</v>
      </c>
      <c r="AL99" t="str">
        <f>IF(U99&gt;=Settings!$B$11,"Target Met","Below Target")</f>
        <v>Below Target</v>
      </c>
      <c r="AM99" t="str">
        <f>IF(YEAR(B99)=Settings!$B$5,"Correct Year","Wrong Year")</f>
        <v>Correct Year</v>
      </c>
      <c r="AN99">
        <f t="shared" si="21"/>
        <v>3</v>
      </c>
    </row>
    <row r="100" spans="1:40">
      <c r="A100" t="str">
        <f>Raw_Data!A100</f>
        <v>ORD-10099</v>
      </c>
      <c r="B100" s="13">
        <f>Raw_Data!B100</f>
        <v>45866</v>
      </c>
      <c r="C100" t="str">
        <f>Raw_Data!C100</f>
        <v>C1060</v>
      </c>
      <c r="D100" t="str">
        <f>Raw_Data!D100</f>
        <v>client31@example.com</v>
      </c>
      <c r="E100" t="str">
        <f>Raw_Data!E100</f>
        <v>P1009</v>
      </c>
      <c r="F100" t="str">
        <f>Raw_Data!F100</f>
        <v>Webcam</v>
      </c>
      <c r="G100" t="str">
        <f>Raw_Data!G100</f>
        <v>Electronics</v>
      </c>
      <c r="H100" t="str">
        <f>Raw_Data!H100</f>
        <v>North</v>
      </c>
      <c r="I100" t="str">
        <f>Raw_Data!I100</f>
        <v>Store</v>
      </c>
      <c r="J100" t="str">
        <f>Raw_Data!J100</f>
        <v>Elena Stan</v>
      </c>
      <c r="K100">
        <f>Raw_Data!K100</f>
        <v>2</v>
      </c>
      <c r="L100" s="12">
        <f>Raw_Data!L100</f>
        <v>230</v>
      </c>
      <c r="M100" s="12">
        <f>Raw_Data!M100</f>
        <v>132</v>
      </c>
      <c r="N100" s="14">
        <f>Raw_Data!N100</f>
        <v>0</v>
      </c>
      <c r="O100" t="str">
        <f>Raw_Data!O100</f>
        <v>Cash</v>
      </c>
      <c r="P100" t="str">
        <f>Raw_Data!P100</f>
        <v>Completed</v>
      </c>
      <c r="Q100" s="12">
        <f t="shared" si="11"/>
        <v>460</v>
      </c>
      <c r="R100" s="12">
        <f t="shared" si="12"/>
        <v>460</v>
      </c>
      <c r="S100" s="12">
        <f t="shared" si="13"/>
        <v>264</v>
      </c>
      <c r="T100" s="12">
        <f t="shared" si="14"/>
        <v>196</v>
      </c>
      <c r="U100" s="11">
        <f t="shared" si="15"/>
        <v>0.42608695652173911</v>
      </c>
      <c r="V100" t="str">
        <f>IF(OR(A100="",COUNTIF($A$2:$A$301,A100)&gt;1,C100="",D100="",ISERROR(SEARCH("@",D100)),ISERROR(SEARCH(".",D100)),COUNTIF(Lookups!$A$2:$A$11,E100)=0,F100="",H100="",K100&lt;=0,L100&lt;0,M100&lt;0,N100&lt;0,N100&gt;0.5,COUNTIF(Lookups!$K$2:$K$4,P100)=0),"ERROR","VALID")</f>
        <v>VALID</v>
      </c>
      <c r="W100" s="2" t="str">
        <f>IF(A100="","Missing Order ID; ","")&amp;IF(COUNTIF($A$2:$A$301,A100)&gt;1,"Duplicate Order ID; ","")&amp;IF(C100="","Missing Customer ID; ","")&amp;IF(OR(D100="",ISERROR(SEARCH("@",D100)),ISERROR(SEARCH(".",D100))),"Invalid Email; ","")&amp;IF(COUNTIF(Lookups!$A$2:$A$11,E100)=0,"Unknown Product; ","")&amp;IF(F100="","Missing Product Name; ","")&amp;IF(H100="","Missing Region; ","")&amp;IF(K100&lt;=0,"Invalid Quantity; ","")&amp;IF(L100&lt;0,"Invalid Price; ","")&amp;IF(M100&lt;0,"Invalid Cost; ","")&amp;IF(OR(N100&lt;0,N100&gt;0.5),"Invalid Discount; ","")&amp;IF(COUNTIF(Lookups!$K$2:$K$4,P100)=0,"Invalid Status; ","")</f>
        <v/>
      </c>
      <c r="X100" s="15" t="str">
        <f t="shared" si="16"/>
        <v>2025-07</v>
      </c>
      <c r="Y100" t="str">
        <f t="shared" si="17"/>
        <v>Q3</v>
      </c>
      <c r="Z100" t="str">
        <f>IF(R100&gt;=Settings!$B$9,"High Value Customer",IF(R100&gt;=Settings!$B$10,"Medium Value Customer","Standard Customer"))</f>
        <v>Standard Customer</v>
      </c>
      <c r="AA100" t="str">
        <f>IF(R100&gt;=Settings!$B$9,"Large Order",IF(R100&gt;=Settings!$B$10,"Medium Order","Small Order"))</f>
        <v>Small Order</v>
      </c>
      <c r="AB100" t="str">
        <f>IF(N100=0,"No Discount",IF(N100&lt;=0.1,"Low Discount",IF(N100&lt;=Settings!$B$8,"Medium Discount","High Discount")))</f>
        <v>No Discount</v>
      </c>
      <c r="AC100" t="str">
        <f t="shared" si="18"/>
        <v>Profitable</v>
      </c>
      <c r="AD100" t="str">
        <f>IFERROR(VLOOKUP(E100,Lookups!$A$2:$E$11,2,FALSE),"Product Not Found")</f>
        <v>Webcam</v>
      </c>
      <c r="AE100" t="str">
        <f>IFERROR(VLOOKUP(E100,Lookups!$A$2:$E$11,3,FALSE),"Category Not Found")</f>
        <v>Electronics</v>
      </c>
      <c r="AF100" t="str">
        <f>IFERROR(IF(L100=VLOOKUP(E100,Lookups!$A$2:$E$11,4,FALSE),"Price OK","Price Mismatch"),"Product Missing")</f>
        <v>Price OK</v>
      </c>
      <c r="AG100" t="str">
        <f t="shared" si="19"/>
        <v>Valid Email</v>
      </c>
      <c r="AH100" t="str">
        <f t="shared" si="20"/>
        <v>READY FOR REPORTING</v>
      </c>
      <c r="AI100" t="str">
        <f>IF(AND(LEFT(A100,LEN(Settings!$B$13))=Settings!$B$13,LEN(A100)=9),"Valid Format","Invalid Format")</f>
        <v>Valid Format</v>
      </c>
      <c r="AJ100" t="str">
        <f>IF(LEFT(C100,LEN(Settings!$B$14))=Settings!$B$14,"Valid Format","Invalid Format")</f>
        <v>Valid Format</v>
      </c>
      <c r="AK100" t="str">
        <f>IF(COUNTIF(Master_Data!$G$5:$G$14,C100)=1,"Known Customer","Customer Not in Master")</f>
        <v>Customer Not in Master</v>
      </c>
      <c r="AL100" t="str">
        <f>IF(U100&gt;=Settings!$B$11,"Target Met","Below Target")</f>
        <v>Target Met</v>
      </c>
      <c r="AM100" t="str">
        <f>IF(YEAR(B100)=Settings!$B$5,"Correct Year","Wrong Year")</f>
        <v>Correct Year</v>
      </c>
      <c r="AN100">
        <f t="shared" si="21"/>
        <v>4</v>
      </c>
    </row>
    <row r="101" spans="1:40">
      <c r="A101" t="str">
        <f>Raw_Data!A101</f>
        <v>ORD-10100</v>
      </c>
      <c r="B101" s="13">
        <f>Raw_Data!B101</f>
        <v>45905</v>
      </c>
      <c r="C101" t="str">
        <f>Raw_Data!C101</f>
        <v>C1071</v>
      </c>
      <c r="D101" t="str">
        <f>Raw_Data!D101</f>
        <v>client38@example.com</v>
      </c>
      <c r="E101" t="str">
        <f>Raw_Data!E101</f>
        <v>P1007</v>
      </c>
      <c r="F101" t="str">
        <f>Raw_Data!F101</f>
        <v>Office Chair</v>
      </c>
      <c r="G101" t="str">
        <f>Raw_Data!G101</f>
        <v>Furniture</v>
      </c>
      <c r="H101" t="str">
        <f>Raw_Data!H101</f>
        <v>East</v>
      </c>
      <c r="I101" t="str">
        <f>Raw_Data!I101</f>
        <v>Online</v>
      </c>
      <c r="J101" t="str">
        <f>Raw_Data!J101</f>
        <v>Ioana Pavel</v>
      </c>
      <c r="K101">
        <f>Raw_Data!K101</f>
        <v>8</v>
      </c>
      <c r="L101" s="12">
        <f>Raw_Data!L101</f>
        <v>840</v>
      </c>
      <c r="M101" s="12">
        <f>Raw_Data!M101</f>
        <v>590</v>
      </c>
      <c r="N101" s="14">
        <f>Raw_Data!N101</f>
        <v>0</v>
      </c>
      <c r="O101" t="str">
        <f>Raw_Data!O101</f>
        <v>Bank Transfer</v>
      </c>
      <c r="P101" t="str">
        <f>Raw_Data!P101</f>
        <v>Completed</v>
      </c>
      <c r="Q101" s="12">
        <f t="shared" si="11"/>
        <v>6720</v>
      </c>
      <c r="R101" s="12">
        <f t="shared" si="12"/>
        <v>6720</v>
      </c>
      <c r="S101" s="12">
        <f t="shared" si="13"/>
        <v>4720</v>
      </c>
      <c r="T101" s="12">
        <f t="shared" si="14"/>
        <v>2000</v>
      </c>
      <c r="U101" s="11">
        <f t="shared" si="15"/>
        <v>0.29761904761904762</v>
      </c>
      <c r="V101" t="str">
        <f>IF(OR(A101="",COUNTIF($A$2:$A$301,A101)&gt;1,C101="",D101="",ISERROR(SEARCH("@",D101)),ISERROR(SEARCH(".",D101)),COUNTIF(Lookups!$A$2:$A$11,E101)=0,F101="",H101="",K101&lt;=0,L101&lt;0,M101&lt;0,N101&lt;0,N101&gt;0.5,COUNTIF(Lookups!$K$2:$K$4,P101)=0),"ERROR","VALID")</f>
        <v>VALID</v>
      </c>
      <c r="W101" s="2" t="str">
        <f>IF(A101="","Missing Order ID; ","")&amp;IF(COUNTIF($A$2:$A$301,A101)&gt;1,"Duplicate Order ID; ","")&amp;IF(C101="","Missing Customer ID; ","")&amp;IF(OR(D101="",ISERROR(SEARCH("@",D101)),ISERROR(SEARCH(".",D101))),"Invalid Email; ","")&amp;IF(COUNTIF(Lookups!$A$2:$A$11,E101)=0,"Unknown Product; ","")&amp;IF(F101="","Missing Product Name; ","")&amp;IF(H101="","Missing Region; ","")&amp;IF(K101&lt;=0,"Invalid Quantity; ","")&amp;IF(L101&lt;0,"Invalid Price; ","")&amp;IF(M101&lt;0,"Invalid Cost; ","")&amp;IF(OR(N101&lt;0,N101&gt;0.5),"Invalid Discount; ","")&amp;IF(COUNTIF(Lookups!$K$2:$K$4,P101)=0,"Invalid Status; ","")</f>
        <v/>
      </c>
      <c r="X101" s="15" t="str">
        <f t="shared" si="16"/>
        <v>2025-09</v>
      </c>
      <c r="Y101" t="str">
        <f t="shared" si="17"/>
        <v>Q3</v>
      </c>
      <c r="Z101" t="str">
        <f>IF(R101&gt;=Settings!$B$9,"High Value Customer",IF(R101&gt;=Settings!$B$10,"Medium Value Customer","Standard Customer"))</f>
        <v>High Value Customer</v>
      </c>
      <c r="AA101" t="str">
        <f>IF(R101&gt;=Settings!$B$9,"Large Order",IF(R101&gt;=Settings!$B$10,"Medium Order","Small Order"))</f>
        <v>Large Order</v>
      </c>
      <c r="AB101" t="str">
        <f>IF(N101=0,"No Discount",IF(N101&lt;=0.1,"Low Discount",IF(N101&lt;=Settings!$B$8,"Medium Discount","High Discount")))</f>
        <v>No Discount</v>
      </c>
      <c r="AC101" t="str">
        <f t="shared" si="18"/>
        <v>Profitable</v>
      </c>
      <c r="AD101" t="str">
        <f>IFERROR(VLOOKUP(E101,Lookups!$A$2:$E$11,2,FALSE),"Product Not Found")</f>
        <v>Office Chair</v>
      </c>
      <c r="AE101" t="str">
        <f>IFERROR(VLOOKUP(E101,Lookups!$A$2:$E$11,3,FALSE),"Category Not Found")</f>
        <v>Furniture</v>
      </c>
      <c r="AF101" t="str">
        <f>IFERROR(IF(L101=VLOOKUP(E101,Lookups!$A$2:$E$11,4,FALSE),"Price OK","Price Mismatch"),"Product Missing")</f>
        <v>Price OK</v>
      </c>
      <c r="AG101" t="str">
        <f t="shared" si="19"/>
        <v>Valid Email</v>
      </c>
      <c r="AH101" t="str">
        <f t="shared" si="20"/>
        <v>READY FOR REPORTING</v>
      </c>
      <c r="AI101" t="str">
        <f>IF(AND(LEFT(A101,LEN(Settings!$B$13))=Settings!$B$13,LEN(A101)=9),"Valid Format","Invalid Format")</f>
        <v>Valid Format</v>
      </c>
      <c r="AJ101" t="str">
        <f>IF(LEFT(C101,LEN(Settings!$B$14))=Settings!$B$14,"Valid Format","Invalid Format")</f>
        <v>Valid Format</v>
      </c>
      <c r="AK101" t="str">
        <f>IF(COUNTIF(Master_Data!$G$5:$G$14,C101)=1,"Known Customer","Customer Not in Master")</f>
        <v>Customer Not in Master</v>
      </c>
      <c r="AL101" t="str">
        <f>IF(U101&gt;=Settings!$B$11,"Target Met","Below Target")</f>
        <v>Target Met</v>
      </c>
      <c r="AM101" t="str">
        <f>IF(YEAR(B101)=Settings!$B$5,"Correct Year","Wrong Year")</f>
        <v>Correct Year</v>
      </c>
      <c r="AN101">
        <f t="shared" si="21"/>
        <v>4</v>
      </c>
    </row>
    <row r="102" spans="1:40">
      <c r="A102" t="str">
        <f>Raw_Data!A102</f>
        <v>ORD-10101</v>
      </c>
      <c r="B102" s="13">
        <f>Raw_Data!B102</f>
        <v>45799</v>
      </c>
      <c r="C102" t="str">
        <f>Raw_Data!C102</f>
        <v>C1035</v>
      </c>
      <c r="D102" t="str">
        <f>Raw_Data!D102</f>
        <v>client1@example.com</v>
      </c>
      <c r="E102" t="str">
        <f>Raw_Data!E102</f>
        <v>P1002</v>
      </c>
      <c r="F102" t="str">
        <f>Raw_Data!F102</f>
        <v>Wireless Mouse</v>
      </c>
      <c r="G102" t="str">
        <f>Raw_Data!G102</f>
        <v>Accessories</v>
      </c>
      <c r="H102" t="str">
        <f>Raw_Data!H102</f>
        <v>South</v>
      </c>
      <c r="I102" t="str">
        <f>Raw_Data!I102</f>
        <v>Marketplace</v>
      </c>
      <c r="J102" t="str">
        <f>Raw_Data!J102</f>
        <v>Elena Stan</v>
      </c>
      <c r="K102">
        <f>Raw_Data!K102</f>
        <v>7</v>
      </c>
      <c r="L102" s="12">
        <f>Raw_Data!L102</f>
        <v>85</v>
      </c>
      <c r="M102" s="12">
        <f>Raw_Data!M102</f>
        <v>44</v>
      </c>
      <c r="N102" s="14">
        <f>Raw_Data!N102</f>
        <v>0.05</v>
      </c>
      <c r="O102" t="str">
        <f>Raw_Data!O102</f>
        <v>Online Wallet</v>
      </c>
      <c r="P102" t="str">
        <f>Raw_Data!P102</f>
        <v>Returned</v>
      </c>
      <c r="Q102" s="12">
        <f t="shared" si="11"/>
        <v>595</v>
      </c>
      <c r="R102" s="12">
        <f t="shared" si="12"/>
        <v>565.25</v>
      </c>
      <c r="S102" s="12">
        <f t="shared" si="13"/>
        <v>308</v>
      </c>
      <c r="T102" s="12">
        <f t="shared" si="14"/>
        <v>257.25</v>
      </c>
      <c r="U102" s="11">
        <f t="shared" si="15"/>
        <v>0.45510835913312692</v>
      </c>
      <c r="V102" t="str">
        <f>IF(OR(A102="",COUNTIF($A$2:$A$301,A102)&gt;1,C102="",D102="",ISERROR(SEARCH("@",D102)),ISERROR(SEARCH(".",D102)),COUNTIF(Lookups!$A$2:$A$11,E102)=0,F102="",H102="",K102&lt;=0,L102&lt;0,M102&lt;0,N102&lt;0,N102&gt;0.5,COUNTIF(Lookups!$K$2:$K$4,P102)=0),"ERROR","VALID")</f>
        <v>VALID</v>
      </c>
      <c r="W102" s="2" t="str">
        <f>IF(A102="","Missing Order ID; ","")&amp;IF(COUNTIF($A$2:$A$301,A102)&gt;1,"Duplicate Order ID; ","")&amp;IF(C102="","Missing Customer ID; ","")&amp;IF(OR(D102="",ISERROR(SEARCH("@",D102)),ISERROR(SEARCH(".",D102))),"Invalid Email; ","")&amp;IF(COUNTIF(Lookups!$A$2:$A$11,E102)=0,"Unknown Product; ","")&amp;IF(F102="","Missing Product Name; ","")&amp;IF(H102="","Missing Region; ","")&amp;IF(K102&lt;=0,"Invalid Quantity; ","")&amp;IF(L102&lt;0,"Invalid Price; ","")&amp;IF(M102&lt;0,"Invalid Cost; ","")&amp;IF(OR(N102&lt;0,N102&gt;0.5),"Invalid Discount; ","")&amp;IF(COUNTIF(Lookups!$K$2:$K$4,P102)=0,"Invalid Status; ","")</f>
        <v/>
      </c>
      <c r="X102" s="15" t="str">
        <f t="shared" si="16"/>
        <v>2025-05</v>
      </c>
      <c r="Y102" t="str">
        <f t="shared" si="17"/>
        <v>Q2</v>
      </c>
      <c r="Z102" t="str">
        <f>IF(R102&gt;=Settings!$B$9,"High Value Customer",IF(R102&gt;=Settings!$B$10,"Medium Value Customer","Standard Customer"))</f>
        <v>Standard Customer</v>
      </c>
      <c r="AA102" t="str">
        <f>IF(R102&gt;=Settings!$B$9,"Large Order",IF(R102&gt;=Settings!$B$10,"Medium Order","Small Order"))</f>
        <v>Small Order</v>
      </c>
      <c r="AB102" t="str">
        <f>IF(N102=0,"No Discount",IF(N102&lt;=0.1,"Low Discount",IF(N102&lt;=Settings!$B$8,"Medium Discount","High Discount")))</f>
        <v>Low Discount</v>
      </c>
      <c r="AC102" t="str">
        <f t="shared" si="18"/>
        <v>Profitable</v>
      </c>
      <c r="AD102" t="str">
        <f>IFERROR(VLOOKUP(E102,Lookups!$A$2:$E$11,2,FALSE),"Product Not Found")</f>
        <v>Wireless Mouse</v>
      </c>
      <c r="AE102" t="str">
        <f>IFERROR(VLOOKUP(E102,Lookups!$A$2:$E$11,3,FALSE),"Category Not Found")</f>
        <v>Accessories</v>
      </c>
      <c r="AF102" t="str">
        <f>IFERROR(IF(L102=VLOOKUP(E102,Lookups!$A$2:$E$11,4,FALSE),"Price OK","Price Mismatch"),"Product Missing")</f>
        <v>Price OK</v>
      </c>
      <c r="AG102" t="str">
        <f t="shared" si="19"/>
        <v>Valid Email</v>
      </c>
      <c r="AH102" t="str">
        <f t="shared" si="20"/>
        <v>READY FOR REPORTING</v>
      </c>
      <c r="AI102" t="str">
        <f>IF(AND(LEFT(A102,LEN(Settings!$B$13))=Settings!$B$13,LEN(A102)=9),"Valid Format","Invalid Format")</f>
        <v>Valid Format</v>
      </c>
      <c r="AJ102" t="str">
        <f>IF(LEFT(C102,LEN(Settings!$B$14))=Settings!$B$14,"Valid Format","Invalid Format")</f>
        <v>Valid Format</v>
      </c>
      <c r="AK102" t="str">
        <f>IF(COUNTIF(Master_Data!$G$5:$G$14,C102)=1,"Known Customer","Customer Not in Master")</f>
        <v>Customer Not in Master</v>
      </c>
      <c r="AL102" t="str">
        <f>IF(U102&gt;=Settings!$B$11,"Target Met","Below Target")</f>
        <v>Target Met</v>
      </c>
      <c r="AM102" t="str">
        <f>IF(YEAR(B102)=Settings!$B$5,"Correct Year","Wrong Year")</f>
        <v>Correct Year</v>
      </c>
      <c r="AN102">
        <f t="shared" si="21"/>
        <v>4</v>
      </c>
    </row>
    <row r="103" spans="1:40">
      <c r="A103" t="str">
        <f>Raw_Data!A103</f>
        <v>ORD-10102</v>
      </c>
      <c r="B103" s="13">
        <f>Raw_Data!B103</f>
        <v>45886</v>
      </c>
      <c r="C103" t="str">
        <f>Raw_Data!C103</f>
        <v>C1043</v>
      </c>
      <c r="D103" t="str">
        <f>Raw_Data!D103</f>
        <v>client142@example.com</v>
      </c>
      <c r="E103" t="str">
        <f>Raw_Data!E103</f>
        <v>P1003</v>
      </c>
      <c r="F103" t="str">
        <f>Raw_Data!F103</f>
        <v>Mechanical Keyboard</v>
      </c>
      <c r="G103" t="str">
        <f>Raw_Data!G103</f>
        <v>Accessories</v>
      </c>
      <c r="H103" t="str">
        <f>Raw_Data!H103</f>
        <v>West</v>
      </c>
      <c r="I103" t="str">
        <f>Raw_Data!I103</f>
        <v>Store</v>
      </c>
      <c r="J103" t="str">
        <f>Raw_Data!J103</f>
        <v>Mihai Radu</v>
      </c>
      <c r="K103">
        <f>Raw_Data!K103</f>
        <v>9</v>
      </c>
      <c r="L103" s="12">
        <f>Raw_Data!L103</f>
        <v>265</v>
      </c>
      <c r="M103" s="12">
        <f>Raw_Data!M103</f>
        <v>155</v>
      </c>
      <c r="N103" s="14">
        <f>Raw_Data!N103</f>
        <v>0.1</v>
      </c>
      <c r="O103" t="str">
        <f>Raw_Data!O103</f>
        <v>Cash</v>
      </c>
      <c r="P103" t="str">
        <f>Raw_Data!P103</f>
        <v>Completed</v>
      </c>
      <c r="Q103" s="12">
        <f t="shared" si="11"/>
        <v>2385</v>
      </c>
      <c r="R103" s="12">
        <f t="shared" si="12"/>
        <v>2146.5</v>
      </c>
      <c r="S103" s="12">
        <f t="shared" si="13"/>
        <v>1395</v>
      </c>
      <c r="T103" s="12">
        <f t="shared" si="14"/>
        <v>751.5</v>
      </c>
      <c r="U103" s="11">
        <f t="shared" si="15"/>
        <v>0.35010482180293501</v>
      </c>
      <c r="V103" t="str">
        <f>IF(OR(A103="",COUNTIF($A$2:$A$301,A103)&gt;1,C103="",D103="",ISERROR(SEARCH("@",D103)),ISERROR(SEARCH(".",D103)),COUNTIF(Lookups!$A$2:$A$11,E103)=0,F103="",H103="",K103&lt;=0,L103&lt;0,M103&lt;0,N103&lt;0,N103&gt;0.5,COUNTIF(Lookups!$K$2:$K$4,P103)=0),"ERROR","VALID")</f>
        <v>VALID</v>
      </c>
      <c r="W103" s="2" t="str">
        <f>IF(A103="","Missing Order ID; ","")&amp;IF(COUNTIF($A$2:$A$301,A103)&gt;1,"Duplicate Order ID; ","")&amp;IF(C103="","Missing Customer ID; ","")&amp;IF(OR(D103="",ISERROR(SEARCH("@",D103)),ISERROR(SEARCH(".",D103))),"Invalid Email; ","")&amp;IF(COUNTIF(Lookups!$A$2:$A$11,E103)=0,"Unknown Product; ","")&amp;IF(F103="","Missing Product Name; ","")&amp;IF(H103="","Missing Region; ","")&amp;IF(K103&lt;=0,"Invalid Quantity; ","")&amp;IF(L103&lt;0,"Invalid Price; ","")&amp;IF(M103&lt;0,"Invalid Cost; ","")&amp;IF(OR(N103&lt;0,N103&gt;0.5),"Invalid Discount; ","")&amp;IF(COUNTIF(Lookups!$K$2:$K$4,P103)=0,"Invalid Status; ","")</f>
        <v/>
      </c>
      <c r="X103" s="15" t="str">
        <f t="shared" si="16"/>
        <v>2025-08</v>
      </c>
      <c r="Y103" t="str">
        <f t="shared" si="17"/>
        <v>Q3</v>
      </c>
      <c r="Z103" t="str">
        <f>IF(R103&gt;=Settings!$B$9,"High Value Customer",IF(R103&gt;=Settings!$B$10,"Medium Value Customer","Standard Customer"))</f>
        <v>Medium Value Customer</v>
      </c>
      <c r="AA103" t="str">
        <f>IF(R103&gt;=Settings!$B$9,"Large Order",IF(R103&gt;=Settings!$B$10,"Medium Order","Small Order"))</f>
        <v>Medium Order</v>
      </c>
      <c r="AB103" t="str">
        <f>IF(N103=0,"No Discount",IF(N103&lt;=0.1,"Low Discount",IF(N103&lt;=Settings!$B$8,"Medium Discount","High Discount")))</f>
        <v>Low Discount</v>
      </c>
      <c r="AC103" t="str">
        <f t="shared" si="18"/>
        <v>Profitable</v>
      </c>
      <c r="AD103" t="str">
        <f>IFERROR(VLOOKUP(E103,Lookups!$A$2:$E$11,2,FALSE),"Product Not Found")</f>
        <v>Mechanical Keyboard</v>
      </c>
      <c r="AE103" t="str">
        <f>IFERROR(VLOOKUP(E103,Lookups!$A$2:$E$11,3,FALSE),"Category Not Found")</f>
        <v>Accessories</v>
      </c>
      <c r="AF103" t="str">
        <f>IFERROR(IF(L103=VLOOKUP(E103,Lookups!$A$2:$E$11,4,FALSE),"Price OK","Price Mismatch"),"Product Missing")</f>
        <v>Price OK</v>
      </c>
      <c r="AG103" t="str">
        <f t="shared" si="19"/>
        <v>Valid Email</v>
      </c>
      <c r="AH103" t="str">
        <f t="shared" si="20"/>
        <v>READY FOR REPORTING</v>
      </c>
      <c r="AI103" t="str">
        <f>IF(AND(LEFT(A103,LEN(Settings!$B$13))=Settings!$B$13,LEN(A103)=9),"Valid Format","Invalid Format")</f>
        <v>Valid Format</v>
      </c>
      <c r="AJ103" t="str">
        <f>IF(LEFT(C103,LEN(Settings!$B$14))=Settings!$B$14,"Valid Format","Invalid Format")</f>
        <v>Valid Format</v>
      </c>
      <c r="AK103" t="str">
        <f>IF(COUNTIF(Master_Data!$G$5:$G$14,C103)=1,"Known Customer","Customer Not in Master")</f>
        <v>Customer Not in Master</v>
      </c>
      <c r="AL103" t="str">
        <f>IF(U103&gt;=Settings!$B$11,"Target Met","Below Target")</f>
        <v>Target Met</v>
      </c>
      <c r="AM103" t="str">
        <f>IF(YEAR(B103)=Settings!$B$5,"Correct Year","Wrong Year")</f>
        <v>Correct Year</v>
      </c>
      <c r="AN103">
        <f t="shared" si="21"/>
        <v>4</v>
      </c>
    </row>
    <row r="104" spans="1:40">
      <c r="A104" t="str">
        <f>Raw_Data!A104</f>
        <v>ORD-10103</v>
      </c>
      <c r="B104" s="13">
        <f>Raw_Data!B104</f>
        <v>46015</v>
      </c>
      <c r="C104" t="str">
        <f>Raw_Data!C104</f>
        <v>C1030</v>
      </c>
      <c r="D104" t="str">
        <f>Raw_Data!D104</f>
        <v>client106@example.com</v>
      </c>
      <c r="E104" t="str">
        <f>Raw_Data!E104</f>
        <v>P1004</v>
      </c>
      <c r="F104" t="str">
        <f>Raw_Data!F104</f>
        <v>USB-C Hub</v>
      </c>
      <c r="G104" t="str">
        <f>Raw_Data!G104</f>
        <v>Accessories</v>
      </c>
      <c r="H104" t="str">
        <f>Raw_Data!H104</f>
        <v>Bucharest</v>
      </c>
      <c r="I104" t="str">
        <f>Raw_Data!I104</f>
        <v>Store</v>
      </c>
      <c r="J104" t="str">
        <f>Raw_Data!J104</f>
        <v>Mihai Radu</v>
      </c>
      <c r="K104">
        <f>Raw_Data!K104</f>
        <v>4</v>
      </c>
      <c r="L104" s="12">
        <f>Raw_Data!L104</f>
        <v>175</v>
      </c>
      <c r="M104" s="12">
        <f>Raw_Data!M104</f>
        <v>98</v>
      </c>
      <c r="N104" s="14">
        <f>Raw_Data!N104</f>
        <v>0.15</v>
      </c>
      <c r="O104" t="str">
        <f>Raw_Data!O104</f>
        <v>Online Wallet</v>
      </c>
      <c r="P104" t="str">
        <f>Raw_Data!P104</f>
        <v>Completed</v>
      </c>
      <c r="Q104" s="12">
        <f t="shared" si="11"/>
        <v>700</v>
      </c>
      <c r="R104" s="12">
        <f t="shared" si="12"/>
        <v>595</v>
      </c>
      <c r="S104" s="12">
        <f t="shared" si="13"/>
        <v>392</v>
      </c>
      <c r="T104" s="12">
        <f t="shared" si="14"/>
        <v>203</v>
      </c>
      <c r="U104" s="11">
        <f t="shared" si="15"/>
        <v>0.3411764705882353</v>
      </c>
      <c r="V104" t="str">
        <f>IF(OR(A104="",COUNTIF($A$2:$A$301,A104)&gt;1,C104="",D104="",ISERROR(SEARCH("@",D104)),ISERROR(SEARCH(".",D104)),COUNTIF(Lookups!$A$2:$A$11,E104)=0,F104="",H104="",K104&lt;=0,L104&lt;0,M104&lt;0,N104&lt;0,N104&gt;0.5,COUNTIF(Lookups!$K$2:$K$4,P104)=0),"ERROR","VALID")</f>
        <v>VALID</v>
      </c>
      <c r="W104" s="2" t="str">
        <f>IF(A104="","Missing Order ID; ","")&amp;IF(COUNTIF($A$2:$A$301,A104)&gt;1,"Duplicate Order ID; ","")&amp;IF(C104="","Missing Customer ID; ","")&amp;IF(OR(D104="",ISERROR(SEARCH("@",D104)),ISERROR(SEARCH(".",D104))),"Invalid Email; ","")&amp;IF(COUNTIF(Lookups!$A$2:$A$11,E104)=0,"Unknown Product; ","")&amp;IF(F104="","Missing Product Name; ","")&amp;IF(H104="","Missing Region; ","")&amp;IF(K104&lt;=0,"Invalid Quantity; ","")&amp;IF(L104&lt;0,"Invalid Price; ","")&amp;IF(M104&lt;0,"Invalid Cost; ","")&amp;IF(OR(N104&lt;0,N104&gt;0.5),"Invalid Discount; ","")&amp;IF(COUNTIF(Lookups!$K$2:$K$4,P104)=0,"Invalid Status; ","")</f>
        <v/>
      </c>
      <c r="X104" s="15" t="str">
        <f t="shared" si="16"/>
        <v>2025-12</v>
      </c>
      <c r="Y104" t="str">
        <f t="shared" si="17"/>
        <v>Q4</v>
      </c>
      <c r="Z104" t="str">
        <f>IF(R104&gt;=Settings!$B$9,"High Value Customer",IF(R104&gt;=Settings!$B$10,"Medium Value Customer","Standard Customer"))</f>
        <v>Standard Customer</v>
      </c>
      <c r="AA104" t="str">
        <f>IF(R104&gt;=Settings!$B$9,"Large Order",IF(R104&gt;=Settings!$B$10,"Medium Order","Small Order"))</f>
        <v>Small Order</v>
      </c>
      <c r="AB104" t="str">
        <f>IF(N104=0,"No Discount",IF(N104&lt;=0.1,"Low Discount",IF(N104&lt;=Settings!$B$8,"Medium Discount","High Discount")))</f>
        <v>Medium Discount</v>
      </c>
      <c r="AC104" t="str">
        <f t="shared" si="18"/>
        <v>Profitable</v>
      </c>
      <c r="AD104" t="str">
        <f>IFERROR(VLOOKUP(E104,Lookups!$A$2:$E$11,2,FALSE),"Product Not Found")</f>
        <v>USB-C Hub</v>
      </c>
      <c r="AE104" t="str">
        <f>IFERROR(VLOOKUP(E104,Lookups!$A$2:$E$11,3,FALSE),"Category Not Found")</f>
        <v>Accessories</v>
      </c>
      <c r="AF104" t="str">
        <f>IFERROR(IF(L104=VLOOKUP(E104,Lookups!$A$2:$E$11,4,FALSE),"Price OK","Price Mismatch"),"Product Missing")</f>
        <v>Price OK</v>
      </c>
      <c r="AG104" t="str">
        <f t="shared" si="19"/>
        <v>Valid Email</v>
      </c>
      <c r="AH104" t="str">
        <f t="shared" si="20"/>
        <v>READY FOR REPORTING</v>
      </c>
      <c r="AI104" t="str">
        <f>IF(AND(LEFT(A104,LEN(Settings!$B$13))=Settings!$B$13,LEN(A104)=9),"Valid Format","Invalid Format")</f>
        <v>Valid Format</v>
      </c>
      <c r="AJ104" t="str">
        <f>IF(LEFT(C104,LEN(Settings!$B$14))=Settings!$B$14,"Valid Format","Invalid Format")</f>
        <v>Valid Format</v>
      </c>
      <c r="AK104" t="str">
        <f>IF(COUNTIF(Master_Data!$G$5:$G$14,C104)=1,"Known Customer","Customer Not in Master")</f>
        <v>Customer Not in Master</v>
      </c>
      <c r="AL104" t="str">
        <f>IF(U104&gt;=Settings!$B$11,"Target Met","Below Target")</f>
        <v>Target Met</v>
      </c>
      <c r="AM104" t="str">
        <f>IF(YEAR(B104)=Settings!$B$5,"Correct Year","Wrong Year")</f>
        <v>Correct Year</v>
      </c>
      <c r="AN104">
        <f t="shared" si="21"/>
        <v>4</v>
      </c>
    </row>
    <row r="105" spans="1:40">
      <c r="A105" t="str">
        <f>Raw_Data!A105</f>
        <v>ORD-10104</v>
      </c>
      <c r="B105" s="13">
        <f>Raw_Data!B105</f>
        <v>45997</v>
      </c>
      <c r="C105" t="str">
        <f>Raw_Data!C105</f>
        <v>C1124</v>
      </c>
      <c r="D105" t="str">
        <f>Raw_Data!D105</f>
        <v>client10@example.com</v>
      </c>
      <c r="E105" t="str">
        <f>Raw_Data!E105</f>
        <v>P1007</v>
      </c>
      <c r="F105" t="str">
        <f>Raw_Data!F105</f>
        <v>Office Chair</v>
      </c>
      <c r="G105" t="str">
        <f>Raw_Data!G105</f>
        <v>Furniture</v>
      </c>
      <c r="H105" t="str">
        <f>Raw_Data!H105</f>
        <v>North</v>
      </c>
      <c r="I105" t="str">
        <f>Raw_Data!I105</f>
        <v>Marketplace</v>
      </c>
      <c r="J105" t="str">
        <f>Raw_Data!J105</f>
        <v>Ioana Pavel</v>
      </c>
      <c r="K105">
        <f>Raw_Data!K105</f>
        <v>11</v>
      </c>
      <c r="L105" s="12">
        <f>Raw_Data!L105</f>
        <v>840</v>
      </c>
      <c r="M105" s="12">
        <f>Raw_Data!M105</f>
        <v>590</v>
      </c>
      <c r="N105" s="14">
        <f>Raw_Data!N105</f>
        <v>0</v>
      </c>
      <c r="O105" t="str">
        <f>Raw_Data!O105</f>
        <v>Cash</v>
      </c>
      <c r="P105" t="str">
        <f>Raw_Data!P105</f>
        <v>Completed</v>
      </c>
      <c r="Q105" s="12">
        <f t="shared" si="11"/>
        <v>9240</v>
      </c>
      <c r="R105" s="12">
        <f t="shared" si="12"/>
        <v>9240</v>
      </c>
      <c r="S105" s="12">
        <f t="shared" si="13"/>
        <v>6490</v>
      </c>
      <c r="T105" s="12">
        <f t="shared" si="14"/>
        <v>2750</v>
      </c>
      <c r="U105" s="11">
        <f t="shared" si="15"/>
        <v>0.29761904761904762</v>
      </c>
      <c r="V105" t="str">
        <f>IF(OR(A105="",COUNTIF($A$2:$A$301,A105)&gt;1,C105="",D105="",ISERROR(SEARCH("@",D105)),ISERROR(SEARCH(".",D105)),COUNTIF(Lookups!$A$2:$A$11,E105)=0,F105="",H105="",K105&lt;=0,L105&lt;0,M105&lt;0,N105&lt;0,N105&gt;0.5,COUNTIF(Lookups!$K$2:$K$4,P105)=0),"ERROR","VALID")</f>
        <v>VALID</v>
      </c>
      <c r="W105" s="2" t="str">
        <f>IF(A105="","Missing Order ID; ","")&amp;IF(COUNTIF($A$2:$A$301,A105)&gt;1,"Duplicate Order ID; ","")&amp;IF(C105="","Missing Customer ID; ","")&amp;IF(OR(D105="",ISERROR(SEARCH("@",D105)),ISERROR(SEARCH(".",D105))),"Invalid Email; ","")&amp;IF(COUNTIF(Lookups!$A$2:$A$11,E105)=0,"Unknown Product; ","")&amp;IF(F105="","Missing Product Name; ","")&amp;IF(H105="","Missing Region; ","")&amp;IF(K105&lt;=0,"Invalid Quantity; ","")&amp;IF(L105&lt;0,"Invalid Price; ","")&amp;IF(M105&lt;0,"Invalid Cost; ","")&amp;IF(OR(N105&lt;0,N105&gt;0.5),"Invalid Discount; ","")&amp;IF(COUNTIF(Lookups!$K$2:$K$4,P105)=0,"Invalid Status; ","")</f>
        <v/>
      </c>
      <c r="X105" s="15" t="str">
        <f t="shared" si="16"/>
        <v>2025-12</v>
      </c>
      <c r="Y105" t="str">
        <f t="shared" si="17"/>
        <v>Q4</v>
      </c>
      <c r="Z105" t="str">
        <f>IF(R105&gt;=Settings!$B$9,"High Value Customer",IF(R105&gt;=Settings!$B$10,"Medium Value Customer","Standard Customer"))</f>
        <v>High Value Customer</v>
      </c>
      <c r="AA105" t="str">
        <f>IF(R105&gt;=Settings!$B$9,"Large Order",IF(R105&gt;=Settings!$B$10,"Medium Order","Small Order"))</f>
        <v>Large Order</v>
      </c>
      <c r="AB105" t="str">
        <f>IF(N105=0,"No Discount",IF(N105&lt;=0.1,"Low Discount",IF(N105&lt;=Settings!$B$8,"Medium Discount","High Discount")))</f>
        <v>No Discount</v>
      </c>
      <c r="AC105" t="str">
        <f t="shared" si="18"/>
        <v>Profitable</v>
      </c>
      <c r="AD105" t="str">
        <f>IFERROR(VLOOKUP(E105,Lookups!$A$2:$E$11,2,FALSE),"Product Not Found")</f>
        <v>Office Chair</v>
      </c>
      <c r="AE105" t="str">
        <f>IFERROR(VLOOKUP(E105,Lookups!$A$2:$E$11,3,FALSE),"Category Not Found")</f>
        <v>Furniture</v>
      </c>
      <c r="AF105" t="str">
        <f>IFERROR(IF(L105=VLOOKUP(E105,Lookups!$A$2:$E$11,4,FALSE),"Price OK","Price Mismatch"),"Product Missing")</f>
        <v>Price OK</v>
      </c>
      <c r="AG105" t="str">
        <f t="shared" si="19"/>
        <v>Valid Email</v>
      </c>
      <c r="AH105" t="str">
        <f t="shared" si="20"/>
        <v>READY FOR REPORTING</v>
      </c>
      <c r="AI105" t="str">
        <f>IF(AND(LEFT(A105,LEN(Settings!$B$13))=Settings!$B$13,LEN(A105)=9),"Valid Format","Invalid Format")</f>
        <v>Valid Format</v>
      </c>
      <c r="AJ105" t="str">
        <f>IF(LEFT(C105,LEN(Settings!$B$14))=Settings!$B$14,"Valid Format","Invalid Format")</f>
        <v>Valid Format</v>
      </c>
      <c r="AK105" t="str">
        <f>IF(COUNTIF(Master_Data!$G$5:$G$14,C105)=1,"Known Customer","Customer Not in Master")</f>
        <v>Customer Not in Master</v>
      </c>
      <c r="AL105" t="str">
        <f>IF(U105&gt;=Settings!$B$11,"Target Met","Below Target")</f>
        <v>Target Met</v>
      </c>
      <c r="AM105" t="str">
        <f>IF(YEAR(B105)=Settings!$B$5,"Correct Year","Wrong Year")</f>
        <v>Correct Year</v>
      </c>
      <c r="AN105">
        <f t="shared" si="21"/>
        <v>4</v>
      </c>
    </row>
    <row r="106" spans="1:40">
      <c r="A106" t="str">
        <f>Raw_Data!A106</f>
        <v>ORD-10105</v>
      </c>
      <c r="B106" s="13">
        <f>Raw_Data!B106</f>
        <v>45883</v>
      </c>
      <c r="C106" t="str">
        <f>Raw_Data!C106</f>
        <v>C1002</v>
      </c>
      <c r="D106" t="str">
        <f>Raw_Data!D106</f>
        <v>client37@example.com</v>
      </c>
      <c r="E106" t="str">
        <f>Raw_Data!E106</f>
        <v>P1002</v>
      </c>
      <c r="F106" t="str">
        <f>Raw_Data!F106</f>
        <v>Wireless Mouse</v>
      </c>
      <c r="G106" t="str">
        <f>Raw_Data!G106</f>
        <v>Accessories</v>
      </c>
      <c r="H106" t="str">
        <f>Raw_Data!H106</f>
        <v>East</v>
      </c>
      <c r="I106" t="str">
        <f>Raw_Data!I106</f>
        <v>Marketplace</v>
      </c>
      <c r="J106" t="str">
        <f>Raw_Data!J106</f>
        <v>Maria Ionescu</v>
      </c>
      <c r="K106">
        <f>Raw_Data!K106</f>
        <v>2</v>
      </c>
      <c r="L106" s="12">
        <f>Raw_Data!L106</f>
        <v>85</v>
      </c>
      <c r="M106" s="12">
        <f>Raw_Data!M106</f>
        <v>44</v>
      </c>
      <c r="N106" s="14">
        <f>Raw_Data!N106</f>
        <v>0.15</v>
      </c>
      <c r="O106" t="str">
        <f>Raw_Data!O106</f>
        <v>Card</v>
      </c>
      <c r="P106" t="str">
        <f>Raw_Data!P106</f>
        <v>Completed</v>
      </c>
      <c r="Q106" s="12">
        <f t="shared" si="11"/>
        <v>170</v>
      </c>
      <c r="R106" s="12">
        <f t="shared" si="12"/>
        <v>144.5</v>
      </c>
      <c r="S106" s="12">
        <f t="shared" si="13"/>
        <v>88</v>
      </c>
      <c r="T106" s="12">
        <f t="shared" si="14"/>
        <v>56.5</v>
      </c>
      <c r="U106" s="11">
        <f t="shared" si="15"/>
        <v>0.39100346020761245</v>
      </c>
      <c r="V106" t="str">
        <f>IF(OR(A106="",COUNTIF($A$2:$A$301,A106)&gt;1,C106="",D106="",ISERROR(SEARCH("@",D106)),ISERROR(SEARCH(".",D106)),COUNTIF(Lookups!$A$2:$A$11,E106)=0,F106="",H106="",K106&lt;=0,L106&lt;0,M106&lt;0,N106&lt;0,N106&gt;0.5,COUNTIF(Lookups!$K$2:$K$4,P106)=0),"ERROR","VALID")</f>
        <v>VALID</v>
      </c>
      <c r="W106" s="2" t="str">
        <f>IF(A106="","Missing Order ID; ","")&amp;IF(COUNTIF($A$2:$A$301,A106)&gt;1,"Duplicate Order ID; ","")&amp;IF(C106="","Missing Customer ID; ","")&amp;IF(OR(D106="",ISERROR(SEARCH("@",D106)),ISERROR(SEARCH(".",D106))),"Invalid Email; ","")&amp;IF(COUNTIF(Lookups!$A$2:$A$11,E106)=0,"Unknown Product; ","")&amp;IF(F106="","Missing Product Name; ","")&amp;IF(H106="","Missing Region; ","")&amp;IF(K106&lt;=0,"Invalid Quantity; ","")&amp;IF(L106&lt;0,"Invalid Price; ","")&amp;IF(M106&lt;0,"Invalid Cost; ","")&amp;IF(OR(N106&lt;0,N106&gt;0.5),"Invalid Discount; ","")&amp;IF(COUNTIF(Lookups!$K$2:$K$4,P106)=0,"Invalid Status; ","")</f>
        <v/>
      </c>
      <c r="X106" s="15" t="str">
        <f t="shared" si="16"/>
        <v>2025-08</v>
      </c>
      <c r="Y106" t="str">
        <f t="shared" si="17"/>
        <v>Q3</v>
      </c>
      <c r="Z106" t="str">
        <f>IF(R106&gt;=Settings!$B$9,"High Value Customer",IF(R106&gt;=Settings!$B$10,"Medium Value Customer","Standard Customer"))</f>
        <v>Standard Customer</v>
      </c>
      <c r="AA106" t="str">
        <f>IF(R106&gt;=Settings!$B$9,"Large Order",IF(R106&gt;=Settings!$B$10,"Medium Order","Small Order"))</f>
        <v>Small Order</v>
      </c>
      <c r="AB106" t="str">
        <f>IF(N106=0,"No Discount",IF(N106&lt;=0.1,"Low Discount",IF(N106&lt;=Settings!$B$8,"Medium Discount","High Discount")))</f>
        <v>Medium Discount</v>
      </c>
      <c r="AC106" t="str">
        <f t="shared" si="18"/>
        <v>Profitable</v>
      </c>
      <c r="AD106" t="str">
        <f>IFERROR(VLOOKUP(E106,Lookups!$A$2:$E$11,2,FALSE),"Product Not Found")</f>
        <v>Wireless Mouse</v>
      </c>
      <c r="AE106" t="str">
        <f>IFERROR(VLOOKUP(E106,Lookups!$A$2:$E$11,3,FALSE),"Category Not Found")</f>
        <v>Accessories</v>
      </c>
      <c r="AF106" t="str">
        <f>IFERROR(IF(L106=VLOOKUP(E106,Lookups!$A$2:$E$11,4,FALSE),"Price OK","Price Mismatch"),"Product Missing")</f>
        <v>Price OK</v>
      </c>
      <c r="AG106" t="str">
        <f t="shared" si="19"/>
        <v>Valid Email</v>
      </c>
      <c r="AH106" t="str">
        <f t="shared" si="20"/>
        <v>READY FOR REPORTING</v>
      </c>
      <c r="AI106" t="str">
        <f>IF(AND(LEFT(A106,LEN(Settings!$B$13))=Settings!$B$13,LEN(A106)=9),"Valid Format","Invalid Format")</f>
        <v>Valid Format</v>
      </c>
      <c r="AJ106" t="str">
        <f>IF(LEFT(C106,LEN(Settings!$B$14))=Settings!$B$14,"Valid Format","Invalid Format")</f>
        <v>Valid Format</v>
      </c>
      <c r="AK106" t="str">
        <f>IF(COUNTIF(Master_Data!$G$5:$G$14,C106)=1,"Known Customer","Customer Not in Master")</f>
        <v>Known Customer</v>
      </c>
      <c r="AL106" t="str">
        <f>IF(U106&gt;=Settings!$B$11,"Target Met","Below Target")</f>
        <v>Target Met</v>
      </c>
      <c r="AM106" t="str">
        <f>IF(YEAR(B106)=Settings!$B$5,"Correct Year","Wrong Year")</f>
        <v>Correct Year</v>
      </c>
      <c r="AN106">
        <f t="shared" si="21"/>
        <v>5</v>
      </c>
    </row>
    <row r="107" spans="1:40">
      <c r="A107" t="str">
        <f>Raw_Data!A107</f>
        <v>ORD-10106</v>
      </c>
      <c r="B107" s="13">
        <f>Raw_Data!B107</f>
        <v>45793</v>
      </c>
      <c r="C107" t="str">
        <f>Raw_Data!C107</f>
        <v>C1051</v>
      </c>
      <c r="D107" t="str">
        <f>Raw_Data!D107</f>
        <v>client167@example.com</v>
      </c>
      <c r="E107" t="str">
        <f>Raw_Data!E107</f>
        <v>P1008</v>
      </c>
      <c r="F107" t="str">
        <f>Raw_Data!F107</f>
        <v>Standing Desk</v>
      </c>
      <c r="G107" t="str">
        <f>Raw_Data!G107</f>
        <v>Furniture</v>
      </c>
      <c r="H107" t="str">
        <f>Raw_Data!H107</f>
        <v>Bucharest</v>
      </c>
      <c r="I107" t="str">
        <f>Raw_Data!I107</f>
        <v>Store</v>
      </c>
      <c r="J107" t="str">
        <f>Raw_Data!J107</f>
        <v>Ioana Pavel</v>
      </c>
      <c r="K107">
        <f>Raw_Data!K107</f>
        <v>6</v>
      </c>
      <c r="L107" s="12">
        <f>Raw_Data!L107</f>
        <v>1450</v>
      </c>
      <c r="M107" s="12">
        <f>Raw_Data!M107</f>
        <v>1030</v>
      </c>
      <c r="N107" s="14">
        <f>Raw_Data!N107</f>
        <v>0.15</v>
      </c>
      <c r="O107" t="str">
        <f>Raw_Data!O107</f>
        <v>Online Wallet</v>
      </c>
      <c r="P107" t="str">
        <f>Raw_Data!P107</f>
        <v>Cancelled</v>
      </c>
      <c r="Q107" s="12">
        <f t="shared" si="11"/>
        <v>8700</v>
      </c>
      <c r="R107" s="12">
        <f t="shared" si="12"/>
        <v>7395</v>
      </c>
      <c r="S107" s="12">
        <f t="shared" si="13"/>
        <v>6180</v>
      </c>
      <c r="T107" s="12">
        <f t="shared" si="14"/>
        <v>1215</v>
      </c>
      <c r="U107" s="11">
        <f t="shared" si="15"/>
        <v>0.1643002028397566</v>
      </c>
      <c r="V107" t="str">
        <f>IF(OR(A107="",COUNTIF($A$2:$A$301,A107)&gt;1,C107="",D107="",ISERROR(SEARCH("@",D107)),ISERROR(SEARCH(".",D107)),COUNTIF(Lookups!$A$2:$A$11,E107)=0,F107="",H107="",K107&lt;=0,L107&lt;0,M107&lt;0,N107&lt;0,N107&gt;0.5,COUNTIF(Lookups!$K$2:$K$4,P107)=0),"ERROR","VALID")</f>
        <v>VALID</v>
      </c>
      <c r="W107" s="2" t="str">
        <f>IF(A107="","Missing Order ID; ","")&amp;IF(COUNTIF($A$2:$A$301,A107)&gt;1,"Duplicate Order ID; ","")&amp;IF(C107="","Missing Customer ID; ","")&amp;IF(OR(D107="",ISERROR(SEARCH("@",D107)),ISERROR(SEARCH(".",D107))),"Invalid Email; ","")&amp;IF(COUNTIF(Lookups!$A$2:$A$11,E107)=0,"Unknown Product; ","")&amp;IF(F107="","Missing Product Name; ","")&amp;IF(H107="","Missing Region; ","")&amp;IF(K107&lt;=0,"Invalid Quantity; ","")&amp;IF(L107&lt;0,"Invalid Price; ","")&amp;IF(M107&lt;0,"Invalid Cost; ","")&amp;IF(OR(N107&lt;0,N107&gt;0.5),"Invalid Discount; ","")&amp;IF(COUNTIF(Lookups!$K$2:$K$4,P107)=0,"Invalid Status; ","")</f>
        <v/>
      </c>
      <c r="X107" s="15" t="str">
        <f t="shared" si="16"/>
        <v>2025-05</v>
      </c>
      <c r="Y107" t="str">
        <f t="shared" si="17"/>
        <v>Q2</v>
      </c>
      <c r="Z107" t="str">
        <f>IF(R107&gt;=Settings!$B$9,"High Value Customer",IF(R107&gt;=Settings!$B$10,"Medium Value Customer","Standard Customer"))</f>
        <v>High Value Customer</v>
      </c>
      <c r="AA107" t="str">
        <f>IF(R107&gt;=Settings!$B$9,"Large Order",IF(R107&gt;=Settings!$B$10,"Medium Order","Small Order"))</f>
        <v>Large Order</v>
      </c>
      <c r="AB107" t="str">
        <f>IF(N107=0,"No Discount",IF(N107&lt;=0.1,"Low Discount",IF(N107&lt;=Settings!$B$8,"Medium Discount","High Discount")))</f>
        <v>Medium Discount</v>
      </c>
      <c r="AC107" t="str">
        <f t="shared" si="18"/>
        <v>Profitable</v>
      </c>
      <c r="AD107" t="str">
        <f>IFERROR(VLOOKUP(E107,Lookups!$A$2:$E$11,2,FALSE),"Product Not Found")</f>
        <v>Standing Desk</v>
      </c>
      <c r="AE107" t="str">
        <f>IFERROR(VLOOKUP(E107,Lookups!$A$2:$E$11,3,FALSE),"Category Not Found")</f>
        <v>Furniture</v>
      </c>
      <c r="AF107" t="str">
        <f>IFERROR(IF(L107=VLOOKUP(E107,Lookups!$A$2:$E$11,4,FALSE),"Price OK","Price Mismatch"),"Product Missing")</f>
        <v>Price OK</v>
      </c>
      <c r="AG107" t="str">
        <f t="shared" si="19"/>
        <v>Valid Email</v>
      </c>
      <c r="AH107" t="str">
        <f t="shared" si="20"/>
        <v>READY FOR REPORTING</v>
      </c>
      <c r="AI107" t="str">
        <f>IF(AND(LEFT(A107,LEN(Settings!$B$13))=Settings!$B$13,LEN(A107)=9),"Valid Format","Invalid Format")</f>
        <v>Valid Format</v>
      </c>
      <c r="AJ107" t="str">
        <f>IF(LEFT(C107,LEN(Settings!$B$14))=Settings!$B$14,"Valid Format","Invalid Format")</f>
        <v>Valid Format</v>
      </c>
      <c r="AK107" t="str">
        <f>IF(COUNTIF(Master_Data!$G$5:$G$14,C107)=1,"Known Customer","Customer Not in Master")</f>
        <v>Customer Not in Master</v>
      </c>
      <c r="AL107" t="str">
        <f>IF(U107&gt;=Settings!$B$11,"Target Met","Below Target")</f>
        <v>Below Target</v>
      </c>
      <c r="AM107" t="str">
        <f>IF(YEAR(B107)=Settings!$B$5,"Correct Year","Wrong Year")</f>
        <v>Correct Year</v>
      </c>
      <c r="AN107">
        <f t="shared" si="21"/>
        <v>3</v>
      </c>
    </row>
    <row r="108" spans="1:40">
      <c r="A108" t="str">
        <f>Raw_Data!A108</f>
        <v>ORD-10107</v>
      </c>
      <c r="B108" s="13">
        <f>Raw_Data!B108</f>
        <v>45978</v>
      </c>
      <c r="C108" t="str">
        <f>Raw_Data!C108</f>
        <v>C1005</v>
      </c>
      <c r="D108" t="str">
        <f>Raw_Data!D108</f>
        <v>client159@example.com</v>
      </c>
      <c r="E108" t="str">
        <f>Raw_Data!E108</f>
        <v>P1006</v>
      </c>
      <c r="F108" t="str">
        <f>Raw_Data!F108</f>
        <v>27-inch Monitor</v>
      </c>
      <c r="G108" t="str">
        <f>Raw_Data!G108</f>
        <v>Electronics</v>
      </c>
      <c r="H108" t="str">
        <f>Raw_Data!H108</f>
        <v>Bucharest</v>
      </c>
      <c r="I108" t="str">
        <f>Raw_Data!I108</f>
        <v>Online</v>
      </c>
      <c r="J108" t="str">
        <f>Raw_Data!J108</f>
        <v>Elena Stan</v>
      </c>
      <c r="K108">
        <f>Raw_Data!K108</f>
        <v>12</v>
      </c>
      <c r="L108" s="12">
        <f>Raw_Data!L108</f>
        <v>1090</v>
      </c>
      <c r="M108" s="12">
        <f>Raw_Data!M108</f>
        <v>790</v>
      </c>
      <c r="N108" s="14">
        <f>Raw_Data!N108</f>
        <v>0.1</v>
      </c>
      <c r="O108" t="str">
        <f>Raw_Data!O108</f>
        <v>Bank Transfer</v>
      </c>
      <c r="P108" t="str">
        <f>Raw_Data!P108</f>
        <v>Returned</v>
      </c>
      <c r="Q108" s="12">
        <f t="shared" si="11"/>
        <v>13080</v>
      </c>
      <c r="R108" s="12">
        <f t="shared" si="12"/>
        <v>11772</v>
      </c>
      <c r="S108" s="12">
        <f t="shared" si="13"/>
        <v>9480</v>
      </c>
      <c r="T108" s="12">
        <f t="shared" si="14"/>
        <v>2292</v>
      </c>
      <c r="U108" s="11">
        <f t="shared" si="15"/>
        <v>0.19469928644240569</v>
      </c>
      <c r="V108" t="str">
        <f>IF(OR(A108="",COUNTIF($A$2:$A$301,A108)&gt;1,C108="",D108="",ISERROR(SEARCH("@",D108)),ISERROR(SEARCH(".",D108)),COUNTIF(Lookups!$A$2:$A$11,E108)=0,F108="",H108="",K108&lt;=0,L108&lt;0,M108&lt;0,N108&lt;0,N108&gt;0.5,COUNTIF(Lookups!$K$2:$K$4,P108)=0),"ERROR","VALID")</f>
        <v>VALID</v>
      </c>
      <c r="W108" s="2" t="str">
        <f>IF(A108="","Missing Order ID; ","")&amp;IF(COUNTIF($A$2:$A$301,A108)&gt;1,"Duplicate Order ID; ","")&amp;IF(C108="","Missing Customer ID; ","")&amp;IF(OR(D108="",ISERROR(SEARCH("@",D108)),ISERROR(SEARCH(".",D108))),"Invalid Email; ","")&amp;IF(COUNTIF(Lookups!$A$2:$A$11,E108)=0,"Unknown Product; ","")&amp;IF(F108="","Missing Product Name; ","")&amp;IF(H108="","Missing Region; ","")&amp;IF(K108&lt;=0,"Invalid Quantity; ","")&amp;IF(L108&lt;0,"Invalid Price; ","")&amp;IF(M108&lt;0,"Invalid Cost; ","")&amp;IF(OR(N108&lt;0,N108&gt;0.5),"Invalid Discount; ","")&amp;IF(COUNTIF(Lookups!$K$2:$K$4,P108)=0,"Invalid Status; ","")</f>
        <v/>
      </c>
      <c r="X108" s="15" t="str">
        <f t="shared" si="16"/>
        <v>2025-11</v>
      </c>
      <c r="Y108" t="str">
        <f t="shared" si="17"/>
        <v>Q4</v>
      </c>
      <c r="Z108" t="str">
        <f>IF(R108&gt;=Settings!$B$9,"High Value Customer",IF(R108&gt;=Settings!$B$10,"Medium Value Customer","Standard Customer"))</f>
        <v>High Value Customer</v>
      </c>
      <c r="AA108" t="str">
        <f>IF(R108&gt;=Settings!$B$9,"Large Order",IF(R108&gt;=Settings!$B$10,"Medium Order","Small Order"))</f>
        <v>Large Order</v>
      </c>
      <c r="AB108" t="str">
        <f>IF(N108=0,"No Discount",IF(N108&lt;=0.1,"Low Discount",IF(N108&lt;=Settings!$B$8,"Medium Discount","High Discount")))</f>
        <v>Low Discount</v>
      </c>
      <c r="AC108" t="str">
        <f t="shared" si="18"/>
        <v>Profitable</v>
      </c>
      <c r="AD108" t="str">
        <f>IFERROR(VLOOKUP(E108,Lookups!$A$2:$E$11,2,FALSE),"Product Not Found")</f>
        <v>27-inch Monitor</v>
      </c>
      <c r="AE108" t="str">
        <f>IFERROR(VLOOKUP(E108,Lookups!$A$2:$E$11,3,FALSE),"Category Not Found")</f>
        <v>Electronics</v>
      </c>
      <c r="AF108" t="str">
        <f>IFERROR(IF(L108=VLOOKUP(E108,Lookups!$A$2:$E$11,4,FALSE),"Price OK","Price Mismatch"),"Product Missing")</f>
        <v>Price OK</v>
      </c>
      <c r="AG108" t="str">
        <f t="shared" si="19"/>
        <v>Valid Email</v>
      </c>
      <c r="AH108" t="str">
        <f t="shared" si="20"/>
        <v>READY FOR REPORTING</v>
      </c>
      <c r="AI108" t="str">
        <f>IF(AND(LEFT(A108,LEN(Settings!$B$13))=Settings!$B$13,LEN(A108)=9),"Valid Format","Invalid Format")</f>
        <v>Valid Format</v>
      </c>
      <c r="AJ108" t="str">
        <f>IF(LEFT(C108,LEN(Settings!$B$14))=Settings!$B$14,"Valid Format","Invalid Format")</f>
        <v>Valid Format</v>
      </c>
      <c r="AK108" t="str">
        <f>IF(COUNTIF(Master_Data!$G$5:$G$14,C108)=1,"Known Customer","Customer Not in Master")</f>
        <v>Known Customer</v>
      </c>
      <c r="AL108" t="str">
        <f>IF(U108&gt;=Settings!$B$11,"Target Met","Below Target")</f>
        <v>Below Target</v>
      </c>
      <c r="AM108" t="str">
        <f>IF(YEAR(B108)=Settings!$B$5,"Correct Year","Wrong Year")</f>
        <v>Correct Year</v>
      </c>
      <c r="AN108">
        <f t="shared" si="21"/>
        <v>4</v>
      </c>
    </row>
    <row r="109" spans="1:40">
      <c r="A109" t="str">
        <f>Raw_Data!A109</f>
        <v>ORD-10108</v>
      </c>
      <c r="B109" s="13">
        <f>Raw_Data!B109</f>
        <v>45880</v>
      </c>
      <c r="C109" t="str">
        <f>Raw_Data!C109</f>
        <v>C1112</v>
      </c>
      <c r="D109" t="str">
        <f>Raw_Data!D109</f>
        <v>client26@example.com</v>
      </c>
      <c r="E109" t="str">
        <f>Raw_Data!E109</f>
        <v>P1002</v>
      </c>
      <c r="F109" t="str">
        <f>Raw_Data!F109</f>
        <v>Wireless Mouse</v>
      </c>
      <c r="G109" t="str">
        <f>Raw_Data!G109</f>
        <v>Accessories</v>
      </c>
      <c r="H109" t="str">
        <f>Raw_Data!H109</f>
        <v>East</v>
      </c>
      <c r="I109" t="str">
        <f>Raw_Data!I109</f>
        <v>Online</v>
      </c>
      <c r="J109" t="str">
        <f>Raw_Data!J109</f>
        <v>Elena Stan</v>
      </c>
      <c r="K109">
        <f>Raw_Data!K109</f>
        <v>2</v>
      </c>
      <c r="L109" s="12">
        <f>Raw_Data!L109</f>
        <v>85</v>
      </c>
      <c r="M109" s="12">
        <f>Raw_Data!M109</f>
        <v>44</v>
      </c>
      <c r="N109" s="14">
        <f>Raw_Data!N109</f>
        <v>0.2</v>
      </c>
      <c r="O109" t="str">
        <f>Raw_Data!O109</f>
        <v>Card</v>
      </c>
      <c r="P109" t="str">
        <f>Raw_Data!P109</f>
        <v>Cancelled</v>
      </c>
      <c r="Q109" s="12">
        <f t="shared" si="11"/>
        <v>170</v>
      </c>
      <c r="R109" s="12">
        <f t="shared" si="12"/>
        <v>136</v>
      </c>
      <c r="S109" s="12">
        <f t="shared" si="13"/>
        <v>88</v>
      </c>
      <c r="T109" s="12">
        <f t="shared" si="14"/>
        <v>48</v>
      </c>
      <c r="U109" s="11">
        <f t="shared" si="15"/>
        <v>0.35294117647058826</v>
      </c>
      <c r="V109" t="str">
        <f>IF(OR(A109="",COUNTIF($A$2:$A$301,A109)&gt;1,C109="",D109="",ISERROR(SEARCH("@",D109)),ISERROR(SEARCH(".",D109)),COUNTIF(Lookups!$A$2:$A$11,E109)=0,F109="",H109="",K109&lt;=0,L109&lt;0,M109&lt;0,N109&lt;0,N109&gt;0.5,COUNTIF(Lookups!$K$2:$K$4,P109)=0),"ERROR","VALID")</f>
        <v>VALID</v>
      </c>
      <c r="W109" s="2" t="str">
        <f>IF(A109="","Missing Order ID; ","")&amp;IF(COUNTIF($A$2:$A$301,A109)&gt;1,"Duplicate Order ID; ","")&amp;IF(C109="","Missing Customer ID; ","")&amp;IF(OR(D109="",ISERROR(SEARCH("@",D109)),ISERROR(SEARCH(".",D109))),"Invalid Email; ","")&amp;IF(COUNTIF(Lookups!$A$2:$A$11,E109)=0,"Unknown Product; ","")&amp;IF(F109="","Missing Product Name; ","")&amp;IF(H109="","Missing Region; ","")&amp;IF(K109&lt;=0,"Invalid Quantity; ","")&amp;IF(L109&lt;0,"Invalid Price; ","")&amp;IF(M109&lt;0,"Invalid Cost; ","")&amp;IF(OR(N109&lt;0,N109&gt;0.5),"Invalid Discount; ","")&amp;IF(COUNTIF(Lookups!$K$2:$K$4,P109)=0,"Invalid Status; ","")</f>
        <v/>
      </c>
      <c r="X109" s="15" t="str">
        <f t="shared" si="16"/>
        <v>2025-08</v>
      </c>
      <c r="Y109" t="str">
        <f t="shared" si="17"/>
        <v>Q3</v>
      </c>
      <c r="Z109" t="str">
        <f>IF(R109&gt;=Settings!$B$9,"High Value Customer",IF(R109&gt;=Settings!$B$10,"Medium Value Customer","Standard Customer"))</f>
        <v>Standard Customer</v>
      </c>
      <c r="AA109" t="str">
        <f>IF(R109&gt;=Settings!$B$9,"Large Order",IF(R109&gt;=Settings!$B$10,"Medium Order","Small Order"))</f>
        <v>Small Order</v>
      </c>
      <c r="AB109" t="str">
        <f>IF(N109=0,"No Discount",IF(N109&lt;=0.1,"Low Discount",IF(N109&lt;=Settings!$B$8,"Medium Discount","High Discount")))</f>
        <v>Medium Discount</v>
      </c>
      <c r="AC109" t="str">
        <f t="shared" si="18"/>
        <v>Profitable</v>
      </c>
      <c r="AD109" t="str">
        <f>IFERROR(VLOOKUP(E109,Lookups!$A$2:$E$11,2,FALSE),"Product Not Found")</f>
        <v>Wireless Mouse</v>
      </c>
      <c r="AE109" t="str">
        <f>IFERROR(VLOOKUP(E109,Lookups!$A$2:$E$11,3,FALSE),"Category Not Found")</f>
        <v>Accessories</v>
      </c>
      <c r="AF109" t="str">
        <f>IFERROR(IF(L109=VLOOKUP(E109,Lookups!$A$2:$E$11,4,FALSE),"Price OK","Price Mismatch"),"Product Missing")</f>
        <v>Price OK</v>
      </c>
      <c r="AG109" t="str">
        <f t="shared" si="19"/>
        <v>Valid Email</v>
      </c>
      <c r="AH109" t="str">
        <f t="shared" si="20"/>
        <v>READY FOR REPORTING</v>
      </c>
      <c r="AI109" t="str">
        <f>IF(AND(LEFT(A109,LEN(Settings!$B$13))=Settings!$B$13,LEN(A109)=9),"Valid Format","Invalid Format")</f>
        <v>Valid Format</v>
      </c>
      <c r="AJ109" t="str">
        <f>IF(LEFT(C109,LEN(Settings!$B$14))=Settings!$B$14,"Valid Format","Invalid Format")</f>
        <v>Valid Format</v>
      </c>
      <c r="AK109" t="str">
        <f>IF(COUNTIF(Master_Data!$G$5:$G$14,C109)=1,"Known Customer","Customer Not in Master")</f>
        <v>Customer Not in Master</v>
      </c>
      <c r="AL109" t="str">
        <f>IF(U109&gt;=Settings!$B$11,"Target Met","Below Target")</f>
        <v>Target Met</v>
      </c>
      <c r="AM109" t="str">
        <f>IF(YEAR(B109)=Settings!$B$5,"Correct Year","Wrong Year")</f>
        <v>Correct Year</v>
      </c>
      <c r="AN109">
        <f t="shared" si="21"/>
        <v>4</v>
      </c>
    </row>
    <row r="110" spans="1:40">
      <c r="A110" t="str">
        <f>Raw_Data!A110</f>
        <v>ORD-10109</v>
      </c>
      <c r="B110" s="13">
        <f>Raw_Data!B110</f>
        <v>45824</v>
      </c>
      <c r="C110" t="str">
        <f>Raw_Data!C110</f>
        <v>C1048</v>
      </c>
      <c r="D110" t="str">
        <f>Raw_Data!D110</f>
        <v>client111@example.com</v>
      </c>
      <c r="E110" t="str">
        <f>Raw_Data!E110</f>
        <v>P1001</v>
      </c>
      <c r="F110" t="str">
        <f>Raw_Data!F110</f>
        <v>Laptop Stand</v>
      </c>
      <c r="G110" t="str">
        <f>Raw_Data!G110</f>
        <v>Accessories</v>
      </c>
      <c r="H110" t="str">
        <f>Raw_Data!H110</f>
        <v>North</v>
      </c>
      <c r="I110" t="str">
        <f>Raw_Data!I110</f>
        <v>Online</v>
      </c>
      <c r="J110" t="str">
        <f>Raw_Data!J110</f>
        <v>Ioana Pavel</v>
      </c>
      <c r="K110">
        <f>Raw_Data!K110</f>
        <v>1</v>
      </c>
      <c r="L110" s="12">
        <f>Raw_Data!L110</f>
        <v>95</v>
      </c>
      <c r="M110" s="12">
        <f>Raw_Data!M110</f>
        <v>52</v>
      </c>
      <c r="N110" s="14">
        <f>Raw_Data!N110</f>
        <v>0.05</v>
      </c>
      <c r="O110" t="str">
        <f>Raw_Data!O110</f>
        <v>Online Wallet</v>
      </c>
      <c r="P110" t="str">
        <f>Raw_Data!P110</f>
        <v>Completed</v>
      </c>
      <c r="Q110" s="12">
        <f t="shared" si="11"/>
        <v>95</v>
      </c>
      <c r="R110" s="12">
        <f t="shared" si="12"/>
        <v>90.25</v>
      </c>
      <c r="S110" s="12">
        <f t="shared" si="13"/>
        <v>52</v>
      </c>
      <c r="T110" s="12">
        <f t="shared" si="14"/>
        <v>38.25</v>
      </c>
      <c r="U110" s="11">
        <f t="shared" si="15"/>
        <v>0.42382271468144045</v>
      </c>
      <c r="V110" t="str">
        <f>IF(OR(A110="",COUNTIF($A$2:$A$301,A110)&gt;1,C110="",D110="",ISERROR(SEARCH("@",D110)),ISERROR(SEARCH(".",D110)),COUNTIF(Lookups!$A$2:$A$11,E110)=0,F110="",H110="",K110&lt;=0,L110&lt;0,M110&lt;0,N110&lt;0,N110&gt;0.5,COUNTIF(Lookups!$K$2:$K$4,P110)=0),"ERROR","VALID")</f>
        <v>VALID</v>
      </c>
      <c r="W110" s="2" t="str">
        <f>IF(A110="","Missing Order ID; ","")&amp;IF(COUNTIF($A$2:$A$301,A110)&gt;1,"Duplicate Order ID; ","")&amp;IF(C110="","Missing Customer ID; ","")&amp;IF(OR(D110="",ISERROR(SEARCH("@",D110)),ISERROR(SEARCH(".",D110))),"Invalid Email; ","")&amp;IF(COUNTIF(Lookups!$A$2:$A$11,E110)=0,"Unknown Product; ","")&amp;IF(F110="","Missing Product Name; ","")&amp;IF(H110="","Missing Region; ","")&amp;IF(K110&lt;=0,"Invalid Quantity; ","")&amp;IF(L110&lt;0,"Invalid Price; ","")&amp;IF(M110&lt;0,"Invalid Cost; ","")&amp;IF(OR(N110&lt;0,N110&gt;0.5),"Invalid Discount; ","")&amp;IF(COUNTIF(Lookups!$K$2:$K$4,P110)=0,"Invalid Status; ","")</f>
        <v/>
      </c>
      <c r="X110" s="15" t="str">
        <f t="shared" si="16"/>
        <v>2025-06</v>
      </c>
      <c r="Y110" t="str">
        <f t="shared" si="17"/>
        <v>Q2</v>
      </c>
      <c r="Z110" t="str">
        <f>IF(R110&gt;=Settings!$B$9,"High Value Customer",IF(R110&gt;=Settings!$B$10,"Medium Value Customer","Standard Customer"))</f>
        <v>Standard Customer</v>
      </c>
      <c r="AA110" t="str">
        <f>IF(R110&gt;=Settings!$B$9,"Large Order",IF(R110&gt;=Settings!$B$10,"Medium Order","Small Order"))</f>
        <v>Small Order</v>
      </c>
      <c r="AB110" t="str">
        <f>IF(N110=0,"No Discount",IF(N110&lt;=0.1,"Low Discount",IF(N110&lt;=Settings!$B$8,"Medium Discount","High Discount")))</f>
        <v>Low Discount</v>
      </c>
      <c r="AC110" t="str">
        <f t="shared" si="18"/>
        <v>Profitable</v>
      </c>
      <c r="AD110" t="str">
        <f>IFERROR(VLOOKUP(E110,Lookups!$A$2:$E$11,2,FALSE),"Product Not Found")</f>
        <v>Laptop Stand</v>
      </c>
      <c r="AE110" t="str">
        <f>IFERROR(VLOOKUP(E110,Lookups!$A$2:$E$11,3,FALSE),"Category Not Found")</f>
        <v>Accessories</v>
      </c>
      <c r="AF110" t="str">
        <f>IFERROR(IF(L110=VLOOKUP(E110,Lookups!$A$2:$E$11,4,FALSE),"Price OK","Price Mismatch"),"Product Missing")</f>
        <v>Price OK</v>
      </c>
      <c r="AG110" t="str">
        <f t="shared" si="19"/>
        <v>Valid Email</v>
      </c>
      <c r="AH110" t="str">
        <f t="shared" si="20"/>
        <v>READY FOR REPORTING</v>
      </c>
      <c r="AI110" t="str">
        <f>IF(AND(LEFT(A110,LEN(Settings!$B$13))=Settings!$B$13,LEN(A110)=9),"Valid Format","Invalid Format")</f>
        <v>Valid Format</v>
      </c>
      <c r="AJ110" t="str">
        <f>IF(LEFT(C110,LEN(Settings!$B$14))=Settings!$B$14,"Valid Format","Invalid Format")</f>
        <v>Valid Format</v>
      </c>
      <c r="AK110" t="str">
        <f>IF(COUNTIF(Master_Data!$G$5:$G$14,C110)=1,"Known Customer","Customer Not in Master")</f>
        <v>Customer Not in Master</v>
      </c>
      <c r="AL110" t="str">
        <f>IF(U110&gt;=Settings!$B$11,"Target Met","Below Target")</f>
        <v>Target Met</v>
      </c>
      <c r="AM110" t="str">
        <f>IF(YEAR(B110)=Settings!$B$5,"Correct Year","Wrong Year")</f>
        <v>Correct Year</v>
      </c>
      <c r="AN110">
        <f t="shared" si="21"/>
        <v>4</v>
      </c>
    </row>
    <row r="111" spans="1:40">
      <c r="A111" t="str">
        <f>Raw_Data!A111</f>
        <v>ORD-10110</v>
      </c>
      <c r="B111" s="13">
        <f>Raw_Data!B111</f>
        <v>46007</v>
      </c>
      <c r="C111" t="str">
        <f>Raw_Data!C111</f>
        <v>C1011</v>
      </c>
      <c r="D111" t="str">
        <f>Raw_Data!D111</f>
        <v>client157@example.com</v>
      </c>
      <c r="E111" t="str">
        <f>Raw_Data!E111</f>
        <v>P1010</v>
      </c>
      <c r="F111" t="str">
        <f>Raw_Data!F111</f>
        <v>Headset</v>
      </c>
      <c r="G111" t="str">
        <f>Raw_Data!G111</f>
        <v>Electronics</v>
      </c>
      <c r="H111" t="str">
        <f>Raw_Data!H111</f>
        <v>East</v>
      </c>
      <c r="I111" t="str">
        <f>Raw_Data!I111</f>
        <v>Marketplace</v>
      </c>
      <c r="J111" t="str">
        <f>Raw_Data!J111</f>
        <v>Maria Ionescu</v>
      </c>
      <c r="K111">
        <f>Raw_Data!K111</f>
        <v>3</v>
      </c>
      <c r="L111" s="12">
        <f>Raw_Data!L111</f>
        <v>195</v>
      </c>
      <c r="M111" s="12">
        <f>Raw_Data!M111</f>
        <v>105</v>
      </c>
      <c r="N111" s="14">
        <f>Raw_Data!N111</f>
        <v>0</v>
      </c>
      <c r="O111" t="str">
        <f>Raw_Data!O111</f>
        <v>Online Wallet</v>
      </c>
      <c r="P111" t="str">
        <f>Raw_Data!P111</f>
        <v>Completed</v>
      </c>
      <c r="Q111" s="12">
        <f t="shared" si="11"/>
        <v>585</v>
      </c>
      <c r="R111" s="12">
        <f t="shared" si="12"/>
        <v>585</v>
      </c>
      <c r="S111" s="12">
        <f t="shared" si="13"/>
        <v>315</v>
      </c>
      <c r="T111" s="12">
        <f t="shared" si="14"/>
        <v>270</v>
      </c>
      <c r="U111" s="11">
        <f t="shared" si="15"/>
        <v>0.46153846153846156</v>
      </c>
      <c r="V111" t="str">
        <f>IF(OR(A111="",COUNTIF($A$2:$A$301,A111)&gt;1,C111="",D111="",ISERROR(SEARCH("@",D111)),ISERROR(SEARCH(".",D111)),COUNTIF(Lookups!$A$2:$A$11,E111)=0,F111="",H111="",K111&lt;=0,L111&lt;0,M111&lt;0,N111&lt;0,N111&gt;0.5,COUNTIF(Lookups!$K$2:$K$4,P111)=0),"ERROR","VALID")</f>
        <v>VALID</v>
      </c>
      <c r="W111" s="2" t="str">
        <f>IF(A111="","Missing Order ID; ","")&amp;IF(COUNTIF($A$2:$A$301,A111)&gt;1,"Duplicate Order ID; ","")&amp;IF(C111="","Missing Customer ID; ","")&amp;IF(OR(D111="",ISERROR(SEARCH("@",D111)),ISERROR(SEARCH(".",D111))),"Invalid Email; ","")&amp;IF(COUNTIF(Lookups!$A$2:$A$11,E111)=0,"Unknown Product; ","")&amp;IF(F111="","Missing Product Name; ","")&amp;IF(H111="","Missing Region; ","")&amp;IF(K111&lt;=0,"Invalid Quantity; ","")&amp;IF(L111&lt;0,"Invalid Price; ","")&amp;IF(M111&lt;0,"Invalid Cost; ","")&amp;IF(OR(N111&lt;0,N111&gt;0.5),"Invalid Discount; ","")&amp;IF(COUNTIF(Lookups!$K$2:$K$4,P111)=0,"Invalid Status; ","")</f>
        <v/>
      </c>
      <c r="X111" s="15" t="str">
        <f t="shared" si="16"/>
        <v>2025-12</v>
      </c>
      <c r="Y111" t="str">
        <f t="shared" si="17"/>
        <v>Q4</v>
      </c>
      <c r="Z111" t="str">
        <f>IF(R111&gt;=Settings!$B$9,"High Value Customer",IF(R111&gt;=Settings!$B$10,"Medium Value Customer","Standard Customer"))</f>
        <v>Standard Customer</v>
      </c>
      <c r="AA111" t="str">
        <f>IF(R111&gt;=Settings!$B$9,"Large Order",IF(R111&gt;=Settings!$B$10,"Medium Order","Small Order"))</f>
        <v>Small Order</v>
      </c>
      <c r="AB111" t="str">
        <f>IF(N111=0,"No Discount",IF(N111&lt;=0.1,"Low Discount",IF(N111&lt;=Settings!$B$8,"Medium Discount","High Discount")))</f>
        <v>No Discount</v>
      </c>
      <c r="AC111" t="str">
        <f t="shared" si="18"/>
        <v>Profitable</v>
      </c>
      <c r="AD111" t="str">
        <f>IFERROR(VLOOKUP(E111,Lookups!$A$2:$E$11,2,FALSE),"Product Not Found")</f>
        <v>Headset</v>
      </c>
      <c r="AE111" t="str">
        <f>IFERROR(VLOOKUP(E111,Lookups!$A$2:$E$11,3,FALSE),"Category Not Found")</f>
        <v>Electronics</v>
      </c>
      <c r="AF111" t="str">
        <f>IFERROR(IF(L111=VLOOKUP(E111,Lookups!$A$2:$E$11,4,FALSE),"Price OK","Price Mismatch"),"Product Missing")</f>
        <v>Price OK</v>
      </c>
      <c r="AG111" t="str">
        <f t="shared" si="19"/>
        <v>Valid Email</v>
      </c>
      <c r="AH111" t="str">
        <f t="shared" si="20"/>
        <v>READY FOR REPORTING</v>
      </c>
      <c r="AI111" t="str">
        <f>IF(AND(LEFT(A111,LEN(Settings!$B$13))=Settings!$B$13,LEN(A111)=9),"Valid Format","Invalid Format")</f>
        <v>Valid Format</v>
      </c>
      <c r="AJ111" t="str">
        <f>IF(LEFT(C111,LEN(Settings!$B$14))=Settings!$B$14,"Valid Format","Invalid Format")</f>
        <v>Valid Format</v>
      </c>
      <c r="AK111" t="str">
        <f>IF(COUNTIF(Master_Data!$G$5:$G$14,C111)=1,"Known Customer","Customer Not in Master")</f>
        <v>Customer Not in Master</v>
      </c>
      <c r="AL111" t="str">
        <f>IF(U111&gt;=Settings!$B$11,"Target Met","Below Target")</f>
        <v>Target Met</v>
      </c>
      <c r="AM111" t="str">
        <f>IF(YEAR(B111)=Settings!$B$5,"Correct Year","Wrong Year")</f>
        <v>Correct Year</v>
      </c>
      <c r="AN111">
        <f t="shared" si="21"/>
        <v>4</v>
      </c>
    </row>
    <row r="112" spans="1:40">
      <c r="A112" t="str">
        <f>Raw_Data!A112</f>
        <v>ORD-10111</v>
      </c>
      <c r="B112" s="13">
        <f>Raw_Data!B112</f>
        <v>45731</v>
      </c>
      <c r="C112" t="str">
        <f>Raw_Data!C112</f>
        <v>C1033</v>
      </c>
      <c r="D112" t="str">
        <f>Raw_Data!D112</f>
        <v>client118@example.com</v>
      </c>
      <c r="E112" t="str">
        <f>Raw_Data!E112</f>
        <v>P1010</v>
      </c>
      <c r="F112" t="str">
        <f>Raw_Data!F112</f>
        <v>Headset</v>
      </c>
      <c r="G112" t="str">
        <f>Raw_Data!G112</f>
        <v>Electronics</v>
      </c>
      <c r="H112" t="str">
        <f>Raw_Data!H112</f>
        <v>South</v>
      </c>
      <c r="I112" t="str">
        <f>Raw_Data!I112</f>
        <v>Marketplace</v>
      </c>
      <c r="J112" t="str">
        <f>Raw_Data!J112</f>
        <v>Andrei Pop</v>
      </c>
      <c r="K112">
        <f>Raw_Data!K112</f>
        <v>4</v>
      </c>
      <c r="L112" s="12">
        <f>Raw_Data!L112</f>
        <v>195</v>
      </c>
      <c r="M112" s="12">
        <f>Raw_Data!M112</f>
        <v>105</v>
      </c>
      <c r="N112" s="14">
        <f>Raw_Data!N112</f>
        <v>0.1</v>
      </c>
      <c r="O112" t="str">
        <f>Raw_Data!O112</f>
        <v>Online Wallet</v>
      </c>
      <c r="P112" t="str">
        <f>Raw_Data!P112</f>
        <v>Cancelled</v>
      </c>
      <c r="Q112" s="12">
        <f t="shared" si="11"/>
        <v>780</v>
      </c>
      <c r="R112" s="12">
        <f t="shared" si="12"/>
        <v>702</v>
      </c>
      <c r="S112" s="12">
        <f t="shared" si="13"/>
        <v>420</v>
      </c>
      <c r="T112" s="12">
        <f t="shared" si="14"/>
        <v>282</v>
      </c>
      <c r="U112" s="11">
        <f t="shared" si="15"/>
        <v>0.40170940170940173</v>
      </c>
      <c r="V112" t="str">
        <f>IF(OR(A112="",COUNTIF($A$2:$A$301,A112)&gt;1,C112="",D112="",ISERROR(SEARCH("@",D112)),ISERROR(SEARCH(".",D112)),COUNTIF(Lookups!$A$2:$A$11,E112)=0,F112="",H112="",K112&lt;=0,L112&lt;0,M112&lt;0,N112&lt;0,N112&gt;0.5,COUNTIF(Lookups!$K$2:$K$4,P112)=0),"ERROR","VALID")</f>
        <v>VALID</v>
      </c>
      <c r="W112" s="2" t="str">
        <f>IF(A112="","Missing Order ID; ","")&amp;IF(COUNTIF($A$2:$A$301,A112)&gt;1,"Duplicate Order ID; ","")&amp;IF(C112="","Missing Customer ID; ","")&amp;IF(OR(D112="",ISERROR(SEARCH("@",D112)),ISERROR(SEARCH(".",D112))),"Invalid Email; ","")&amp;IF(COUNTIF(Lookups!$A$2:$A$11,E112)=0,"Unknown Product; ","")&amp;IF(F112="","Missing Product Name; ","")&amp;IF(H112="","Missing Region; ","")&amp;IF(K112&lt;=0,"Invalid Quantity; ","")&amp;IF(L112&lt;0,"Invalid Price; ","")&amp;IF(M112&lt;0,"Invalid Cost; ","")&amp;IF(OR(N112&lt;0,N112&gt;0.5),"Invalid Discount; ","")&amp;IF(COUNTIF(Lookups!$K$2:$K$4,P112)=0,"Invalid Status; ","")</f>
        <v/>
      </c>
      <c r="X112" s="15" t="str">
        <f t="shared" si="16"/>
        <v>2025-03</v>
      </c>
      <c r="Y112" t="str">
        <f t="shared" si="17"/>
        <v>Q1</v>
      </c>
      <c r="Z112" t="str">
        <f>IF(R112&gt;=Settings!$B$9,"High Value Customer",IF(R112&gt;=Settings!$B$10,"Medium Value Customer","Standard Customer"))</f>
        <v>Standard Customer</v>
      </c>
      <c r="AA112" t="str">
        <f>IF(R112&gt;=Settings!$B$9,"Large Order",IF(R112&gt;=Settings!$B$10,"Medium Order","Small Order"))</f>
        <v>Small Order</v>
      </c>
      <c r="AB112" t="str">
        <f>IF(N112=0,"No Discount",IF(N112&lt;=0.1,"Low Discount",IF(N112&lt;=Settings!$B$8,"Medium Discount","High Discount")))</f>
        <v>Low Discount</v>
      </c>
      <c r="AC112" t="str">
        <f t="shared" si="18"/>
        <v>Profitable</v>
      </c>
      <c r="AD112" t="str">
        <f>IFERROR(VLOOKUP(E112,Lookups!$A$2:$E$11,2,FALSE),"Product Not Found")</f>
        <v>Headset</v>
      </c>
      <c r="AE112" t="str">
        <f>IFERROR(VLOOKUP(E112,Lookups!$A$2:$E$11,3,FALSE),"Category Not Found")</f>
        <v>Electronics</v>
      </c>
      <c r="AF112" t="str">
        <f>IFERROR(IF(L112=VLOOKUP(E112,Lookups!$A$2:$E$11,4,FALSE),"Price OK","Price Mismatch"),"Product Missing")</f>
        <v>Price OK</v>
      </c>
      <c r="AG112" t="str">
        <f t="shared" si="19"/>
        <v>Valid Email</v>
      </c>
      <c r="AH112" t="str">
        <f t="shared" si="20"/>
        <v>READY FOR REPORTING</v>
      </c>
      <c r="AI112" t="str">
        <f>IF(AND(LEFT(A112,LEN(Settings!$B$13))=Settings!$B$13,LEN(A112)=9),"Valid Format","Invalid Format")</f>
        <v>Valid Format</v>
      </c>
      <c r="AJ112" t="str">
        <f>IF(LEFT(C112,LEN(Settings!$B$14))=Settings!$B$14,"Valid Format","Invalid Format")</f>
        <v>Valid Format</v>
      </c>
      <c r="AK112" t="str">
        <f>IF(COUNTIF(Master_Data!$G$5:$G$14,C112)=1,"Known Customer","Customer Not in Master")</f>
        <v>Customer Not in Master</v>
      </c>
      <c r="AL112" t="str">
        <f>IF(U112&gt;=Settings!$B$11,"Target Met","Below Target")</f>
        <v>Target Met</v>
      </c>
      <c r="AM112" t="str">
        <f>IF(YEAR(B112)=Settings!$B$5,"Correct Year","Wrong Year")</f>
        <v>Correct Year</v>
      </c>
      <c r="AN112">
        <f t="shared" si="21"/>
        <v>4</v>
      </c>
    </row>
    <row r="113" spans="1:40">
      <c r="A113" t="str">
        <f>Raw_Data!A113</f>
        <v>ORD-10112</v>
      </c>
      <c r="B113" s="13">
        <f>Raw_Data!B113</f>
        <v>46004</v>
      </c>
      <c r="C113" t="str">
        <f>Raw_Data!C113</f>
        <v>C1057</v>
      </c>
      <c r="D113" t="str">
        <f>Raw_Data!D113</f>
        <v>client89@example.com</v>
      </c>
      <c r="E113" t="str">
        <f>Raw_Data!E113</f>
        <v>P1005</v>
      </c>
      <c r="F113" t="str">
        <f>Raw_Data!F113</f>
        <v>24-inch Monitor</v>
      </c>
      <c r="G113" t="str">
        <f>Raw_Data!G113</f>
        <v>Electronics</v>
      </c>
      <c r="H113" t="str">
        <f>Raw_Data!H113</f>
        <v>West</v>
      </c>
      <c r="I113" t="str">
        <f>Raw_Data!I113</f>
        <v>Store</v>
      </c>
      <c r="J113" t="str">
        <f>Raw_Data!J113</f>
        <v>Mihai Radu</v>
      </c>
      <c r="K113">
        <f>Raw_Data!K113</f>
        <v>9</v>
      </c>
      <c r="L113" s="12">
        <f>Raw_Data!L113</f>
        <v>720</v>
      </c>
      <c r="M113" s="12">
        <f>Raw_Data!M113</f>
        <v>510</v>
      </c>
      <c r="N113" s="14">
        <f>Raw_Data!N113</f>
        <v>0</v>
      </c>
      <c r="O113" t="str">
        <f>Raw_Data!O113</f>
        <v>Cash</v>
      </c>
      <c r="P113" t="str">
        <f>Raw_Data!P113</f>
        <v>Completed</v>
      </c>
      <c r="Q113" s="12">
        <f t="shared" si="11"/>
        <v>6480</v>
      </c>
      <c r="R113" s="12">
        <f t="shared" si="12"/>
        <v>6480</v>
      </c>
      <c r="S113" s="12">
        <f t="shared" si="13"/>
        <v>4590</v>
      </c>
      <c r="T113" s="12">
        <f t="shared" si="14"/>
        <v>1890</v>
      </c>
      <c r="U113" s="11">
        <f t="shared" si="15"/>
        <v>0.29166666666666669</v>
      </c>
      <c r="V113" t="str">
        <f>IF(OR(A113="",COUNTIF($A$2:$A$301,A113)&gt;1,C113="",D113="",ISERROR(SEARCH("@",D113)),ISERROR(SEARCH(".",D113)),COUNTIF(Lookups!$A$2:$A$11,E113)=0,F113="",H113="",K113&lt;=0,L113&lt;0,M113&lt;0,N113&lt;0,N113&gt;0.5,COUNTIF(Lookups!$K$2:$K$4,P113)=0),"ERROR","VALID")</f>
        <v>VALID</v>
      </c>
      <c r="W113" s="2" t="str">
        <f>IF(A113="","Missing Order ID; ","")&amp;IF(COUNTIF($A$2:$A$301,A113)&gt;1,"Duplicate Order ID; ","")&amp;IF(C113="","Missing Customer ID; ","")&amp;IF(OR(D113="",ISERROR(SEARCH("@",D113)),ISERROR(SEARCH(".",D113))),"Invalid Email; ","")&amp;IF(COUNTIF(Lookups!$A$2:$A$11,E113)=0,"Unknown Product; ","")&amp;IF(F113="","Missing Product Name; ","")&amp;IF(H113="","Missing Region; ","")&amp;IF(K113&lt;=0,"Invalid Quantity; ","")&amp;IF(L113&lt;0,"Invalid Price; ","")&amp;IF(M113&lt;0,"Invalid Cost; ","")&amp;IF(OR(N113&lt;0,N113&gt;0.5),"Invalid Discount; ","")&amp;IF(COUNTIF(Lookups!$K$2:$K$4,P113)=0,"Invalid Status; ","")</f>
        <v/>
      </c>
      <c r="X113" s="15" t="str">
        <f t="shared" si="16"/>
        <v>2025-12</v>
      </c>
      <c r="Y113" t="str">
        <f t="shared" si="17"/>
        <v>Q4</v>
      </c>
      <c r="Z113" t="str">
        <f>IF(R113&gt;=Settings!$B$9,"High Value Customer",IF(R113&gt;=Settings!$B$10,"Medium Value Customer","Standard Customer"))</f>
        <v>High Value Customer</v>
      </c>
      <c r="AA113" t="str">
        <f>IF(R113&gt;=Settings!$B$9,"Large Order",IF(R113&gt;=Settings!$B$10,"Medium Order","Small Order"))</f>
        <v>Large Order</v>
      </c>
      <c r="AB113" t="str">
        <f>IF(N113=0,"No Discount",IF(N113&lt;=0.1,"Low Discount",IF(N113&lt;=Settings!$B$8,"Medium Discount","High Discount")))</f>
        <v>No Discount</v>
      </c>
      <c r="AC113" t="str">
        <f t="shared" si="18"/>
        <v>Profitable</v>
      </c>
      <c r="AD113" t="str">
        <f>IFERROR(VLOOKUP(E113,Lookups!$A$2:$E$11,2,FALSE),"Product Not Found")</f>
        <v>24-inch Monitor</v>
      </c>
      <c r="AE113" t="str">
        <f>IFERROR(VLOOKUP(E113,Lookups!$A$2:$E$11,3,FALSE),"Category Not Found")</f>
        <v>Electronics</v>
      </c>
      <c r="AF113" t="str">
        <f>IFERROR(IF(L113=VLOOKUP(E113,Lookups!$A$2:$E$11,4,FALSE),"Price OK","Price Mismatch"),"Product Missing")</f>
        <v>Price OK</v>
      </c>
      <c r="AG113" t="str">
        <f t="shared" si="19"/>
        <v>Valid Email</v>
      </c>
      <c r="AH113" t="str">
        <f t="shared" si="20"/>
        <v>READY FOR REPORTING</v>
      </c>
      <c r="AI113" t="str">
        <f>IF(AND(LEFT(A113,LEN(Settings!$B$13))=Settings!$B$13,LEN(A113)=9),"Valid Format","Invalid Format")</f>
        <v>Valid Format</v>
      </c>
      <c r="AJ113" t="str">
        <f>IF(LEFT(C113,LEN(Settings!$B$14))=Settings!$B$14,"Valid Format","Invalid Format")</f>
        <v>Valid Format</v>
      </c>
      <c r="AK113" t="str">
        <f>IF(COUNTIF(Master_Data!$G$5:$G$14,C113)=1,"Known Customer","Customer Not in Master")</f>
        <v>Customer Not in Master</v>
      </c>
      <c r="AL113" t="str">
        <f>IF(U113&gt;=Settings!$B$11,"Target Met","Below Target")</f>
        <v>Target Met</v>
      </c>
      <c r="AM113" t="str">
        <f>IF(YEAR(B113)=Settings!$B$5,"Correct Year","Wrong Year")</f>
        <v>Correct Year</v>
      </c>
      <c r="AN113">
        <f t="shared" si="21"/>
        <v>4</v>
      </c>
    </row>
    <row r="114" spans="1:40">
      <c r="A114" t="str">
        <f>Raw_Data!A114</f>
        <v>ORD-10113</v>
      </c>
      <c r="B114" s="13">
        <f>Raw_Data!B114</f>
        <v>45812</v>
      </c>
      <c r="C114" t="str">
        <f>Raw_Data!C114</f>
        <v>C1014</v>
      </c>
      <c r="D114" t="str">
        <f>Raw_Data!D114</f>
        <v>client61@example.com</v>
      </c>
      <c r="E114" t="str">
        <f>Raw_Data!E114</f>
        <v>P1008</v>
      </c>
      <c r="F114" t="str">
        <f>Raw_Data!F114</f>
        <v>Standing Desk</v>
      </c>
      <c r="G114" t="str">
        <f>Raw_Data!G114</f>
        <v>Furniture</v>
      </c>
      <c r="H114" t="str">
        <f>Raw_Data!H114</f>
        <v>East</v>
      </c>
      <c r="I114" t="str">
        <f>Raw_Data!I114</f>
        <v>Marketplace</v>
      </c>
      <c r="J114" t="str">
        <f>Raw_Data!J114</f>
        <v>Elena Stan</v>
      </c>
      <c r="K114">
        <f>Raw_Data!K114</f>
        <v>4</v>
      </c>
      <c r="L114" s="12">
        <f>Raw_Data!L114</f>
        <v>1450</v>
      </c>
      <c r="M114" s="12">
        <f>Raw_Data!M114</f>
        <v>1030</v>
      </c>
      <c r="N114" s="14">
        <f>Raw_Data!N114</f>
        <v>0.1</v>
      </c>
      <c r="O114" t="str">
        <f>Raw_Data!O114</f>
        <v>Cash</v>
      </c>
      <c r="P114" t="str">
        <f>Raw_Data!P114</f>
        <v>Completed</v>
      </c>
      <c r="Q114" s="12">
        <f t="shared" si="11"/>
        <v>5800</v>
      </c>
      <c r="R114" s="12">
        <f t="shared" si="12"/>
        <v>5220</v>
      </c>
      <c r="S114" s="12">
        <f t="shared" si="13"/>
        <v>4120</v>
      </c>
      <c r="T114" s="12">
        <f t="shared" si="14"/>
        <v>1100</v>
      </c>
      <c r="U114" s="11">
        <f t="shared" si="15"/>
        <v>0.21072796934865901</v>
      </c>
      <c r="V114" t="str">
        <f>IF(OR(A114="",COUNTIF($A$2:$A$301,A114)&gt;1,C114="",D114="",ISERROR(SEARCH("@",D114)),ISERROR(SEARCH(".",D114)),COUNTIF(Lookups!$A$2:$A$11,E114)=0,F114="",H114="",K114&lt;=0,L114&lt;0,M114&lt;0,N114&lt;0,N114&gt;0.5,COUNTIF(Lookups!$K$2:$K$4,P114)=0),"ERROR","VALID")</f>
        <v>VALID</v>
      </c>
      <c r="W114" s="2" t="str">
        <f>IF(A114="","Missing Order ID; ","")&amp;IF(COUNTIF($A$2:$A$301,A114)&gt;1,"Duplicate Order ID; ","")&amp;IF(C114="","Missing Customer ID; ","")&amp;IF(OR(D114="",ISERROR(SEARCH("@",D114)),ISERROR(SEARCH(".",D114))),"Invalid Email; ","")&amp;IF(COUNTIF(Lookups!$A$2:$A$11,E114)=0,"Unknown Product; ","")&amp;IF(F114="","Missing Product Name; ","")&amp;IF(H114="","Missing Region; ","")&amp;IF(K114&lt;=0,"Invalid Quantity; ","")&amp;IF(L114&lt;0,"Invalid Price; ","")&amp;IF(M114&lt;0,"Invalid Cost; ","")&amp;IF(OR(N114&lt;0,N114&gt;0.5),"Invalid Discount; ","")&amp;IF(COUNTIF(Lookups!$K$2:$K$4,P114)=0,"Invalid Status; ","")</f>
        <v/>
      </c>
      <c r="X114" s="15" t="str">
        <f t="shared" si="16"/>
        <v>2025-06</v>
      </c>
      <c r="Y114" t="str">
        <f t="shared" si="17"/>
        <v>Q2</v>
      </c>
      <c r="Z114" t="str">
        <f>IF(R114&gt;=Settings!$B$9,"High Value Customer",IF(R114&gt;=Settings!$B$10,"Medium Value Customer","Standard Customer"))</f>
        <v>High Value Customer</v>
      </c>
      <c r="AA114" t="str">
        <f>IF(R114&gt;=Settings!$B$9,"Large Order",IF(R114&gt;=Settings!$B$10,"Medium Order","Small Order"))</f>
        <v>Large Order</v>
      </c>
      <c r="AB114" t="str">
        <f>IF(N114=0,"No Discount",IF(N114&lt;=0.1,"Low Discount",IF(N114&lt;=Settings!$B$8,"Medium Discount","High Discount")))</f>
        <v>Low Discount</v>
      </c>
      <c r="AC114" t="str">
        <f t="shared" si="18"/>
        <v>Profitable</v>
      </c>
      <c r="AD114" t="str">
        <f>IFERROR(VLOOKUP(E114,Lookups!$A$2:$E$11,2,FALSE),"Product Not Found")</f>
        <v>Standing Desk</v>
      </c>
      <c r="AE114" t="str">
        <f>IFERROR(VLOOKUP(E114,Lookups!$A$2:$E$11,3,FALSE),"Category Not Found")</f>
        <v>Furniture</v>
      </c>
      <c r="AF114" t="str">
        <f>IFERROR(IF(L114=VLOOKUP(E114,Lookups!$A$2:$E$11,4,FALSE),"Price OK","Price Mismatch"),"Product Missing")</f>
        <v>Price OK</v>
      </c>
      <c r="AG114" t="str">
        <f t="shared" si="19"/>
        <v>Valid Email</v>
      </c>
      <c r="AH114" t="str">
        <f t="shared" si="20"/>
        <v>READY FOR REPORTING</v>
      </c>
      <c r="AI114" t="str">
        <f>IF(AND(LEFT(A114,LEN(Settings!$B$13))=Settings!$B$13,LEN(A114)=9),"Valid Format","Invalid Format")</f>
        <v>Valid Format</v>
      </c>
      <c r="AJ114" t="str">
        <f>IF(LEFT(C114,LEN(Settings!$B$14))=Settings!$B$14,"Valid Format","Invalid Format")</f>
        <v>Valid Format</v>
      </c>
      <c r="AK114" t="str">
        <f>IF(COUNTIF(Master_Data!$G$5:$G$14,C114)=1,"Known Customer","Customer Not in Master")</f>
        <v>Customer Not in Master</v>
      </c>
      <c r="AL114" t="str">
        <f>IF(U114&gt;=Settings!$B$11,"Target Met","Below Target")</f>
        <v>Below Target</v>
      </c>
      <c r="AM114" t="str">
        <f>IF(YEAR(B114)=Settings!$B$5,"Correct Year","Wrong Year")</f>
        <v>Correct Year</v>
      </c>
      <c r="AN114">
        <f t="shared" si="21"/>
        <v>3</v>
      </c>
    </row>
    <row r="115" spans="1:40">
      <c r="A115" t="str">
        <f>Raw_Data!A115</f>
        <v>ORD-10114</v>
      </c>
      <c r="B115" s="13">
        <f>Raw_Data!B115</f>
        <v>45669</v>
      </c>
      <c r="C115" t="str">
        <f>Raw_Data!C115</f>
        <v>C1002</v>
      </c>
      <c r="D115" t="str">
        <f>Raw_Data!D115</f>
        <v>client145@example.com</v>
      </c>
      <c r="E115" t="str">
        <f>Raw_Data!E115</f>
        <v>P1005</v>
      </c>
      <c r="F115" t="str">
        <f>Raw_Data!F115</f>
        <v>24-inch Monitor</v>
      </c>
      <c r="G115" t="str">
        <f>Raw_Data!G115</f>
        <v>Electronics</v>
      </c>
      <c r="H115" t="str">
        <f>Raw_Data!H115</f>
        <v>Bucharest</v>
      </c>
      <c r="I115" t="str">
        <f>Raw_Data!I115</f>
        <v>Marketplace</v>
      </c>
      <c r="J115" t="str">
        <f>Raw_Data!J115</f>
        <v>Mihai Radu</v>
      </c>
      <c r="K115">
        <f>Raw_Data!K115</f>
        <v>11</v>
      </c>
      <c r="L115" s="12">
        <f>Raw_Data!L115</f>
        <v>720</v>
      </c>
      <c r="M115" s="12">
        <f>Raw_Data!M115</f>
        <v>510</v>
      </c>
      <c r="N115" s="14">
        <f>Raw_Data!N115</f>
        <v>0.1</v>
      </c>
      <c r="O115" t="str">
        <f>Raw_Data!O115</f>
        <v>Cash</v>
      </c>
      <c r="P115" t="str">
        <f>Raw_Data!P115</f>
        <v>Completed</v>
      </c>
      <c r="Q115" s="12">
        <f t="shared" si="11"/>
        <v>7920</v>
      </c>
      <c r="R115" s="12">
        <f t="shared" si="12"/>
        <v>7128</v>
      </c>
      <c r="S115" s="12">
        <f t="shared" si="13"/>
        <v>5610</v>
      </c>
      <c r="T115" s="12">
        <f t="shared" si="14"/>
        <v>1518</v>
      </c>
      <c r="U115" s="11">
        <f t="shared" si="15"/>
        <v>0.21296296296296297</v>
      </c>
      <c r="V115" t="str">
        <f>IF(OR(A115="",COUNTIF($A$2:$A$301,A115)&gt;1,C115="",D115="",ISERROR(SEARCH("@",D115)),ISERROR(SEARCH(".",D115)),COUNTIF(Lookups!$A$2:$A$11,E115)=0,F115="",H115="",K115&lt;=0,L115&lt;0,M115&lt;0,N115&lt;0,N115&gt;0.5,COUNTIF(Lookups!$K$2:$K$4,P115)=0),"ERROR","VALID")</f>
        <v>VALID</v>
      </c>
      <c r="W115" s="2" t="str">
        <f>IF(A115="","Missing Order ID; ","")&amp;IF(COUNTIF($A$2:$A$301,A115)&gt;1,"Duplicate Order ID; ","")&amp;IF(C115="","Missing Customer ID; ","")&amp;IF(OR(D115="",ISERROR(SEARCH("@",D115)),ISERROR(SEARCH(".",D115))),"Invalid Email; ","")&amp;IF(COUNTIF(Lookups!$A$2:$A$11,E115)=0,"Unknown Product; ","")&amp;IF(F115="","Missing Product Name; ","")&amp;IF(H115="","Missing Region; ","")&amp;IF(K115&lt;=0,"Invalid Quantity; ","")&amp;IF(L115&lt;0,"Invalid Price; ","")&amp;IF(M115&lt;0,"Invalid Cost; ","")&amp;IF(OR(N115&lt;0,N115&gt;0.5),"Invalid Discount; ","")&amp;IF(COUNTIF(Lookups!$K$2:$K$4,P115)=0,"Invalid Status; ","")</f>
        <v/>
      </c>
      <c r="X115" s="15" t="str">
        <f t="shared" si="16"/>
        <v>2025-01</v>
      </c>
      <c r="Y115" t="str">
        <f t="shared" si="17"/>
        <v>Q1</v>
      </c>
      <c r="Z115" t="str">
        <f>IF(R115&gt;=Settings!$B$9,"High Value Customer",IF(R115&gt;=Settings!$B$10,"Medium Value Customer","Standard Customer"))</f>
        <v>High Value Customer</v>
      </c>
      <c r="AA115" t="str">
        <f>IF(R115&gt;=Settings!$B$9,"Large Order",IF(R115&gt;=Settings!$B$10,"Medium Order","Small Order"))</f>
        <v>Large Order</v>
      </c>
      <c r="AB115" t="str">
        <f>IF(N115=0,"No Discount",IF(N115&lt;=0.1,"Low Discount",IF(N115&lt;=Settings!$B$8,"Medium Discount","High Discount")))</f>
        <v>Low Discount</v>
      </c>
      <c r="AC115" t="str">
        <f t="shared" si="18"/>
        <v>Profitable</v>
      </c>
      <c r="AD115" t="str">
        <f>IFERROR(VLOOKUP(E115,Lookups!$A$2:$E$11,2,FALSE),"Product Not Found")</f>
        <v>24-inch Monitor</v>
      </c>
      <c r="AE115" t="str">
        <f>IFERROR(VLOOKUP(E115,Lookups!$A$2:$E$11,3,FALSE),"Category Not Found")</f>
        <v>Electronics</v>
      </c>
      <c r="AF115" t="str">
        <f>IFERROR(IF(L115=VLOOKUP(E115,Lookups!$A$2:$E$11,4,FALSE),"Price OK","Price Mismatch"),"Product Missing")</f>
        <v>Price OK</v>
      </c>
      <c r="AG115" t="str">
        <f t="shared" si="19"/>
        <v>Valid Email</v>
      </c>
      <c r="AH115" t="str">
        <f t="shared" si="20"/>
        <v>READY FOR REPORTING</v>
      </c>
      <c r="AI115" t="str">
        <f>IF(AND(LEFT(A115,LEN(Settings!$B$13))=Settings!$B$13,LEN(A115)=9),"Valid Format","Invalid Format")</f>
        <v>Valid Format</v>
      </c>
      <c r="AJ115" t="str">
        <f>IF(LEFT(C115,LEN(Settings!$B$14))=Settings!$B$14,"Valid Format","Invalid Format")</f>
        <v>Valid Format</v>
      </c>
      <c r="AK115" t="str">
        <f>IF(COUNTIF(Master_Data!$G$5:$G$14,C115)=1,"Known Customer","Customer Not in Master")</f>
        <v>Known Customer</v>
      </c>
      <c r="AL115" t="str">
        <f>IF(U115&gt;=Settings!$B$11,"Target Met","Below Target")</f>
        <v>Below Target</v>
      </c>
      <c r="AM115" t="str">
        <f>IF(YEAR(B115)=Settings!$B$5,"Correct Year","Wrong Year")</f>
        <v>Correct Year</v>
      </c>
      <c r="AN115">
        <f t="shared" si="21"/>
        <v>4</v>
      </c>
    </row>
    <row r="116" spans="1:40">
      <c r="A116" t="str">
        <f>Raw_Data!A116</f>
        <v>ORD-10115</v>
      </c>
      <c r="B116" s="13">
        <f>Raw_Data!B116</f>
        <v>45968</v>
      </c>
      <c r="C116" t="str">
        <f>Raw_Data!C116</f>
        <v>C1025</v>
      </c>
      <c r="D116" t="str">
        <f>Raw_Data!D116</f>
        <v>client159@example.com</v>
      </c>
      <c r="E116" t="str">
        <f>Raw_Data!E116</f>
        <v>P1004</v>
      </c>
      <c r="F116" t="str">
        <f>Raw_Data!F116</f>
        <v>USB-C Hub</v>
      </c>
      <c r="G116" t="str">
        <f>Raw_Data!G116</f>
        <v>Accessories</v>
      </c>
      <c r="H116" t="str">
        <f>Raw_Data!H116</f>
        <v>South</v>
      </c>
      <c r="I116" t="str">
        <f>Raw_Data!I116</f>
        <v>Marketplace</v>
      </c>
      <c r="J116" t="str">
        <f>Raw_Data!J116</f>
        <v>Maria Ionescu</v>
      </c>
      <c r="K116">
        <f>Raw_Data!K116</f>
        <v>6</v>
      </c>
      <c r="L116" s="12">
        <f>Raw_Data!L116</f>
        <v>175</v>
      </c>
      <c r="M116" s="12">
        <f>Raw_Data!M116</f>
        <v>98</v>
      </c>
      <c r="N116" s="14">
        <f>Raw_Data!N116</f>
        <v>0</v>
      </c>
      <c r="O116" t="str">
        <f>Raw_Data!O116</f>
        <v>Card</v>
      </c>
      <c r="P116" t="str">
        <f>Raw_Data!P116</f>
        <v>Cancelled</v>
      </c>
      <c r="Q116" s="12">
        <f t="shared" si="11"/>
        <v>1050</v>
      </c>
      <c r="R116" s="12">
        <f t="shared" si="12"/>
        <v>1050</v>
      </c>
      <c r="S116" s="12">
        <f t="shared" si="13"/>
        <v>588</v>
      </c>
      <c r="T116" s="12">
        <f t="shared" si="14"/>
        <v>462</v>
      </c>
      <c r="U116" s="11">
        <f t="shared" si="15"/>
        <v>0.44</v>
      </c>
      <c r="V116" t="str">
        <f>IF(OR(A116="",COUNTIF($A$2:$A$301,A116)&gt;1,C116="",D116="",ISERROR(SEARCH("@",D116)),ISERROR(SEARCH(".",D116)),COUNTIF(Lookups!$A$2:$A$11,E116)=0,F116="",H116="",K116&lt;=0,L116&lt;0,M116&lt;0,N116&lt;0,N116&gt;0.5,COUNTIF(Lookups!$K$2:$K$4,P116)=0),"ERROR","VALID")</f>
        <v>VALID</v>
      </c>
      <c r="W116" s="2" t="str">
        <f>IF(A116="","Missing Order ID; ","")&amp;IF(COUNTIF($A$2:$A$301,A116)&gt;1,"Duplicate Order ID; ","")&amp;IF(C116="","Missing Customer ID; ","")&amp;IF(OR(D116="",ISERROR(SEARCH("@",D116)),ISERROR(SEARCH(".",D116))),"Invalid Email; ","")&amp;IF(COUNTIF(Lookups!$A$2:$A$11,E116)=0,"Unknown Product; ","")&amp;IF(F116="","Missing Product Name; ","")&amp;IF(H116="","Missing Region; ","")&amp;IF(K116&lt;=0,"Invalid Quantity; ","")&amp;IF(L116&lt;0,"Invalid Price; ","")&amp;IF(M116&lt;0,"Invalid Cost; ","")&amp;IF(OR(N116&lt;0,N116&gt;0.5),"Invalid Discount; ","")&amp;IF(COUNTIF(Lookups!$K$2:$K$4,P116)=0,"Invalid Status; ","")</f>
        <v/>
      </c>
      <c r="X116" s="15" t="str">
        <f t="shared" si="16"/>
        <v>2025-11</v>
      </c>
      <c r="Y116" t="str">
        <f t="shared" si="17"/>
        <v>Q4</v>
      </c>
      <c r="Z116" t="str">
        <f>IF(R116&gt;=Settings!$B$9,"High Value Customer",IF(R116&gt;=Settings!$B$10,"Medium Value Customer","Standard Customer"))</f>
        <v>Standard Customer</v>
      </c>
      <c r="AA116" t="str">
        <f>IF(R116&gt;=Settings!$B$9,"Large Order",IF(R116&gt;=Settings!$B$10,"Medium Order","Small Order"))</f>
        <v>Small Order</v>
      </c>
      <c r="AB116" t="str">
        <f>IF(N116=0,"No Discount",IF(N116&lt;=0.1,"Low Discount",IF(N116&lt;=Settings!$B$8,"Medium Discount","High Discount")))</f>
        <v>No Discount</v>
      </c>
      <c r="AC116" t="str">
        <f t="shared" si="18"/>
        <v>Profitable</v>
      </c>
      <c r="AD116" t="str">
        <f>IFERROR(VLOOKUP(E116,Lookups!$A$2:$E$11,2,FALSE),"Product Not Found")</f>
        <v>USB-C Hub</v>
      </c>
      <c r="AE116" t="str">
        <f>IFERROR(VLOOKUP(E116,Lookups!$A$2:$E$11,3,FALSE),"Category Not Found")</f>
        <v>Accessories</v>
      </c>
      <c r="AF116" t="str">
        <f>IFERROR(IF(L116=VLOOKUP(E116,Lookups!$A$2:$E$11,4,FALSE),"Price OK","Price Mismatch"),"Product Missing")</f>
        <v>Price OK</v>
      </c>
      <c r="AG116" t="str">
        <f t="shared" si="19"/>
        <v>Valid Email</v>
      </c>
      <c r="AH116" t="str">
        <f t="shared" si="20"/>
        <v>READY FOR REPORTING</v>
      </c>
      <c r="AI116" t="str">
        <f>IF(AND(LEFT(A116,LEN(Settings!$B$13))=Settings!$B$13,LEN(A116)=9),"Valid Format","Invalid Format")</f>
        <v>Valid Format</v>
      </c>
      <c r="AJ116" t="str">
        <f>IF(LEFT(C116,LEN(Settings!$B$14))=Settings!$B$14,"Valid Format","Invalid Format")</f>
        <v>Valid Format</v>
      </c>
      <c r="AK116" t="str">
        <f>IF(COUNTIF(Master_Data!$G$5:$G$14,C116)=1,"Known Customer","Customer Not in Master")</f>
        <v>Customer Not in Master</v>
      </c>
      <c r="AL116" t="str">
        <f>IF(U116&gt;=Settings!$B$11,"Target Met","Below Target")</f>
        <v>Target Met</v>
      </c>
      <c r="AM116" t="str">
        <f>IF(YEAR(B116)=Settings!$B$5,"Correct Year","Wrong Year")</f>
        <v>Correct Year</v>
      </c>
      <c r="AN116">
        <f t="shared" si="21"/>
        <v>4</v>
      </c>
    </row>
    <row r="117" spans="1:40">
      <c r="A117" t="str">
        <f>Raw_Data!A117</f>
        <v>ORD-10116</v>
      </c>
      <c r="B117" s="13">
        <f>Raw_Data!B117</f>
        <v>45816</v>
      </c>
      <c r="C117" t="str">
        <f>Raw_Data!C117</f>
        <v>C1047</v>
      </c>
      <c r="D117" t="str">
        <f>Raw_Data!D117</f>
        <v>client34@example.com</v>
      </c>
      <c r="E117" t="str">
        <f>Raw_Data!E117</f>
        <v>P1001</v>
      </c>
      <c r="F117" t="str">
        <f>Raw_Data!F117</f>
        <v>Laptop Stand</v>
      </c>
      <c r="G117" t="str">
        <f>Raw_Data!G117</f>
        <v>Accessories</v>
      </c>
      <c r="H117" t="str">
        <f>Raw_Data!H117</f>
        <v>Bucharest</v>
      </c>
      <c r="I117" t="str">
        <f>Raw_Data!I117</f>
        <v>Store</v>
      </c>
      <c r="J117" t="str">
        <f>Raw_Data!J117</f>
        <v>Elena Stan</v>
      </c>
      <c r="K117">
        <f>Raw_Data!K117</f>
        <v>8</v>
      </c>
      <c r="L117" s="12">
        <f>Raw_Data!L117</f>
        <v>95</v>
      </c>
      <c r="M117" s="12">
        <f>Raw_Data!M117</f>
        <v>52</v>
      </c>
      <c r="N117" s="14">
        <f>Raw_Data!N117</f>
        <v>0</v>
      </c>
      <c r="O117" t="str">
        <f>Raw_Data!O117</f>
        <v>Online Wallet</v>
      </c>
      <c r="P117" t="str">
        <f>Raw_Data!P117</f>
        <v>Returned</v>
      </c>
      <c r="Q117" s="12">
        <f t="shared" si="11"/>
        <v>760</v>
      </c>
      <c r="R117" s="12">
        <f t="shared" si="12"/>
        <v>760</v>
      </c>
      <c r="S117" s="12">
        <f t="shared" si="13"/>
        <v>416</v>
      </c>
      <c r="T117" s="12">
        <f t="shared" si="14"/>
        <v>344</v>
      </c>
      <c r="U117" s="11">
        <f t="shared" si="15"/>
        <v>0.45263157894736844</v>
      </c>
      <c r="V117" t="str">
        <f>IF(OR(A117="",COUNTIF($A$2:$A$301,A117)&gt;1,C117="",D117="",ISERROR(SEARCH("@",D117)),ISERROR(SEARCH(".",D117)),COUNTIF(Lookups!$A$2:$A$11,E117)=0,F117="",H117="",K117&lt;=0,L117&lt;0,M117&lt;0,N117&lt;0,N117&gt;0.5,COUNTIF(Lookups!$K$2:$K$4,P117)=0),"ERROR","VALID")</f>
        <v>VALID</v>
      </c>
      <c r="W117" s="2" t="str">
        <f>IF(A117="","Missing Order ID; ","")&amp;IF(COUNTIF($A$2:$A$301,A117)&gt;1,"Duplicate Order ID; ","")&amp;IF(C117="","Missing Customer ID; ","")&amp;IF(OR(D117="",ISERROR(SEARCH("@",D117)),ISERROR(SEARCH(".",D117))),"Invalid Email; ","")&amp;IF(COUNTIF(Lookups!$A$2:$A$11,E117)=0,"Unknown Product; ","")&amp;IF(F117="","Missing Product Name; ","")&amp;IF(H117="","Missing Region; ","")&amp;IF(K117&lt;=0,"Invalid Quantity; ","")&amp;IF(L117&lt;0,"Invalid Price; ","")&amp;IF(M117&lt;0,"Invalid Cost; ","")&amp;IF(OR(N117&lt;0,N117&gt;0.5),"Invalid Discount; ","")&amp;IF(COUNTIF(Lookups!$K$2:$K$4,P117)=0,"Invalid Status; ","")</f>
        <v/>
      </c>
      <c r="X117" s="15" t="str">
        <f t="shared" si="16"/>
        <v>2025-06</v>
      </c>
      <c r="Y117" t="str">
        <f t="shared" si="17"/>
        <v>Q2</v>
      </c>
      <c r="Z117" t="str">
        <f>IF(R117&gt;=Settings!$B$9,"High Value Customer",IF(R117&gt;=Settings!$B$10,"Medium Value Customer","Standard Customer"))</f>
        <v>Standard Customer</v>
      </c>
      <c r="AA117" t="str">
        <f>IF(R117&gt;=Settings!$B$9,"Large Order",IF(R117&gt;=Settings!$B$10,"Medium Order","Small Order"))</f>
        <v>Small Order</v>
      </c>
      <c r="AB117" t="str">
        <f>IF(N117=0,"No Discount",IF(N117&lt;=0.1,"Low Discount",IF(N117&lt;=Settings!$B$8,"Medium Discount","High Discount")))</f>
        <v>No Discount</v>
      </c>
      <c r="AC117" t="str">
        <f t="shared" si="18"/>
        <v>Profitable</v>
      </c>
      <c r="AD117" t="str">
        <f>IFERROR(VLOOKUP(E117,Lookups!$A$2:$E$11,2,FALSE),"Product Not Found")</f>
        <v>Laptop Stand</v>
      </c>
      <c r="AE117" t="str">
        <f>IFERROR(VLOOKUP(E117,Lookups!$A$2:$E$11,3,FALSE),"Category Not Found")</f>
        <v>Accessories</v>
      </c>
      <c r="AF117" t="str">
        <f>IFERROR(IF(L117=VLOOKUP(E117,Lookups!$A$2:$E$11,4,FALSE),"Price OK","Price Mismatch"),"Product Missing")</f>
        <v>Price OK</v>
      </c>
      <c r="AG117" t="str">
        <f t="shared" si="19"/>
        <v>Valid Email</v>
      </c>
      <c r="AH117" t="str">
        <f t="shared" si="20"/>
        <v>READY FOR REPORTING</v>
      </c>
      <c r="AI117" t="str">
        <f>IF(AND(LEFT(A117,LEN(Settings!$B$13))=Settings!$B$13,LEN(A117)=9),"Valid Format","Invalid Format")</f>
        <v>Valid Format</v>
      </c>
      <c r="AJ117" t="str">
        <f>IF(LEFT(C117,LEN(Settings!$B$14))=Settings!$B$14,"Valid Format","Invalid Format")</f>
        <v>Valid Format</v>
      </c>
      <c r="AK117" t="str">
        <f>IF(COUNTIF(Master_Data!$G$5:$G$14,C117)=1,"Known Customer","Customer Not in Master")</f>
        <v>Customer Not in Master</v>
      </c>
      <c r="AL117" t="str">
        <f>IF(U117&gt;=Settings!$B$11,"Target Met","Below Target")</f>
        <v>Target Met</v>
      </c>
      <c r="AM117" t="str">
        <f>IF(YEAR(B117)=Settings!$B$5,"Correct Year","Wrong Year")</f>
        <v>Correct Year</v>
      </c>
      <c r="AN117">
        <f t="shared" si="21"/>
        <v>4</v>
      </c>
    </row>
    <row r="118" spans="1:40">
      <c r="A118" t="str">
        <f>Raw_Data!A118</f>
        <v>ORD-10117</v>
      </c>
      <c r="B118" s="13">
        <f>Raw_Data!B118</f>
        <v>45760</v>
      </c>
      <c r="C118" t="str">
        <f>Raw_Data!C118</f>
        <v>C1068</v>
      </c>
      <c r="D118" t="str">
        <f>Raw_Data!D118</f>
        <v>client129@example.com</v>
      </c>
      <c r="E118" t="str">
        <f>Raw_Data!E118</f>
        <v>P1003</v>
      </c>
      <c r="F118" t="str">
        <f>Raw_Data!F118</f>
        <v>Mechanical Keyboard</v>
      </c>
      <c r="G118" t="str">
        <f>Raw_Data!G118</f>
        <v>Accessories</v>
      </c>
      <c r="H118" t="str">
        <f>Raw_Data!H118</f>
        <v>South</v>
      </c>
      <c r="I118" t="str">
        <f>Raw_Data!I118</f>
        <v>Online</v>
      </c>
      <c r="J118" t="str">
        <f>Raw_Data!J118</f>
        <v>Elena Stan</v>
      </c>
      <c r="K118">
        <f>Raw_Data!K118</f>
        <v>3</v>
      </c>
      <c r="L118" s="12">
        <f>Raw_Data!L118</f>
        <v>265</v>
      </c>
      <c r="M118" s="12">
        <f>Raw_Data!M118</f>
        <v>155</v>
      </c>
      <c r="N118" s="14">
        <f>Raw_Data!N118</f>
        <v>0.15</v>
      </c>
      <c r="O118" t="str">
        <f>Raw_Data!O118</f>
        <v>Online Wallet</v>
      </c>
      <c r="P118" t="str">
        <f>Raw_Data!P118</f>
        <v>Completed</v>
      </c>
      <c r="Q118" s="12">
        <f t="shared" si="11"/>
        <v>795</v>
      </c>
      <c r="R118" s="12">
        <f t="shared" si="12"/>
        <v>675.75</v>
      </c>
      <c r="S118" s="12">
        <f t="shared" si="13"/>
        <v>465</v>
      </c>
      <c r="T118" s="12">
        <f t="shared" si="14"/>
        <v>210.75</v>
      </c>
      <c r="U118" s="11">
        <f t="shared" si="15"/>
        <v>0.31187569367369589</v>
      </c>
      <c r="V118" t="str">
        <f>IF(OR(A118="",COUNTIF($A$2:$A$301,A118)&gt;1,C118="",D118="",ISERROR(SEARCH("@",D118)),ISERROR(SEARCH(".",D118)),COUNTIF(Lookups!$A$2:$A$11,E118)=0,F118="",H118="",K118&lt;=0,L118&lt;0,M118&lt;0,N118&lt;0,N118&gt;0.5,COUNTIF(Lookups!$K$2:$K$4,P118)=0),"ERROR","VALID")</f>
        <v>VALID</v>
      </c>
      <c r="W118" s="2" t="str">
        <f>IF(A118="","Missing Order ID; ","")&amp;IF(COUNTIF($A$2:$A$301,A118)&gt;1,"Duplicate Order ID; ","")&amp;IF(C118="","Missing Customer ID; ","")&amp;IF(OR(D118="",ISERROR(SEARCH("@",D118)),ISERROR(SEARCH(".",D118))),"Invalid Email; ","")&amp;IF(COUNTIF(Lookups!$A$2:$A$11,E118)=0,"Unknown Product; ","")&amp;IF(F118="","Missing Product Name; ","")&amp;IF(H118="","Missing Region; ","")&amp;IF(K118&lt;=0,"Invalid Quantity; ","")&amp;IF(L118&lt;0,"Invalid Price; ","")&amp;IF(M118&lt;0,"Invalid Cost; ","")&amp;IF(OR(N118&lt;0,N118&gt;0.5),"Invalid Discount; ","")&amp;IF(COUNTIF(Lookups!$K$2:$K$4,P118)=0,"Invalid Status; ","")</f>
        <v/>
      </c>
      <c r="X118" s="15" t="str">
        <f t="shared" si="16"/>
        <v>2025-04</v>
      </c>
      <c r="Y118" t="str">
        <f t="shared" si="17"/>
        <v>Q2</v>
      </c>
      <c r="Z118" t="str">
        <f>IF(R118&gt;=Settings!$B$9,"High Value Customer",IF(R118&gt;=Settings!$B$10,"Medium Value Customer","Standard Customer"))</f>
        <v>Standard Customer</v>
      </c>
      <c r="AA118" t="str">
        <f>IF(R118&gt;=Settings!$B$9,"Large Order",IF(R118&gt;=Settings!$B$10,"Medium Order","Small Order"))</f>
        <v>Small Order</v>
      </c>
      <c r="AB118" t="str">
        <f>IF(N118=0,"No Discount",IF(N118&lt;=0.1,"Low Discount",IF(N118&lt;=Settings!$B$8,"Medium Discount","High Discount")))</f>
        <v>Medium Discount</v>
      </c>
      <c r="AC118" t="str">
        <f t="shared" si="18"/>
        <v>Profitable</v>
      </c>
      <c r="AD118" t="str">
        <f>IFERROR(VLOOKUP(E118,Lookups!$A$2:$E$11,2,FALSE),"Product Not Found")</f>
        <v>Mechanical Keyboard</v>
      </c>
      <c r="AE118" t="str">
        <f>IFERROR(VLOOKUP(E118,Lookups!$A$2:$E$11,3,FALSE),"Category Not Found")</f>
        <v>Accessories</v>
      </c>
      <c r="AF118" t="str">
        <f>IFERROR(IF(L118=VLOOKUP(E118,Lookups!$A$2:$E$11,4,FALSE),"Price OK","Price Mismatch"),"Product Missing")</f>
        <v>Price OK</v>
      </c>
      <c r="AG118" t="str">
        <f t="shared" si="19"/>
        <v>Valid Email</v>
      </c>
      <c r="AH118" t="str">
        <f t="shared" si="20"/>
        <v>READY FOR REPORTING</v>
      </c>
      <c r="AI118" t="str">
        <f>IF(AND(LEFT(A118,LEN(Settings!$B$13))=Settings!$B$13,LEN(A118)=9),"Valid Format","Invalid Format")</f>
        <v>Valid Format</v>
      </c>
      <c r="AJ118" t="str">
        <f>IF(LEFT(C118,LEN(Settings!$B$14))=Settings!$B$14,"Valid Format","Invalid Format")</f>
        <v>Valid Format</v>
      </c>
      <c r="AK118" t="str">
        <f>IF(COUNTIF(Master_Data!$G$5:$G$14,C118)=1,"Known Customer","Customer Not in Master")</f>
        <v>Customer Not in Master</v>
      </c>
      <c r="AL118" t="str">
        <f>IF(U118&gt;=Settings!$B$11,"Target Met","Below Target")</f>
        <v>Target Met</v>
      </c>
      <c r="AM118" t="str">
        <f>IF(YEAR(B118)=Settings!$B$5,"Correct Year","Wrong Year")</f>
        <v>Correct Year</v>
      </c>
      <c r="AN118">
        <f t="shared" si="21"/>
        <v>4</v>
      </c>
    </row>
    <row r="119" spans="1:40">
      <c r="A119" t="str">
        <f>Raw_Data!A119</f>
        <v>ORD-10118</v>
      </c>
      <c r="B119" s="13">
        <f>Raw_Data!B119</f>
        <v>45831</v>
      </c>
      <c r="C119" t="str">
        <f>Raw_Data!C119</f>
        <v>C1019</v>
      </c>
      <c r="D119" t="str">
        <f>Raw_Data!D119</f>
        <v>client58@example.com</v>
      </c>
      <c r="E119" t="str">
        <f>Raw_Data!E119</f>
        <v>P1005</v>
      </c>
      <c r="F119" t="str">
        <f>Raw_Data!F119</f>
        <v>24-inch Monitor</v>
      </c>
      <c r="G119" t="str">
        <f>Raw_Data!G119</f>
        <v>Electronics</v>
      </c>
      <c r="H119" t="str">
        <f>Raw_Data!H119</f>
        <v>East</v>
      </c>
      <c r="I119" t="str">
        <f>Raw_Data!I119</f>
        <v>Marketplace</v>
      </c>
      <c r="J119" t="str">
        <f>Raw_Data!J119</f>
        <v>Elena Stan</v>
      </c>
      <c r="K119">
        <f>Raw_Data!K119</f>
        <v>2</v>
      </c>
      <c r="L119" s="12">
        <f>Raw_Data!L119</f>
        <v>720</v>
      </c>
      <c r="M119" s="12">
        <f>Raw_Data!M119</f>
        <v>510</v>
      </c>
      <c r="N119" s="14">
        <f>Raw_Data!N119</f>
        <v>0.1</v>
      </c>
      <c r="O119" t="str">
        <f>Raw_Data!O119</f>
        <v>Card</v>
      </c>
      <c r="P119" t="str">
        <f>Raw_Data!P119</f>
        <v>Completed</v>
      </c>
      <c r="Q119" s="12">
        <f t="shared" si="11"/>
        <v>1440</v>
      </c>
      <c r="R119" s="12">
        <f t="shared" si="12"/>
        <v>1296</v>
      </c>
      <c r="S119" s="12">
        <f t="shared" si="13"/>
        <v>1020</v>
      </c>
      <c r="T119" s="12">
        <f t="shared" si="14"/>
        <v>276</v>
      </c>
      <c r="U119" s="11">
        <f t="shared" si="15"/>
        <v>0.21296296296296297</v>
      </c>
      <c r="V119" t="str">
        <f>IF(OR(A119="",COUNTIF($A$2:$A$301,A119)&gt;1,C119="",D119="",ISERROR(SEARCH("@",D119)),ISERROR(SEARCH(".",D119)),COUNTIF(Lookups!$A$2:$A$11,E119)=0,F119="",H119="",K119&lt;=0,L119&lt;0,M119&lt;0,N119&lt;0,N119&gt;0.5,COUNTIF(Lookups!$K$2:$K$4,P119)=0),"ERROR","VALID")</f>
        <v>VALID</v>
      </c>
      <c r="W119" s="2" t="str">
        <f>IF(A119="","Missing Order ID; ","")&amp;IF(COUNTIF($A$2:$A$301,A119)&gt;1,"Duplicate Order ID; ","")&amp;IF(C119="","Missing Customer ID; ","")&amp;IF(OR(D119="",ISERROR(SEARCH("@",D119)),ISERROR(SEARCH(".",D119))),"Invalid Email; ","")&amp;IF(COUNTIF(Lookups!$A$2:$A$11,E119)=0,"Unknown Product; ","")&amp;IF(F119="","Missing Product Name; ","")&amp;IF(H119="","Missing Region; ","")&amp;IF(K119&lt;=0,"Invalid Quantity; ","")&amp;IF(L119&lt;0,"Invalid Price; ","")&amp;IF(M119&lt;0,"Invalid Cost; ","")&amp;IF(OR(N119&lt;0,N119&gt;0.5),"Invalid Discount; ","")&amp;IF(COUNTIF(Lookups!$K$2:$K$4,P119)=0,"Invalid Status; ","")</f>
        <v/>
      </c>
      <c r="X119" s="15" t="str">
        <f t="shared" si="16"/>
        <v>2025-06</v>
      </c>
      <c r="Y119" t="str">
        <f t="shared" si="17"/>
        <v>Q2</v>
      </c>
      <c r="Z119" t="str">
        <f>IF(R119&gt;=Settings!$B$9,"High Value Customer",IF(R119&gt;=Settings!$B$10,"Medium Value Customer","Standard Customer"))</f>
        <v>Standard Customer</v>
      </c>
      <c r="AA119" t="str">
        <f>IF(R119&gt;=Settings!$B$9,"Large Order",IF(R119&gt;=Settings!$B$10,"Medium Order","Small Order"))</f>
        <v>Small Order</v>
      </c>
      <c r="AB119" t="str">
        <f>IF(N119=0,"No Discount",IF(N119&lt;=0.1,"Low Discount",IF(N119&lt;=Settings!$B$8,"Medium Discount","High Discount")))</f>
        <v>Low Discount</v>
      </c>
      <c r="AC119" t="str">
        <f t="shared" si="18"/>
        <v>Profitable</v>
      </c>
      <c r="AD119" t="str">
        <f>IFERROR(VLOOKUP(E119,Lookups!$A$2:$E$11,2,FALSE),"Product Not Found")</f>
        <v>24-inch Monitor</v>
      </c>
      <c r="AE119" t="str">
        <f>IFERROR(VLOOKUP(E119,Lookups!$A$2:$E$11,3,FALSE),"Category Not Found")</f>
        <v>Electronics</v>
      </c>
      <c r="AF119" t="str">
        <f>IFERROR(IF(L119=VLOOKUP(E119,Lookups!$A$2:$E$11,4,FALSE),"Price OK","Price Mismatch"),"Product Missing")</f>
        <v>Price OK</v>
      </c>
      <c r="AG119" t="str">
        <f t="shared" si="19"/>
        <v>Valid Email</v>
      </c>
      <c r="AH119" t="str">
        <f t="shared" si="20"/>
        <v>READY FOR REPORTING</v>
      </c>
      <c r="AI119" t="str">
        <f>IF(AND(LEFT(A119,LEN(Settings!$B$13))=Settings!$B$13,LEN(A119)=9),"Valid Format","Invalid Format")</f>
        <v>Valid Format</v>
      </c>
      <c r="AJ119" t="str">
        <f>IF(LEFT(C119,LEN(Settings!$B$14))=Settings!$B$14,"Valid Format","Invalid Format")</f>
        <v>Valid Format</v>
      </c>
      <c r="AK119" t="str">
        <f>IF(COUNTIF(Master_Data!$G$5:$G$14,C119)=1,"Known Customer","Customer Not in Master")</f>
        <v>Customer Not in Master</v>
      </c>
      <c r="AL119" t="str">
        <f>IF(U119&gt;=Settings!$B$11,"Target Met","Below Target")</f>
        <v>Below Target</v>
      </c>
      <c r="AM119" t="str">
        <f>IF(YEAR(B119)=Settings!$B$5,"Correct Year","Wrong Year")</f>
        <v>Correct Year</v>
      </c>
      <c r="AN119">
        <f t="shared" si="21"/>
        <v>3</v>
      </c>
    </row>
    <row r="120" spans="1:40">
      <c r="A120" t="str">
        <f>Raw_Data!A120</f>
        <v>ORD-10119</v>
      </c>
      <c r="B120" s="13">
        <f>Raw_Data!B120</f>
        <v>45665</v>
      </c>
      <c r="C120" t="str">
        <f>Raw_Data!C120</f>
        <v>C1059</v>
      </c>
      <c r="D120" t="str">
        <f>Raw_Data!D120</f>
        <v>client95@example.com</v>
      </c>
      <c r="E120" t="str">
        <f>Raw_Data!E120</f>
        <v>P1007</v>
      </c>
      <c r="F120" t="str">
        <f>Raw_Data!F120</f>
        <v>Office Chair</v>
      </c>
      <c r="G120" t="str">
        <f>Raw_Data!G120</f>
        <v>Furniture</v>
      </c>
      <c r="H120" t="str">
        <f>Raw_Data!H120</f>
        <v>South</v>
      </c>
      <c r="I120" t="str">
        <f>Raw_Data!I120</f>
        <v>Marketplace</v>
      </c>
      <c r="J120" t="str">
        <f>Raw_Data!J120</f>
        <v>Mihai Radu</v>
      </c>
      <c r="K120">
        <f>Raw_Data!K120</f>
        <v>5</v>
      </c>
      <c r="L120" s="12">
        <f>Raw_Data!L120</f>
        <v>840</v>
      </c>
      <c r="M120" s="12">
        <f>Raw_Data!M120</f>
        <v>590</v>
      </c>
      <c r="N120" s="14">
        <f>Raw_Data!N120</f>
        <v>0.15</v>
      </c>
      <c r="O120" t="str">
        <f>Raw_Data!O120</f>
        <v>Cash</v>
      </c>
      <c r="P120" t="str">
        <f>Raw_Data!P120</f>
        <v>Completed</v>
      </c>
      <c r="Q120" s="12">
        <f t="shared" si="11"/>
        <v>4200</v>
      </c>
      <c r="R120" s="12">
        <f t="shared" si="12"/>
        <v>3570</v>
      </c>
      <c r="S120" s="12">
        <f t="shared" si="13"/>
        <v>2950</v>
      </c>
      <c r="T120" s="12">
        <f t="shared" si="14"/>
        <v>620</v>
      </c>
      <c r="U120" s="11">
        <f t="shared" si="15"/>
        <v>0.17366946778711484</v>
      </c>
      <c r="V120" t="str">
        <f>IF(OR(A120="",COUNTIF($A$2:$A$301,A120)&gt;1,C120="",D120="",ISERROR(SEARCH("@",D120)),ISERROR(SEARCH(".",D120)),COUNTIF(Lookups!$A$2:$A$11,E120)=0,F120="",H120="",K120&lt;=0,L120&lt;0,M120&lt;0,N120&lt;0,N120&gt;0.5,COUNTIF(Lookups!$K$2:$K$4,P120)=0),"ERROR","VALID")</f>
        <v>VALID</v>
      </c>
      <c r="W120" s="2" t="str">
        <f>IF(A120="","Missing Order ID; ","")&amp;IF(COUNTIF($A$2:$A$301,A120)&gt;1,"Duplicate Order ID; ","")&amp;IF(C120="","Missing Customer ID; ","")&amp;IF(OR(D120="",ISERROR(SEARCH("@",D120)),ISERROR(SEARCH(".",D120))),"Invalid Email; ","")&amp;IF(COUNTIF(Lookups!$A$2:$A$11,E120)=0,"Unknown Product; ","")&amp;IF(F120="","Missing Product Name; ","")&amp;IF(H120="","Missing Region; ","")&amp;IF(K120&lt;=0,"Invalid Quantity; ","")&amp;IF(L120&lt;0,"Invalid Price; ","")&amp;IF(M120&lt;0,"Invalid Cost; ","")&amp;IF(OR(N120&lt;0,N120&gt;0.5),"Invalid Discount; ","")&amp;IF(COUNTIF(Lookups!$K$2:$K$4,P120)=0,"Invalid Status; ","")</f>
        <v/>
      </c>
      <c r="X120" s="15" t="str">
        <f t="shared" si="16"/>
        <v>2025-01</v>
      </c>
      <c r="Y120" t="str">
        <f t="shared" si="17"/>
        <v>Q1</v>
      </c>
      <c r="Z120" t="str">
        <f>IF(R120&gt;=Settings!$B$9,"High Value Customer",IF(R120&gt;=Settings!$B$10,"Medium Value Customer","Standard Customer"))</f>
        <v>Medium Value Customer</v>
      </c>
      <c r="AA120" t="str">
        <f>IF(R120&gt;=Settings!$B$9,"Large Order",IF(R120&gt;=Settings!$B$10,"Medium Order","Small Order"))</f>
        <v>Medium Order</v>
      </c>
      <c r="AB120" t="str">
        <f>IF(N120=0,"No Discount",IF(N120&lt;=0.1,"Low Discount",IF(N120&lt;=Settings!$B$8,"Medium Discount","High Discount")))</f>
        <v>Medium Discount</v>
      </c>
      <c r="AC120" t="str">
        <f t="shared" si="18"/>
        <v>Profitable</v>
      </c>
      <c r="AD120" t="str">
        <f>IFERROR(VLOOKUP(E120,Lookups!$A$2:$E$11,2,FALSE),"Product Not Found")</f>
        <v>Office Chair</v>
      </c>
      <c r="AE120" t="str">
        <f>IFERROR(VLOOKUP(E120,Lookups!$A$2:$E$11,3,FALSE),"Category Not Found")</f>
        <v>Furniture</v>
      </c>
      <c r="AF120" t="str">
        <f>IFERROR(IF(L120=VLOOKUP(E120,Lookups!$A$2:$E$11,4,FALSE),"Price OK","Price Mismatch"),"Product Missing")</f>
        <v>Price OK</v>
      </c>
      <c r="AG120" t="str">
        <f t="shared" si="19"/>
        <v>Valid Email</v>
      </c>
      <c r="AH120" t="str">
        <f t="shared" si="20"/>
        <v>READY FOR REPORTING</v>
      </c>
      <c r="AI120" t="str">
        <f>IF(AND(LEFT(A120,LEN(Settings!$B$13))=Settings!$B$13,LEN(A120)=9),"Valid Format","Invalid Format")</f>
        <v>Valid Format</v>
      </c>
      <c r="AJ120" t="str">
        <f>IF(LEFT(C120,LEN(Settings!$B$14))=Settings!$B$14,"Valid Format","Invalid Format")</f>
        <v>Valid Format</v>
      </c>
      <c r="AK120" t="str">
        <f>IF(COUNTIF(Master_Data!$G$5:$G$14,C120)=1,"Known Customer","Customer Not in Master")</f>
        <v>Customer Not in Master</v>
      </c>
      <c r="AL120" t="str">
        <f>IF(U120&gt;=Settings!$B$11,"Target Met","Below Target")</f>
        <v>Below Target</v>
      </c>
      <c r="AM120" t="str">
        <f>IF(YEAR(B120)=Settings!$B$5,"Correct Year","Wrong Year")</f>
        <v>Correct Year</v>
      </c>
      <c r="AN120">
        <f t="shared" si="21"/>
        <v>3</v>
      </c>
    </row>
    <row r="121" spans="1:40">
      <c r="A121" t="str">
        <f>Raw_Data!A121</f>
        <v>ORD-10120</v>
      </c>
      <c r="B121" s="13">
        <f>Raw_Data!B121</f>
        <v>46003</v>
      </c>
      <c r="C121" t="str">
        <f>Raw_Data!C121</f>
        <v>C1080</v>
      </c>
      <c r="D121" t="str">
        <f>Raw_Data!D121</f>
        <v>client144@example.com</v>
      </c>
      <c r="E121" t="str">
        <f>Raw_Data!E121</f>
        <v>P1002</v>
      </c>
      <c r="F121" t="str">
        <f>Raw_Data!F121</f>
        <v>Wireless Mouse</v>
      </c>
      <c r="G121" t="str">
        <f>Raw_Data!G121</f>
        <v>Accessories</v>
      </c>
      <c r="H121" t="str">
        <f>Raw_Data!H121</f>
        <v>South</v>
      </c>
      <c r="I121" t="str">
        <f>Raw_Data!I121</f>
        <v>Marketplace</v>
      </c>
      <c r="J121" t="str">
        <f>Raw_Data!J121</f>
        <v>Maria Ionescu</v>
      </c>
      <c r="K121">
        <f>Raw_Data!K121</f>
        <v>4</v>
      </c>
      <c r="L121" s="12">
        <f>Raw_Data!L121</f>
        <v>-50</v>
      </c>
      <c r="M121" s="12">
        <f>Raw_Data!M121</f>
        <v>44</v>
      </c>
      <c r="N121" s="14">
        <f>Raw_Data!N121</f>
        <v>0.1</v>
      </c>
      <c r="O121" t="str">
        <f>Raw_Data!O121</f>
        <v>Card</v>
      </c>
      <c r="P121" t="str">
        <f>Raw_Data!P121</f>
        <v>Completed</v>
      </c>
      <c r="Q121" s="12">
        <f t="shared" si="11"/>
        <v>-200</v>
      </c>
      <c r="R121" s="12">
        <f t="shared" si="12"/>
        <v>-180</v>
      </c>
      <c r="S121" s="12">
        <f t="shared" si="13"/>
        <v>176</v>
      </c>
      <c r="T121" s="12">
        <f t="shared" si="14"/>
        <v>-356</v>
      </c>
      <c r="U121" s="11">
        <f t="shared" si="15"/>
        <v>1.9777777777777779</v>
      </c>
      <c r="V121" t="str">
        <f>IF(OR(A121="",COUNTIF($A$2:$A$301,A121)&gt;1,C121="",D121="",ISERROR(SEARCH("@",D121)),ISERROR(SEARCH(".",D121)),COUNTIF(Lookups!$A$2:$A$11,E121)=0,F121="",H121="",K121&lt;=0,L121&lt;0,M121&lt;0,N121&lt;0,N121&gt;0.5,COUNTIF(Lookups!$K$2:$K$4,P121)=0),"ERROR","VALID")</f>
        <v>ERROR</v>
      </c>
      <c r="W121" s="2" t="str">
        <f>IF(A121="","Missing Order ID; ","")&amp;IF(COUNTIF($A$2:$A$301,A121)&gt;1,"Duplicate Order ID; ","")&amp;IF(C121="","Missing Customer ID; ","")&amp;IF(OR(D121="",ISERROR(SEARCH("@",D121)),ISERROR(SEARCH(".",D121))),"Invalid Email; ","")&amp;IF(COUNTIF(Lookups!$A$2:$A$11,E121)=0,"Unknown Product; ","")&amp;IF(F121="","Missing Product Name; ","")&amp;IF(H121="","Missing Region; ","")&amp;IF(K121&lt;=0,"Invalid Quantity; ","")&amp;IF(L121&lt;0,"Invalid Price; ","")&amp;IF(M121&lt;0,"Invalid Cost; ","")&amp;IF(OR(N121&lt;0,N121&gt;0.5),"Invalid Discount; ","")&amp;IF(COUNTIF(Lookups!$K$2:$K$4,P121)=0,"Invalid Status; ","")</f>
        <v xml:space="preserve">Invalid Price; </v>
      </c>
      <c r="X121" s="15" t="str">
        <f t="shared" si="16"/>
        <v>2025-12</v>
      </c>
      <c r="Y121" t="str">
        <f t="shared" si="17"/>
        <v>Q4</v>
      </c>
      <c r="Z121" t="str">
        <f>IF(R121&gt;=Settings!$B$9,"High Value Customer",IF(R121&gt;=Settings!$B$10,"Medium Value Customer","Standard Customer"))</f>
        <v>Standard Customer</v>
      </c>
      <c r="AA121" t="str">
        <f>IF(R121&gt;=Settings!$B$9,"Large Order",IF(R121&gt;=Settings!$B$10,"Medium Order","Small Order"))</f>
        <v>Small Order</v>
      </c>
      <c r="AB121" t="str">
        <f>IF(N121=0,"No Discount",IF(N121&lt;=0.1,"Low Discount",IF(N121&lt;=Settings!$B$8,"Medium Discount","High Discount")))</f>
        <v>Low Discount</v>
      </c>
      <c r="AC121" t="str">
        <f t="shared" si="18"/>
        <v>Loss</v>
      </c>
      <c r="AD121" t="str">
        <f>IFERROR(VLOOKUP(E121,Lookups!$A$2:$E$11,2,FALSE),"Product Not Found")</f>
        <v>Wireless Mouse</v>
      </c>
      <c r="AE121" t="str">
        <f>IFERROR(VLOOKUP(E121,Lookups!$A$2:$E$11,3,FALSE),"Category Not Found")</f>
        <v>Accessories</v>
      </c>
      <c r="AF121" t="str">
        <f>IFERROR(IF(L121=VLOOKUP(E121,Lookups!$A$2:$E$11,4,FALSE),"Price OK","Price Mismatch"),"Product Missing")</f>
        <v>Price Mismatch</v>
      </c>
      <c r="AG121" t="str">
        <f t="shared" si="19"/>
        <v>Valid Email</v>
      </c>
      <c r="AH121" t="str">
        <f t="shared" si="20"/>
        <v>REVIEW REQUIRED</v>
      </c>
      <c r="AI121" t="str">
        <f>IF(AND(LEFT(A121,LEN(Settings!$B$13))=Settings!$B$13,LEN(A121)=9),"Valid Format","Invalid Format")</f>
        <v>Valid Format</v>
      </c>
      <c r="AJ121" t="str">
        <f>IF(LEFT(C121,LEN(Settings!$B$14))=Settings!$B$14,"Valid Format","Invalid Format")</f>
        <v>Valid Format</v>
      </c>
      <c r="AK121" t="str">
        <f>IF(COUNTIF(Master_Data!$G$5:$G$14,C121)=1,"Known Customer","Customer Not in Master")</f>
        <v>Customer Not in Master</v>
      </c>
      <c r="AL121" t="str">
        <f>IF(U121&gt;=Settings!$B$11,"Target Met","Below Target")</f>
        <v>Target Met</v>
      </c>
      <c r="AM121" t="str">
        <f>IF(YEAR(B121)=Settings!$B$5,"Correct Year","Wrong Year")</f>
        <v>Correct Year</v>
      </c>
      <c r="AN121">
        <f t="shared" si="21"/>
        <v>4</v>
      </c>
    </row>
    <row r="122" spans="1:40">
      <c r="A122" t="str">
        <f>Raw_Data!A122</f>
        <v>ORD-10121</v>
      </c>
      <c r="B122" s="13">
        <f>Raw_Data!B122</f>
        <v>46016</v>
      </c>
      <c r="C122" t="str">
        <f>Raw_Data!C122</f>
        <v>C1015</v>
      </c>
      <c r="D122" t="str">
        <f>Raw_Data!D122</f>
        <v>client36@example.com</v>
      </c>
      <c r="E122" t="str">
        <f>Raw_Data!E122</f>
        <v>P1008</v>
      </c>
      <c r="F122" t="str">
        <f>Raw_Data!F122</f>
        <v>Standing Desk</v>
      </c>
      <c r="G122" t="str">
        <f>Raw_Data!G122</f>
        <v>Furniture</v>
      </c>
      <c r="H122" t="str">
        <f>Raw_Data!H122</f>
        <v>Bucharest</v>
      </c>
      <c r="I122" t="str">
        <f>Raw_Data!I122</f>
        <v>Online</v>
      </c>
      <c r="J122" t="str">
        <f>Raw_Data!J122</f>
        <v>Elena Stan</v>
      </c>
      <c r="K122">
        <f>Raw_Data!K122</f>
        <v>5</v>
      </c>
      <c r="L122" s="12">
        <f>Raw_Data!L122</f>
        <v>1450</v>
      </c>
      <c r="M122" s="12">
        <f>Raw_Data!M122</f>
        <v>1030</v>
      </c>
      <c r="N122" s="14">
        <f>Raw_Data!N122</f>
        <v>0.2</v>
      </c>
      <c r="O122" t="str">
        <f>Raw_Data!O122</f>
        <v>Online Wallet</v>
      </c>
      <c r="P122" t="str">
        <f>Raw_Data!P122</f>
        <v>Completed</v>
      </c>
      <c r="Q122" s="12">
        <f t="shared" si="11"/>
        <v>7250</v>
      </c>
      <c r="R122" s="12">
        <f t="shared" si="12"/>
        <v>5800</v>
      </c>
      <c r="S122" s="12">
        <f t="shared" si="13"/>
        <v>5150</v>
      </c>
      <c r="T122" s="12">
        <f t="shared" si="14"/>
        <v>650</v>
      </c>
      <c r="U122" s="11">
        <f t="shared" si="15"/>
        <v>0.11206896551724138</v>
      </c>
      <c r="V122" t="str">
        <f>IF(OR(A122="",COUNTIF($A$2:$A$301,A122)&gt;1,C122="",D122="",ISERROR(SEARCH("@",D122)),ISERROR(SEARCH(".",D122)),COUNTIF(Lookups!$A$2:$A$11,E122)=0,F122="",H122="",K122&lt;=0,L122&lt;0,M122&lt;0,N122&lt;0,N122&gt;0.5,COUNTIF(Lookups!$K$2:$K$4,P122)=0),"ERROR","VALID")</f>
        <v>VALID</v>
      </c>
      <c r="W122" s="2" t="str">
        <f>IF(A122="","Missing Order ID; ","")&amp;IF(COUNTIF($A$2:$A$301,A122)&gt;1,"Duplicate Order ID; ","")&amp;IF(C122="","Missing Customer ID; ","")&amp;IF(OR(D122="",ISERROR(SEARCH("@",D122)),ISERROR(SEARCH(".",D122))),"Invalid Email; ","")&amp;IF(COUNTIF(Lookups!$A$2:$A$11,E122)=0,"Unknown Product; ","")&amp;IF(F122="","Missing Product Name; ","")&amp;IF(H122="","Missing Region; ","")&amp;IF(K122&lt;=0,"Invalid Quantity; ","")&amp;IF(L122&lt;0,"Invalid Price; ","")&amp;IF(M122&lt;0,"Invalid Cost; ","")&amp;IF(OR(N122&lt;0,N122&gt;0.5),"Invalid Discount; ","")&amp;IF(COUNTIF(Lookups!$K$2:$K$4,P122)=0,"Invalid Status; ","")</f>
        <v/>
      </c>
      <c r="X122" s="15" t="str">
        <f t="shared" si="16"/>
        <v>2025-12</v>
      </c>
      <c r="Y122" t="str">
        <f t="shared" si="17"/>
        <v>Q4</v>
      </c>
      <c r="Z122" t="str">
        <f>IF(R122&gt;=Settings!$B$9,"High Value Customer",IF(R122&gt;=Settings!$B$10,"Medium Value Customer","Standard Customer"))</f>
        <v>High Value Customer</v>
      </c>
      <c r="AA122" t="str">
        <f>IF(R122&gt;=Settings!$B$9,"Large Order",IF(R122&gt;=Settings!$B$10,"Medium Order","Small Order"))</f>
        <v>Large Order</v>
      </c>
      <c r="AB122" t="str">
        <f>IF(N122=0,"No Discount",IF(N122&lt;=0.1,"Low Discount",IF(N122&lt;=Settings!$B$8,"Medium Discount","High Discount")))</f>
        <v>Medium Discount</v>
      </c>
      <c r="AC122" t="str">
        <f t="shared" si="18"/>
        <v>Profitable</v>
      </c>
      <c r="AD122" t="str">
        <f>IFERROR(VLOOKUP(E122,Lookups!$A$2:$E$11,2,FALSE),"Product Not Found")</f>
        <v>Standing Desk</v>
      </c>
      <c r="AE122" t="str">
        <f>IFERROR(VLOOKUP(E122,Lookups!$A$2:$E$11,3,FALSE),"Category Not Found")</f>
        <v>Furniture</v>
      </c>
      <c r="AF122" t="str">
        <f>IFERROR(IF(L122=VLOOKUP(E122,Lookups!$A$2:$E$11,4,FALSE),"Price OK","Price Mismatch"),"Product Missing")</f>
        <v>Price OK</v>
      </c>
      <c r="AG122" t="str">
        <f t="shared" si="19"/>
        <v>Valid Email</v>
      </c>
      <c r="AH122" t="str">
        <f t="shared" si="20"/>
        <v>READY FOR REPORTING</v>
      </c>
      <c r="AI122" t="str">
        <f>IF(AND(LEFT(A122,LEN(Settings!$B$13))=Settings!$B$13,LEN(A122)=9),"Valid Format","Invalid Format")</f>
        <v>Valid Format</v>
      </c>
      <c r="AJ122" t="str">
        <f>IF(LEFT(C122,LEN(Settings!$B$14))=Settings!$B$14,"Valid Format","Invalid Format")</f>
        <v>Valid Format</v>
      </c>
      <c r="AK122" t="str">
        <f>IF(COUNTIF(Master_Data!$G$5:$G$14,C122)=1,"Known Customer","Customer Not in Master")</f>
        <v>Customer Not in Master</v>
      </c>
      <c r="AL122" t="str">
        <f>IF(U122&gt;=Settings!$B$11,"Target Met","Below Target")</f>
        <v>Below Target</v>
      </c>
      <c r="AM122" t="str">
        <f>IF(YEAR(B122)=Settings!$B$5,"Correct Year","Wrong Year")</f>
        <v>Correct Year</v>
      </c>
      <c r="AN122">
        <f t="shared" si="21"/>
        <v>3</v>
      </c>
    </row>
    <row r="123" spans="1:40">
      <c r="A123" t="str">
        <f>Raw_Data!A123</f>
        <v>ORD-10122</v>
      </c>
      <c r="B123" s="13">
        <f>Raw_Data!B123</f>
        <v>45707</v>
      </c>
      <c r="C123" t="str">
        <f>Raw_Data!C123</f>
        <v>C1050</v>
      </c>
      <c r="D123" t="str">
        <f>Raw_Data!D123</f>
        <v>client117@example.com</v>
      </c>
      <c r="E123" t="str">
        <f>Raw_Data!E123</f>
        <v>P1002</v>
      </c>
      <c r="F123" t="str">
        <f>Raw_Data!F123</f>
        <v>Wireless Mouse</v>
      </c>
      <c r="G123" t="str">
        <f>Raw_Data!G123</f>
        <v>Accessories</v>
      </c>
      <c r="H123" t="str">
        <f>Raw_Data!H123</f>
        <v>South</v>
      </c>
      <c r="I123" t="str">
        <f>Raw_Data!I123</f>
        <v>Marketplace</v>
      </c>
      <c r="J123" t="str">
        <f>Raw_Data!J123</f>
        <v>Ioana Pavel</v>
      </c>
      <c r="K123">
        <f>Raw_Data!K123</f>
        <v>4</v>
      </c>
      <c r="L123" s="12">
        <f>Raw_Data!L123</f>
        <v>85</v>
      </c>
      <c r="M123" s="12">
        <f>Raw_Data!M123</f>
        <v>44</v>
      </c>
      <c r="N123" s="14">
        <f>Raw_Data!N123</f>
        <v>0.15</v>
      </c>
      <c r="O123" t="str">
        <f>Raw_Data!O123</f>
        <v>Online Wallet</v>
      </c>
      <c r="P123" t="str">
        <f>Raw_Data!P123</f>
        <v>Completed</v>
      </c>
      <c r="Q123" s="12">
        <f t="shared" si="11"/>
        <v>340</v>
      </c>
      <c r="R123" s="12">
        <f t="shared" si="12"/>
        <v>289</v>
      </c>
      <c r="S123" s="12">
        <f t="shared" si="13"/>
        <v>176</v>
      </c>
      <c r="T123" s="12">
        <f t="shared" si="14"/>
        <v>113</v>
      </c>
      <c r="U123" s="11">
        <f t="shared" si="15"/>
        <v>0.39100346020761245</v>
      </c>
      <c r="V123" t="str">
        <f>IF(OR(A123="",COUNTIF($A$2:$A$301,A123)&gt;1,C123="",D123="",ISERROR(SEARCH("@",D123)),ISERROR(SEARCH(".",D123)),COUNTIF(Lookups!$A$2:$A$11,E123)=0,F123="",H123="",K123&lt;=0,L123&lt;0,M123&lt;0,N123&lt;0,N123&gt;0.5,COUNTIF(Lookups!$K$2:$K$4,P123)=0),"ERROR","VALID")</f>
        <v>VALID</v>
      </c>
      <c r="W123" s="2" t="str">
        <f>IF(A123="","Missing Order ID; ","")&amp;IF(COUNTIF($A$2:$A$301,A123)&gt;1,"Duplicate Order ID; ","")&amp;IF(C123="","Missing Customer ID; ","")&amp;IF(OR(D123="",ISERROR(SEARCH("@",D123)),ISERROR(SEARCH(".",D123))),"Invalid Email; ","")&amp;IF(COUNTIF(Lookups!$A$2:$A$11,E123)=0,"Unknown Product; ","")&amp;IF(F123="","Missing Product Name; ","")&amp;IF(H123="","Missing Region; ","")&amp;IF(K123&lt;=0,"Invalid Quantity; ","")&amp;IF(L123&lt;0,"Invalid Price; ","")&amp;IF(M123&lt;0,"Invalid Cost; ","")&amp;IF(OR(N123&lt;0,N123&gt;0.5),"Invalid Discount; ","")&amp;IF(COUNTIF(Lookups!$K$2:$K$4,P123)=0,"Invalid Status; ","")</f>
        <v/>
      </c>
      <c r="X123" s="15" t="str">
        <f t="shared" si="16"/>
        <v>2025-02</v>
      </c>
      <c r="Y123" t="str">
        <f t="shared" si="17"/>
        <v>Q1</v>
      </c>
      <c r="Z123" t="str">
        <f>IF(R123&gt;=Settings!$B$9,"High Value Customer",IF(R123&gt;=Settings!$B$10,"Medium Value Customer","Standard Customer"))</f>
        <v>Standard Customer</v>
      </c>
      <c r="AA123" t="str">
        <f>IF(R123&gt;=Settings!$B$9,"Large Order",IF(R123&gt;=Settings!$B$10,"Medium Order","Small Order"))</f>
        <v>Small Order</v>
      </c>
      <c r="AB123" t="str">
        <f>IF(N123=0,"No Discount",IF(N123&lt;=0.1,"Low Discount",IF(N123&lt;=Settings!$B$8,"Medium Discount","High Discount")))</f>
        <v>Medium Discount</v>
      </c>
      <c r="AC123" t="str">
        <f t="shared" si="18"/>
        <v>Profitable</v>
      </c>
      <c r="AD123" t="str">
        <f>IFERROR(VLOOKUP(E123,Lookups!$A$2:$E$11,2,FALSE),"Product Not Found")</f>
        <v>Wireless Mouse</v>
      </c>
      <c r="AE123" t="str">
        <f>IFERROR(VLOOKUP(E123,Lookups!$A$2:$E$11,3,FALSE),"Category Not Found")</f>
        <v>Accessories</v>
      </c>
      <c r="AF123" t="str">
        <f>IFERROR(IF(L123=VLOOKUP(E123,Lookups!$A$2:$E$11,4,FALSE),"Price OK","Price Mismatch"),"Product Missing")</f>
        <v>Price OK</v>
      </c>
      <c r="AG123" t="str">
        <f t="shared" si="19"/>
        <v>Valid Email</v>
      </c>
      <c r="AH123" t="str">
        <f t="shared" si="20"/>
        <v>READY FOR REPORTING</v>
      </c>
      <c r="AI123" t="str">
        <f>IF(AND(LEFT(A123,LEN(Settings!$B$13))=Settings!$B$13,LEN(A123)=9),"Valid Format","Invalid Format")</f>
        <v>Valid Format</v>
      </c>
      <c r="AJ123" t="str">
        <f>IF(LEFT(C123,LEN(Settings!$B$14))=Settings!$B$14,"Valid Format","Invalid Format")</f>
        <v>Valid Format</v>
      </c>
      <c r="AK123" t="str">
        <f>IF(COUNTIF(Master_Data!$G$5:$G$14,C123)=1,"Known Customer","Customer Not in Master")</f>
        <v>Customer Not in Master</v>
      </c>
      <c r="AL123" t="str">
        <f>IF(U123&gt;=Settings!$B$11,"Target Met","Below Target")</f>
        <v>Target Met</v>
      </c>
      <c r="AM123" t="str">
        <f>IF(YEAR(B123)=Settings!$B$5,"Correct Year","Wrong Year")</f>
        <v>Correct Year</v>
      </c>
      <c r="AN123">
        <f t="shared" si="21"/>
        <v>4</v>
      </c>
    </row>
    <row r="124" spans="1:40">
      <c r="A124" t="str">
        <f>Raw_Data!A124</f>
        <v>ORD-10123</v>
      </c>
      <c r="B124" s="13">
        <f>Raw_Data!B124</f>
        <v>45737</v>
      </c>
      <c r="C124" t="str">
        <f>Raw_Data!C124</f>
        <v>C1107</v>
      </c>
      <c r="D124" t="str">
        <f>Raw_Data!D124</f>
        <v>client126@example.com</v>
      </c>
      <c r="E124" t="str">
        <f>Raw_Data!E124</f>
        <v>P1010</v>
      </c>
      <c r="F124" t="str">
        <f>Raw_Data!F124</f>
        <v>Headset</v>
      </c>
      <c r="G124" t="str">
        <f>Raw_Data!G124</f>
        <v>Electronics</v>
      </c>
      <c r="H124" t="str">
        <f>Raw_Data!H124</f>
        <v>West</v>
      </c>
      <c r="I124" t="str">
        <f>Raw_Data!I124</f>
        <v>Store</v>
      </c>
      <c r="J124" t="str">
        <f>Raw_Data!J124</f>
        <v>Elena Stan</v>
      </c>
      <c r="K124">
        <f>Raw_Data!K124</f>
        <v>7</v>
      </c>
      <c r="L124" s="12">
        <f>Raw_Data!L124</f>
        <v>195</v>
      </c>
      <c r="M124" s="12">
        <f>Raw_Data!M124</f>
        <v>105</v>
      </c>
      <c r="N124" s="14">
        <f>Raw_Data!N124</f>
        <v>0.2</v>
      </c>
      <c r="O124" t="str">
        <f>Raw_Data!O124</f>
        <v>Card</v>
      </c>
      <c r="P124" t="str">
        <f>Raw_Data!P124</f>
        <v>Completed</v>
      </c>
      <c r="Q124" s="12">
        <f t="shared" si="11"/>
        <v>1365</v>
      </c>
      <c r="R124" s="12">
        <f t="shared" si="12"/>
        <v>1092</v>
      </c>
      <c r="S124" s="12">
        <f t="shared" si="13"/>
        <v>735</v>
      </c>
      <c r="T124" s="12">
        <f t="shared" si="14"/>
        <v>357</v>
      </c>
      <c r="U124" s="11">
        <f t="shared" si="15"/>
        <v>0.32692307692307693</v>
      </c>
      <c r="V124" t="str">
        <f>IF(OR(A124="",COUNTIF($A$2:$A$301,A124)&gt;1,C124="",D124="",ISERROR(SEARCH("@",D124)),ISERROR(SEARCH(".",D124)),COUNTIF(Lookups!$A$2:$A$11,E124)=0,F124="",H124="",K124&lt;=0,L124&lt;0,M124&lt;0,N124&lt;0,N124&gt;0.5,COUNTIF(Lookups!$K$2:$K$4,P124)=0),"ERROR","VALID")</f>
        <v>VALID</v>
      </c>
      <c r="W124" s="2" t="str">
        <f>IF(A124="","Missing Order ID; ","")&amp;IF(COUNTIF($A$2:$A$301,A124)&gt;1,"Duplicate Order ID; ","")&amp;IF(C124="","Missing Customer ID; ","")&amp;IF(OR(D124="",ISERROR(SEARCH("@",D124)),ISERROR(SEARCH(".",D124))),"Invalid Email; ","")&amp;IF(COUNTIF(Lookups!$A$2:$A$11,E124)=0,"Unknown Product; ","")&amp;IF(F124="","Missing Product Name; ","")&amp;IF(H124="","Missing Region; ","")&amp;IF(K124&lt;=0,"Invalid Quantity; ","")&amp;IF(L124&lt;0,"Invalid Price; ","")&amp;IF(M124&lt;0,"Invalid Cost; ","")&amp;IF(OR(N124&lt;0,N124&gt;0.5),"Invalid Discount; ","")&amp;IF(COUNTIF(Lookups!$K$2:$K$4,P124)=0,"Invalid Status; ","")</f>
        <v/>
      </c>
      <c r="X124" s="15" t="str">
        <f t="shared" si="16"/>
        <v>2025-03</v>
      </c>
      <c r="Y124" t="str">
        <f t="shared" si="17"/>
        <v>Q1</v>
      </c>
      <c r="Z124" t="str">
        <f>IF(R124&gt;=Settings!$B$9,"High Value Customer",IF(R124&gt;=Settings!$B$10,"Medium Value Customer","Standard Customer"))</f>
        <v>Standard Customer</v>
      </c>
      <c r="AA124" t="str">
        <f>IF(R124&gt;=Settings!$B$9,"Large Order",IF(R124&gt;=Settings!$B$10,"Medium Order","Small Order"))</f>
        <v>Small Order</v>
      </c>
      <c r="AB124" t="str">
        <f>IF(N124=0,"No Discount",IF(N124&lt;=0.1,"Low Discount",IF(N124&lt;=Settings!$B$8,"Medium Discount","High Discount")))</f>
        <v>Medium Discount</v>
      </c>
      <c r="AC124" t="str">
        <f t="shared" si="18"/>
        <v>Profitable</v>
      </c>
      <c r="AD124" t="str">
        <f>IFERROR(VLOOKUP(E124,Lookups!$A$2:$E$11,2,FALSE),"Product Not Found")</f>
        <v>Headset</v>
      </c>
      <c r="AE124" t="str">
        <f>IFERROR(VLOOKUP(E124,Lookups!$A$2:$E$11,3,FALSE),"Category Not Found")</f>
        <v>Electronics</v>
      </c>
      <c r="AF124" t="str">
        <f>IFERROR(IF(L124=VLOOKUP(E124,Lookups!$A$2:$E$11,4,FALSE),"Price OK","Price Mismatch"),"Product Missing")</f>
        <v>Price OK</v>
      </c>
      <c r="AG124" t="str">
        <f t="shared" si="19"/>
        <v>Valid Email</v>
      </c>
      <c r="AH124" t="str">
        <f t="shared" si="20"/>
        <v>READY FOR REPORTING</v>
      </c>
      <c r="AI124" t="str">
        <f>IF(AND(LEFT(A124,LEN(Settings!$B$13))=Settings!$B$13,LEN(A124)=9),"Valid Format","Invalid Format")</f>
        <v>Valid Format</v>
      </c>
      <c r="AJ124" t="str">
        <f>IF(LEFT(C124,LEN(Settings!$B$14))=Settings!$B$14,"Valid Format","Invalid Format")</f>
        <v>Valid Format</v>
      </c>
      <c r="AK124" t="str">
        <f>IF(COUNTIF(Master_Data!$G$5:$G$14,C124)=1,"Known Customer","Customer Not in Master")</f>
        <v>Customer Not in Master</v>
      </c>
      <c r="AL124" t="str">
        <f>IF(U124&gt;=Settings!$B$11,"Target Met","Below Target")</f>
        <v>Target Met</v>
      </c>
      <c r="AM124" t="str">
        <f>IF(YEAR(B124)=Settings!$B$5,"Correct Year","Wrong Year")</f>
        <v>Correct Year</v>
      </c>
      <c r="AN124">
        <f t="shared" si="21"/>
        <v>4</v>
      </c>
    </row>
    <row r="125" spans="1:40">
      <c r="A125" t="str">
        <f>Raw_Data!A125</f>
        <v>ORD-10124</v>
      </c>
      <c r="B125" s="13">
        <f>Raw_Data!B125</f>
        <v>45769</v>
      </c>
      <c r="C125" t="str">
        <f>Raw_Data!C125</f>
        <v>C1110</v>
      </c>
      <c r="D125" t="str">
        <f>Raw_Data!D125</f>
        <v>client93@example.com</v>
      </c>
      <c r="E125" t="str">
        <f>Raw_Data!E125</f>
        <v>P1006</v>
      </c>
      <c r="F125" t="str">
        <f>Raw_Data!F125</f>
        <v>27-inch Monitor</v>
      </c>
      <c r="G125" t="str">
        <f>Raw_Data!G125</f>
        <v>Electronics</v>
      </c>
      <c r="H125" t="str">
        <f>Raw_Data!H125</f>
        <v>Bucharest</v>
      </c>
      <c r="I125" t="str">
        <f>Raw_Data!I125</f>
        <v>Marketplace</v>
      </c>
      <c r="J125" t="str">
        <f>Raw_Data!J125</f>
        <v>Elena Stan</v>
      </c>
      <c r="K125">
        <f>Raw_Data!K125</f>
        <v>8</v>
      </c>
      <c r="L125" s="12">
        <f>Raw_Data!L125</f>
        <v>1090</v>
      </c>
      <c r="M125" s="12">
        <f>Raw_Data!M125</f>
        <v>790</v>
      </c>
      <c r="N125" s="14">
        <f>Raw_Data!N125</f>
        <v>0.1</v>
      </c>
      <c r="O125" t="str">
        <f>Raw_Data!O125</f>
        <v>Cash</v>
      </c>
      <c r="P125" t="str">
        <f>Raw_Data!P125</f>
        <v>Completed</v>
      </c>
      <c r="Q125" s="12">
        <f t="shared" si="11"/>
        <v>8720</v>
      </c>
      <c r="R125" s="12">
        <f t="shared" si="12"/>
        <v>7848</v>
      </c>
      <c r="S125" s="12">
        <f t="shared" si="13"/>
        <v>6320</v>
      </c>
      <c r="T125" s="12">
        <f t="shared" si="14"/>
        <v>1528</v>
      </c>
      <c r="U125" s="11">
        <f t="shared" si="15"/>
        <v>0.19469928644240569</v>
      </c>
      <c r="V125" t="str">
        <f>IF(OR(A125="",COUNTIF($A$2:$A$301,A125)&gt;1,C125="",D125="",ISERROR(SEARCH("@",D125)),ISERROR(SEARCH(".",D125)),COUNTIF(Lookups!$A$2:$A$11,E125)=0,F125="",H125="",K125&lt;=0,L125&lt;0,M125&lt;0,N125&lt;0,N125&gt;0.5,COUNTIF(Lookups!$K$2:$K$4,P125)=0),"ERROR","VALID")</f>
        <v>VALID</v>
      </c>
      <c r="W125" s="2" t="str">
        <f>IF(A125="","Missing Order ID; ","")&amp;IF(COUNTIF($A$2:$A$301,A125)&gt;1,"Duplicate Order ID; ","")&amp;IF(C125="","Missing Customer ID; ","")&amp;IF(OR(D125="",ISERROR(SEARCH("@",D125)),ISERROR(SEARCH(".",D125))),"Invalid Email; ","")&amp;IF(COUNTIF(Lookups!$A$2:$A$11,E125)=0,"Unknown Product; ","")&amp;IF(F125="","Missing Product Name; ","")&amp;IF(H125="","Missing Region; ","")&amp;IF(K125&lt;=0,"Invalid Quantity; ","")&amp;IF(L125&lt;0,"Invalid Price; ","")&amp;IF(M125&lt;0,"Invalid Cost; ","")&amp;IF(OR(N125&lt;0,N125&gt;0.5),"Invalid Discount; ","")&amp;IF(COUNTIF(Lookups!$K$2:$K$4,P125)=0,"Invalid Status; ","")</f>
        <v/>
      </c>
      <c r="X125" s="15" t="str">
        <f t="shared" si="16"/>
        <v>2025-04</v>
      </c>
      <c r="Y125" t="str">
        <f t="shared" si="17"/>
        <v>Q2</v>
      </c>
      <c r="Z125" t="str">
        <f>IF(R125&gt;=Settings!$B$9,"High Value Customer",IF(R125&gt;=Settings!$B$10,"Medium Value Customer","Standard Customer"))</f>
        <v>High Value Customer</v>
      </c>
      <c r="AA125" t="str">
        <f>IF(R125&gt;=Settings!$B$9,"Large Order",IF(R125&gt;=Settings!$B$10,"Medium Order","Small Order"))</f>
        <v>Large Order</v>
      </c>
      <c r="AB125" t="str">
        <f>IF(N125=0,"No Discount",IF(N125&lt;=0.1,"Low Discount",IF(N125&lt;=Settings!$B$8,"Medium Discount","High Discount")))</f>
        <v>Low Discount</v>
      </c>
      <c r="AC125" t="str">
        <f t="shared" si="18"/>
        <v>Profitable</v>
      </c>
      <c r="AD125" t="str">
        <f>IFERROR(VLOOKUP(E125,Lookups!$A$2:$E$11,2,FALSE),"Product Not Found")</f>
        <v>27-inch Monitor</v>
      </c>
      <c r="AE125" t="str">
        <f>IFERROR(VLOOKUP(E125,Lookups!$A$2:$E$11,3,FALSE),"Category Not Found")</f>
        <v>Electronics</v>
      </c>
      <c r="AF125" t="str">
        <f>IFERROR(IF(L125=VLOOKUP(E125,Lookups!$A$2:$E$11,4,FALSE),"Price OK","Price Mismatch"),"Product Missing")</f>
        <v>Price OK</v>
      </c>
      <c r="AG125" t="str">
        <f t="shared" si="19"/>
        <v>Valid Email</v>
      </c>
      <c r="AH125" t="str">
        <f t="shared" si="20"/>
        <v>READY FOR REPORTING</v>
      </c>
      <c r="AI125" t="str">
        <f>IF(AND(LEFT(A125,LEN(Settings!$B$13))=Settings!$B$13,LEN(A125)=9),"Valid Format","Invalid Format")</f>
        <v>Valid Format</v>
      </c>
      <c r="AJ125" t="str">
        <f>IF(LEFT(C125,LEN(Settings!$B$14))=Settings!$B$14,"Valid Format","Invalid Format")</f>
        <v>Valid Format</v>
      </c>
      <c r="AK125" t="str">
        <f>IF(COUNTIF(Master_Data!$G$5:$G$14,C125)=1,"Known Customer","Customer Not in Master")</f>
        <v>Customer Not in Master</v>
      </c>
      <c r="AL125" t="str">
        <f>IF(U125&gt;=Settings!$B$11,"Target Met","Below Target")</f>
        <v>Below Target</v>
      </c>
      <c r="AM125" t="str">
        <f>IF(YEAR(B125)=Settings!$B$5,"Correct Year","Wrong Year")</f>
        <v>Correct Year</v>
      </c>
      <c r="AN125">
        <f t="shared" si="21"/>
        <v>3</v>
      </c>
    </row>
    <row r="126" spans="1:40">
      <c r="A126" t="str">
        <f>Raw_Data!A126</f>
        <v>ORD-10125</v>
      </c>
      <c r="B126" s="13">
        <f>Raw_Data!B126</f>
        <v>45861</v>
      </c>
      <c r="C126" t="str">
        <f>Raw_Data!C126</f>
        <v>C1122</v>
      </c>
      <c r="D126" t="str">
        <f>Raw_Data!D126</f>
        <v>client117@example.com</v>
      </c>
      <c r="E126" t="str">
        <f>Raw_Data!E126</f>
        <v>P1001</v>
      </c>
      <c r="F126" t="str">
        <f>Raw_Data!F126</f>
        <v>Laptop Stand</v>
      </c>
      <c r="G126" t="str">
        <f>Raw_Data!G126</f>
        <v>Accessories</v>
      </c>
      <c r="H126" t="str">
        <f>Raw_Data!H126</f>
        <v>Bucharest</v>
      </c>
      <c r="I126" t="str">
        <f>Raw_Data!I126</f>
        <v>Marketplace</v>
      </c>
      <c r="J126" t="str">
        <f>Raw_Data!J126</f>
        <v>Maria Ionescu</v>
      </c>
      <c r="K126">
        <f>Raw_Data!K126</f>
        <v>5</v>
      </c>
      <c r="L126" s="12">
        <f>Raw_Data!L126</f>
        <v>95</v>
      </c>
      <c r="M126" s="12">
        <f>Raw_Data!M126</f>
        <v>52</v>
      </c>
      <c r="N126" s="14">
        <f>Raw_Data!N126</f>
        <v>0</v>
      </c>
      <c r="O126" t="str">
        <f>Raw_Data!O126</f>
        <v>Card</v>
      </c>
      <c r="P126" t="str">
        <f>Raw_Data!P126</f>
        <v>Completed</v>
      </c>
      <c r="Q126" s="12">
        <f t="shared" si="11"/>
        <v>475</v>
      </c>
      <c r="R126" s="12">
        <f t="shared" si="12"/>
        <v>475</v>
      </c>
      <c r="S126" s="12">
        <f t="shared" si="13"/>
        <v>260</v>
      </c>
      <c r="T126" s="12">
        <f t="shared" si="14"/>
        <v>215</v>
      </c>
      <c r="U126" s="11">
        <f t="shared" si="15"/>
        <v>0.45263157894736844</v>
      </c>
      <c r="V126" t="str">
        <f>IF(OR(A126="",COUNTIF($A$2:$A$301,A126)&gt;1,C126="",D126="",ISERROR(SEARCH("@",D126)),ISERROR(SEARCH(".",D126)),COUNTIF(Lookups!$A$2:$A$11,E126)=0,F126="",H126="",K126&lt;=0,L126&lt;0,M126&lt;0,N126&lt;0,N126&gt;0.5,COUNTIF(Lookups!$K$2:$K$4,P126)=0),"ERROR","VALID")</f>
        <v>VALID</v>
      </c>
      <c r="W126" s="2" t="str">
        <f>IF(A126="","Missing Order ID; ","")&amp;IF(COUNTIF($A$2:$A$301,A126)&gt;1,"Duplicate Order ID; ","")&amp;IF(C126="","Missing Customer ID; ","")&amp;IF(OR(D126="",ISERROR(SEARCH("@",D126)),ISERROR(SEARCH(".",D126))),"Invalid Email; ","")&amp;IF(COUNTIF(Lookups!$A$2:$A$11,E126)=0,"Unknown Product; ","")&amp;IF(F126="","Missing Product Name; ","")&amp;IF(H126="","Missing Region; ","")&amp;IF(K126&lt;=0,"Invalid Quantity; ","")&amp;IF(L126&lt;0,"Invalid Price; ","")&amp;IF(M126&lt;0,"Invalid Cost; ","")&amp;IF(OR(N126&lt;0,N126&gt;0.5),"Invalid Discount; ","")&amp;IF(COUNTIF(Lookups!$K$2:$K$4,P126)=0,"Invalid Status; ","")</f>
        <v/>
      </c>
      <c r="X126" s="15" t="str">
        <f t="shared" si="16"/>
        <v>2025-07</v>
      </c>
      <c r="Y126" t="str">
        <f t="shared" si="17"/>
        <v>Q3</v>
      </c>
      <c r="Z126" t="str">
        <f>IF(R126&gt;=Settings!$B$9,"High Value Customer",IF(R126&gt;=Settings!$B$10,"Medium Value Customer","Standard Customer"))</f>
        <v>Standard Customer</v>
      </c>
      <c r="AA126" t="str">
        <f>IF(R126&gt;=Settings!$B$9,"Large Order",IF(R126&gt;=Settings!$B$10,"Medium Order","Small Order"))</f>
        <v>Small Order</v>
      </c>
      <c r="AB126" t="str">
        <f>IF(N126=0,"No Discount",IF(N126&lt;=0.1,"Low Discount",IF(N126&lt;=Settings!$B$8,"Medium Discount","High Discount")))</f>
        <v>No Discount</v>
      </c>
      <c r="AC126" t="str">
        <f t="shared" si="18"/>
        <v>Profitable</v>
      </c>
      <c r="AD126" t="str">
        <f>IFERROR(VLOOKUP(E126,Lookups!$A$2:$E$11,2,FALSE),"Product Not Found")</f>
        <v>Laptop Stand</v>
      </c>
      <c r="AE126" t="str">
        <f>IFERROR(VLOOKUP(E126,Lookups!$A$2:$E$11,3,FALSE),"Category Not Found")</f>
        <v>Accessories</v>
      </c>
      <c r="AF126" t="str">
        <f>IFERROR(IF(L126=VLOOKUP(E126,Lookups!$A$2:$E$11,4,FALSE),"Price OK","Price Mismatch"),"Product Missing")</f>
        <v>Price OK</v>
      </c>
      <c r="AG126" t="str">
        <f t="shared" si="19"/>
        <v>Valid Email</v>
      </c>
      <c r="AH126" t="str">
        <f t="shared" si="20"/>
        <v>READY FOR REPORTING</v>
      </c>
      <c r="AI126" t="str">
        <f>IF(AND(LEFT(A126,LEN(Settings!$B$13))=Settings!$B$13,LEN(A126)=9),"Valid Format","Invalid Format")</f>
        <v>Valid Format</v>
      </c>
      <c r="AJ126" t="str">
        <f>IF(LEFT(C126,LEN(Settings!$B$14))=Settings!$B$14,"Valid Format","Invalid Format")</f>
        <v>Valid Format</v>
      </c>
      <c r="AK126" t="str">
        <f>IF(COUNTIF(Master_Data!$G$5:$G$14,C126)=1,"Known Customer","Customer Not in Master")</f>
        <v>Customer Not in Master</v>
      </c>
      <c r="AL126" t="str">
        <f>IF(U126&gt;=Settings!$B$11,"Target Met","Below Target")</f>
        <v>Target Met</v>
      </c>
      <c r="AM126" t="str">
        <f>IF(YEAR(B126)=Settings!$B$5,"Correct Year","Wrong Year")</f>
        <v>Correct Year</v>
      </c>
      <c r="AN126">
        <f t="shared" si="21"/>
        <v>4</v>
      </c>
    </row>
    <row r="127" spans="1:40">
      <c r="A127" t="str">
        <f>Raw_Data!A127</f>
        <v>ORD-10126</v>
      </c>
      <c r="B127" s="13">
        <f>Raw_Data!B127</f>
        <v>45828</v>
      </c>
      <c r="C127" t="str">
        <f>Raw_Data!C127</f>
        <v>C1027</v>
      </c>
      <c r="D127" t="str">
        <f>Raw_Data!D127</f>
        <v>client18@example.com</v>
      </c>
      <c r="E127" t="str">
        <f>Raw_Data!E127</f>
        <v>P1001</v>
      </c>
      <c r="F127" t="str">
        <f>Raw_Data!F127</f>
        <v>Laptop Stand</v>
      </c>
      <c r="G127" t="str">
        <f>Raw_Data!G127</f>
        <v>Accessories</v>
      </c>
      <c r="H127" t="str">
        <f>Raw_Data!H127</f>
        <v>West</v>
      </c>
      <c r="I127" t="str">
        <f>Raw_Data!I127</f>
        <v>Online</v>
      </c>
      <c r="J127" t="str">
        <f>Raw_Data!J127</f>
        <v>Ioana Pavel</v>
      </c>
      <c r="K127">
        <f>Raw_Data!K127</f>
        <v>4</v>
      </c>
      <c r="L127" s="12">
        <f>Raw_Data!L127</f>
        <v>95</v>
      </c>
      <c r="M127" s="12">
        <f>Raw_Data!M127</f>
        <v>52</v>
      </c>
      <c r="N127" s="14">
        <f>Raw_Data!N127</f>
        <v>0</v>
      </c>
      <c r="O127" t="str">
        <f>Raw_Data!O127</f>
        <v>Bank Transfer</v>
      </c>
      <c r="P127" t="str">
        <f>Raw_Data!P127</f>
        <v>Returned</v>
      </c>
      <c r="Q127" s="12">
        <f t="shared" si="11"/>
        <v>380</v>
      </c>
      <c r="R127" s="12">
        <f t="shared" si="12"/>
        <v>380</v>
      </c>
      <c r="S127" s="12">
        <f t="shared" si="13"/>
        <v>208</v>
      </c>
      <c r="T127" s="12">
        <f t="shared" si="14"/>
        <v>172</v>
      </c>
      <c r="U127" s="11">
        <f t="shared" si="15"/>
        <v>0.45263157894736844</v>
      </c>
      <c r="V127" t="str">
        <f>IF(OR(A127="",COUNTIF($A$2:$A$301,A127)&gt;1,C127="",D127="",ISERROR(SEARCH("@",D127)),ISERROR(SEARCH(".",D127)),COUNTIF(Lookups!$A$2:$A$11,E127)=0,F127="",H127="",K127&lt;=0,L127&lt;0,M127&lt;0,N127&lt;0,N127&gt;0.5,COUNTIF(Lookups!$K$2:$K$4,P127)=0),"ERROR","VALID")</f>
        <v>VALID</v>
      </c>
      <c r="W127" s="2" t="str">
        <f>IF(A127="","Missing Order ID; ","")&amp;IF(COUNTIF($A$2:$A$301,A127)&gt;1,"Duplicate Order ID; ","")&amp;IF(C127="","Missing Customer ID; ","")&amp;IF(OR(D127="",ISERROR(SEARCH("@",D127)),ISERROR(SEARCH(".",D127))),"Invalid Email; ","")&amp;IF(COUNTIF(Lookups!$A$2:$A$11,E127)=0,"Unknown Product; ","")&amp;IF(F127="","Missing Product Name; ","")&amp;IF(H127="","Missing Region; ","")&amp;IF(K127&lt;=0,"Invalid Quantity; ","")&amp;IF(L127&lt;0,"Invalid Price; ","")&amp;IF(M127&lt;0,"Invalid Cost; ","")&amp;IF(OR(N127&lt;0,N127&gt;0.5),"Invalid Discount; ","")&amp;IF(COUNTIF(Lookups!$K$2:$K$4,P127)=0,"Invalid Status; ","")</f>
        <v/>
      </c>
      <c r="X127" s="15" t="str">
        <f t="shared" si="16"/>
        <v>2025-06</v>
      </c>
      <c r="Y127" t="str">
        <f t="shared" si="17"/>
        <v>Q2</v>
      </c>
      <c r="Z127" t="str">
        <f>IF(R127&gt;=Settings!$B$9,"High Value Customer",IF(R127&gt;=Settings!$B$10,"Medium Value Customer","Standard Customer"))</f>
        <v>Standard Customer</v>
      </c>
      <c r="AA127" t="str">
        <f>IF(R127&gt;=Settings!$B$9,"Large Order",IF(R127&gt;=Settings!$B$10,"Medium Order","Small Order"))</f>
        <v>Small Order</v>
      </c>
      <c r="AB127" t="str">
        <f>IF(N127=0,"No Discount",IF(N127&lt;=0.1,"Low Discount",IF(N127&lt;=Settings!$B$8,"Medium Discount","High Discount")))</f>
        <v>No Discount</v>
      </c>
      <c r="AC127" t="str">
        <f t="shared" si="18"/>
        <v>Profitable</v>
      </c>
      <c r="AD127" t="str">
        <f>IFERROR(VLOOKUP(E127,Lookups!$A$2:$E$11,2,FALSE),"Product Not Found")</f>
        <v>Laptop Stand</v>
      </c>
      <c r="AE127" t="str">
        <f>IFERROR(VLOOKUP(E127,Lookups!$A$2:$E$11,3,FALSE),"Category Not Found")</f>
        <v>Accessories</v>
      </c>
      <c r="AF127" t="str">
        <f>IFERROR(IF(L127=VLOOKUP(E127,Lookups!$A$2:$E$11,4,FALSE),"Price OK","Price Mismatch"),"Product Missing")</f>
        <v>Price OK</v>
      </c>
      <c r="AG127" t="str">
        <f t="shared" si="19"/>
        <v>Valid Email</v>
      </c>
      <c r="AH127" t="str">
        <f t="shared" si="20"/>
        <v>READY FOR REPORTING</v>
      </c>
      <c r="AI127" t="str">
        <f>IF(AND(LEFT(A127,LEN(Settings!$B$13))=Settings!$B$13,LEN(A127)=9),"Valid Format","Invalid Format")</f>
        <v>Valid Format</v>
      </c>
      <c r="AJ127" t="str">
        <f>IF(LEFT(C127,LEN(Settings!$B$14))=Settings!$B$14,"Valid Format","Invalid Format")</f>
        <v>Valid Format</v>
      </c>
      <c r="AK127" t="str">
        <f>IF(COUNTIF(Master_Data!$G$5:$G$14,C127)=1,"Known Customer","Customer Not in Master")</f>
        <v>Customer Not in Master</v>
      </c>
      <c r="AL127" t="str">
        <f>IF(U127&gt;=Settings!$B$11,"Target Met","Below Target")</f>
        <v>Target Met</v>
      </c>
      <c r="AM127" t="str">
        <f>IF(YEAR(B127)=Settings!$B$5,"Correct Year","Wrong Year")</f>
        <v>Correct Year</v>
      </c>
      <c r="AN127">
        <f t="shared" si="21"/>
        <v>4</v>
      </c>
    </row>
    <row r="128" spans="1:40">
      <c r="A128" t="str">
        <f>Raw_Data!A128</f>
        <v>ORD-10127</v>
      </c>
      <c r="B128" s="13">
        <f>Raw_Data!B128</f>
        <v>45826</v>
      </c>
      <c r="C128" t="str">
        <f>Raw_Data!C128</f>
        <v>C1036</v>
      </c>
      <c r="D128" t="str">
        <f>Raw_Data!D128</f>
        <v>client38@example.com</v>
      </c>
      <c r="E128" t="str">
        <f>Raw_Data!E128</f>
        <v>P1004</v>
      </c>
      <c r="F128" t="str">
        <f>Raw_Data!F128</f>
        <v>USB-C Hub</v>
      </c>
      <c r="G128" t="str">
        <f>Raw_Data!G128</f>
        <v>Accessories</v>
      </c>
      <c r="H128" t="str">
        <f>Raw_Data!H128</f>
        <v>North</v>
      </c>
      <c r="I128" t="str">
        <f>Raw_Data!I128</f>
        <v>Marketplace</v>
      </c>
      <c r="J128" t="str">
        <f>Raw_Data!J128</f>
        <v>Elena Stan</v>
      </c>
      <c r="K128">
        <f>Raw_Data!K128</f>
        <v>3</v>
      </c>
      <c r="L128" s="12">
        <f>Raw_Data!L128</f>
        <v>175</v>
      </c>
      <c r="M128" s="12">
        <f>Raw_Data!M128</f>
        <v>98</v>
      </c>
      <c r="N128" s="14">
        <f>Raw_Data!N128</f>
        <v>0.15</v>
      </c>
      <c r="O128" t="str">
        <f>Raw_Data!O128</f>
        <v>Bank Transfer</v>
      </c>
      <c r="P128" t="str">
        <f>Raw_Data!P128</f>
        <v>Completed</v>
      </c>
      <c r="Q128" s="12">
        <f t="shared" si="11"/>
        <v>525</v>
      </c>
      <c r="R128" s="12">
        <f t="shared" si="12"/>
        <v>446.25</v>
      </c>
      <c r="S128" s="12">
        <f t="shared" si="13"/>
        <v>294</v>
      </c>
      <c r="T128" s="12">
        <f t="shared" si="14"/>
        <v>152.25</v>
      </c>
      <c r="U128" s="11">
        <f t="shared" si="15"/>
        <v>0.3411764705882353</v>
      </c>
      <c r="V128" t="str">
        <f>IF(OR(A128="",COUNTIF($A$2:$A$301,A128)&gt;1,C128="",D128="",ISERROR(SEARCH("@",D128)),ISERROR(SEARCH(".",D128)),COUNTIF(Lookups!$A$2:$A$11,E128)=0,F128="",H128="",K128&lt;=0,L128&lt;0,M128&lt;0,N128&lt;0,N128&gt;0.5,COUNTIF(Lookups!$K$2:$K$4,P128)=0),"ERROR","VALID")</f>
        <v>VALID</v>
      </c>
      <c r="W128" s="2" t="str">
        <f>IF(A128="","Missing Order ID; ","")&amp;IF(COUNTIF($A$2:$A$301,A128)&gt;1,"Duplicate Order ID; ","")&amp;IF(C128="","Missing Customer ID; ","")&amp;IF(OR(D128="",ISERROR(SEARCH("@",D128)),ISERROR(SEARCH(".",D128))),"Invalid Email; ","")&amp;IF(COUNTIF(Lookups!$A$2:$A$11,E128)=0,"Unknown Product; ","")&amp;IF(F128="","Missing Product Name; ","")&amp;IF(H128="","Missing Region; ","")&amp;IF(K128&lt;=0,"Invalid Quantity; ","")&amp;IF(L128&lt;0,"Invalid Price; ","")&amp;IF(M128&lt;0,"Invalid Cost; ","")&amp;IF(OR(N128&lt;0,N128&gt;0.5),"Invalid Discount; ","")&amp;IF(COUNTIF(Lookups!$K$2:$K$4,P128)=0,"Invalid Status; ","")</f>
        <v/>
      </c>
      <c r="X128" s="15" t="str">
        <f t="shared" si="16"/>
        <v>2025-06</v>
      </c>
      <c r="Y128" t="str">
        <f t="shared" si="17"/>
        <v>Q2</v>
      </c>
      <c r="Z128" t="str">
        <f>IF(R128&gt;=Settings!$B$9,"High Value Customer",IF(R128&gt;=Settings!$B$10,"Medium Value Customer","Standard Customer"))</f>
        <v>Standard Customer</v>
      </c>
      <c r="AA128" t="str">
        <f>IF(R128&gt;=Settings!$B$9,"Large Order",IF(R128&gt;=Settings!$B$10,"Medium Order","Small Order"))</f>
        <v>Small Order</v>
      </c>
      <c r="AB128" t="str">
        <f>IF(N128=0,"No Discount",IF(N128&lt;=0.1,"Low Discount",IF(N128&lt;=Settings!$B$8,"Medium Discount","High Discount")))</f>
        <v>Medium Discount</v>
      </c>
      <c r="AC128" t="str">
        <f t="shared" si="18"/>
        <v>Profitable</v>
      </c>
      <c r="AD128" t="str">
        <f>IFERROR(VLOOKUP(E128,Lookups!$A$2:$E$11,2,FALSE),"Product Not Found")</f>
        <v>USB-C Hub</v>
      </c>
      <c r="AE128" t="str">
        <f>IFERROR(VLOOKUP(E128,Lookups!$A$2:$E$11,3,FALSE),"Category Not Found")</f>
        <v>Accessories</v>
      </c>
      <c r="AF128" t="str">
        <f>IFERROR(IF(L128=VLOOKUP(E128,Lookups!$A$2:$E$11,4,FALSE),"Price OK","Price Mismatch"),"Product Missing")</f>
        <v>Price OK</v>
      </c>
      <c r="AG128" t="str">
        <f t="shared" si="19"/>
        <v>Valid Email</v>
      </c>
      <c r="AH128" t="str">
        <f t="shared" si="20"/>
        <v>READY FOR REPORTING</v>
      </c>
      <c r="AI128" t="str">
        <f>IF(AND(LEFT(A128,LEN(Settings!$B$13))=Settings!$B$13,LEN(A128)=9),"Valid Format","Invalid Format")</f>
        <v>Valid Format</v>
      </c>
      <c r="AJ128" t="str">
        <f>IF(LEFT(C128,LEN(Settings!$B$14))=Settings!$B$14,"Valid Format","Invalid Format")</f>
        <v>Valid Format</v>
      </c>
      <c r="AK128" t="str">
        <f>IF(COUNTIF(Master_Data!$G$5:$G$14,C128)=1,"Known Customer","Customer Not in Master")</f>
        <v>Customer Not in Master</v>
      </c>
      <c r="AL128" t="str">
        <f>IF(U128&gt;=Settings!$B$11,"Target Met","Below Target")</f>
        <v>Target Met</v>
      </c>
      <c r="AM128" t="str">
        <f>IF(YEAR(B128)=Settings!$B$5,"Correct Year","Wrong Year")</f>
        <v>Correct Year</v>
      </c>
      <c r="AN128">
        <f t="shared" si="21"/>
        <v>4</v>
      </c>
    </row>
    <row r="129" spans="1:40">
      <c r="A129" t="str">
        <f>Raw_Data!A129</f>
        <v>ORD-10128</v>
      </c>
      <c r="B129" s="13">
        <f>Raw_Data!B129</f>
        <v>45996</v>
      </c>
      <c r="C129" t="str">
        <f>Raw_Data!C129</f>
        <v>C1046</v>
      </c>
      <c r="D129" t="str">
        <f>Raw_Data!D129</f>
        <v>client61@example.com</v>
      </c>
      <c r="E129" t="str">
        <f>Raw_Data!E129</f>
        <v>P1002</v>
      </c>
      <c r="F129" t="str">
        <f>Raw_Data!F129</f>
        <v>Wireless Mouse</v>
      </c>
      <c r="G129" t="str">
        <f>Raw_Data!G129</f>
        <v>Accessories</v>
      </c>
      <c r="H129" t="str">
        <f>Raw_Data!H129</f>
        <v>West</v>
      </c>
      <c r="I129" t="str">
        <f>Raw_Data!I129</f>
        <v>Store</v>
      </c>
      <c r="J129" t="str">
        <f>Raw_Data!J129</f>
        <v>Andrei Pop</v>
      </c>
      <c r="K129">
        <f>Raw_Data!K129</f>
        <v>1</v>
      </c>
      <c r="L129" s="12">
        <f>Raw_Data!L129</f>
        <v>85</v>
      </c>
      <c r="M129" s="12">
        <f>Raw_Data!M129</f>
        <v>44</v>
      </c>
      <c r="N129" s="14">
        <f>Raw_Data!N129</f>
        <v>0</v>
      </c>
      <c r="O129" t="str">
        <f>Raw_Data!O129</f>
        <v>Bank Transfer</v>
      </c>
      <c r="P129" t="str">
        <f>Raw_Data!P129</f>
        <v>Completed</v>
      </c>
      <c r="Q129" s="12">
        <f t="shared" si="11"/>
        <v>85</v>
      </c>
      <c r="R129" s="12">
        <f t="shared" si="12"/>
        <v>85</v>
      </c>
      <c r="S129" s="12">
        <f t="shared" si="13"/>
        <v>44</v>
      </c>
      <c r="T129" s="12">
        <f t="shared" si="14"/>
        <v>41</v>
      </c>
      <c r="U129" s="11">
        <f t="shared" si="15"/>
        <v>0.4823529411764706</v>
      </c>
      <c r="V129" t="str">
        <f>IF(OR(A129="",COUNTIF($A$2:$A$301,A129)&gt;1,C129="",D129="",ISERROR(SEARCH("@",D129)),ISERROR(SEARCH(".",D129)),COUNTIF(Lookups!$A$2:$A$11,E129)=0,F129="",H129="",K129&lt;=0,L129&lt;0,M129&lt;0,N129&lt;0,N129&gt;0.5,COUNTIF(Lookups!$K$2:$K$4,P129)=0),"ERROR","VALID")</f>
        <v>VALID</v>
      </c>
      <c r="W129" s="2" t="str">
        <f>IF(A129="","Missing Order ID; ","")&amp;IF(COUNTIF($A$2:$A$301,A129)&gt;1,"Duplicate Order ID; ","")&amp;IF(C129="","Missing Customer ID; ","")&amp;IF(OR(D129="",ISERROR(SEARCH("@",D129)),ISERROR(SEARCH(".",D129))),"Invalid Email; ","")&amp;IF(COUNTIF(Lookups!$A$2:$A$11,E129)=0,"Unknown Product; ","")&amp;IF(F129="","Missing Product Name; ","")&amp;IF(H129="","Missing Region; ","")&amp;IF(K129&lt;=0,"Invalid Quantity; ","")&amp;IF(L129&lt;0,"Invalid Price; ","")&amp;IF(M129&lt;0,"Invalid Cost; ","")&amp;IF(OR(N129&lt;0,N129&gt;0.5),"Invalid Discount; ","")&amp;IF(COUNTIF(Lookups!$K$2:$K$4,P129)=0,"Invalid Status; ","")</f>
        <v/>
      </c>
      <c r="X129" s="15" t="str">
        <f t="shared" si="16"/>
        <v>2025-12</v>
      </c>
      <c r="Y129" t="str">
        <f t="shared" si="17"/>
        <v>Q4</v>
      </c>
      <c r="Z129" t="str">
        <f>IF(R129&gt;=Settings!$B$9,"High Value Customer",IF(R129&gt;=Settings!$B$10,"Medium Value Customer","Standard Customer"))</f>
        <v>Standard Customer</v>
      </c>
      <c r="AA129" t="str">
        <f>IF(R129&gt;=Settings!$B$9,"Large Order",IF(R129&gt;=Settings!$B$10,"Medium Order","Small Order"))</f>
        <v>Small Order</v>
      </c>
      <c r="AB129" t="str">
        <f>IF(N129=0,"No Discount",IF(N129&lt;=0.1,"Low Discount",IF(N129&lt;=Settings!$B$8,"Medium Discount","High Discount")))</f>
        <v>No Discount</v>
      </c>
      <c r="AC129" t="str">
        <f t="shared" si="18"/>
        <v>Profitable</v>
      </c>
      <c r="AD129" t="str">
        <f>IFERROR(VLOOKUP(E129,Lookups!$A$2:$E$11,2,FALSE),"Product Not Found")</f>
        <v>Wireless Mouse</v>
      </c>
      <c r="AE129" t="str">
        <f>IFERROR(VLOOKUP(E129,Lookups!$A$2:$E$11,3,FALSE),"Category Not Found")</f>
        <v>Accessories</v>
      </c>
      <c r="AF129" t="str">
        <f>IFERROR(IF(L129=VLOOKUP(E129,Lookups!$A$2:$E$11,4,FALSE),"Price OK","Price Mismatch"),"Product Missing")</f>
        <v>Price OK</v>
      </c>
      <c r="AG129" t="str">
        <f t="shared" si="19"/>
        <v>Valid Email</v>
      </c>
      <c r="AH129" t="str">
        <f t="shared" si="20"/>
        <v>READY FOR REPORTING</v>
      </c>
      <c r="AI129" t="str">
        <f>IF(AND(LEFT(A129,LEN(Settings!$B$13))=Settings!$B$13,LEN(A129)=9),"Valid Format","Invalid Format")</f>
        <v>Valid Format</v>
      </c>
      <c r="AJ129" t="str">
        <f>IF(LEFT(C129,LEN(Settings!$B$14))=Settings!$B$14,"Valid Format","Invalid Format")</f>
        <v>Valid Format</v>
      </c>
      <c r="AK129" t="str">
        <f>IF(COUNTIF(Master_Data!$G$5:$G$14,C129)=1,"Known Customer","Customer Not in Master")</f>
        <v>Customer Not in Master</v>
      </c>
      <c r="AL129" t="str">
        <f>IF(U129&gt;=Settings!$B$11,"Target Met","Below Target")</f>
        <v>Target Met</v>
      </c>
      <c r="AM129" t="str">
        <f>IF(YEAR(B129)=Settings!$B$5,"Correct Year","Wrong Year")</f>
        <v>Correct Year</v>
      </c>
      <c r="AN129">
        <f t="shared" si="21"/>
        <v>4</v>
      </c>
    </row>
    <row r="130" spans="1:40">
      <c r="A130" t="str">
        <f>Raw_Data!A130</f>
        <v>ORD-10129</v>
      </c>
      <c r="B130" s="13">
        <f>Raw_Data!B130</f>
        <v>45684</v>
      </c>
      <c r="C130" t="str">
        <f>Raw_Data!C130</f>
        <v>C1068</v>
      </c>
      <c r="D130" t="str">
        <f>Raw_Data!D130</f>
        <v>client30@example.com</v>
      </c>
      <c r="E130" t="str">
        <f>Raw_Data!E130</f>
        <v>P1005</v>
      </c>
      <c r="F130" t="str">
        <f>Raw_Data!F130</f>
        <v>24-inch Monitor</v>
      </c>
      <c r="G130" t="str">
        <f>Raw_Data!G130</f>
        <v>Electronics</v>
      </c>
      <c r="H130" t="str">
        <f>Raw_Data!H130</f>
        <v>Bucharest</v>
      </c>
      <c r="I130" t="str">
        <f>Raw_Data!I130</f>
        <v>Store</v>
      </c>
      <c r="J130" t="str">
        <f>Raw_Data!J130</f>
        <v>Mihai Radu</v>
      </c>
      <c r="K130">
        <f>Raw_Data!K130</f>
        <v>3</v>
      </c>
      <c r="L130" s="12">
        <f>Raw_Data!L130</f>
        <v>720</v>
      </c>
      <c r="M130" s="12">
        <f>Raw_Data!M130</f>
        <v>510</v>
      </c>
      <c r="N130" s="14">
        <f>Raw_Data!N130</f>
        <v>0.2</v>
      </c>
      <c r="O130" t="str">
        <f>Raw_Data!O130</f>
        <v>Cash</v>
      </c>
      <c r="P130" t="str">
        <f>Raw_Data!P130</f>
        <v>Completed</v>
      </c>
      <c r="Q130" s="12">
        <f t="shared" ref="Q130:Q193" si="22">K130*L130</f>
        <v>2160</v>
      </c>
      <c r="R130" s="12">
        <f t="shared" ref="R130:R193" si="23">Q130*(1-N130)</f>
        <v>1728</v>
      </c>
      <c r="S130" s="12">
        <f t="shared" ref="S130:S193" si="24">K130*M130</f>
        <v>1530</v>
      </c>
      <c r="T130" s="12">
        <f t="shared" ref="T130:T193" si="25">R130-S130</f>
        <v>198</v>
      </c>
      <c r="U130" s="11">
        <f t="shared" ref="U130:U193" si="26">IFERROR(T130/R130,0)</f>
        <v>0.11458333333333333</v>
      </c>
      <c r="V130" t="str">
        <f>IF(OR(A130="",COUNTIF($A$2:$A$301,A130)&gt;1,C130="",D130="",ISERROR(SEARCH("@",D130)),ISERROR(SEARCH(".",D130)),COUNTIF(Lookups!$A$2:$A$11,E130)=0,F130="",H130="",K130&lt;=0,L130&lt;0,M130&lt;0,N130&lt;0,N130&gt;0.5,COUNTIF(Lookups!$K$2:$K$4,P130)=0),"ERROR","VALID")</f>
        <v>VALID</v>
      </c>
      <c r="W130" s="2" t="str">
        <f>IF(A130="","Missing Order ID; ","")&amp;IF(COUNTIF($A$2:$A$301,A130)&gt;1,"Duplicate Order ID; ","")&amp;IF(C130="","Missing Customer ID; ","")&amp;IF(OR(D130="",ISERROR(SEARCH("@",D130)),ISERROR(SEARCH(".",D130))),"Invalid Email; ","")&amp;IF(COUNTIF(Lookups!$A$2:$A$11,E130)=0,"Unknown Product; ","")&amp;IF(F130="","Missing Product Name; ","")&amp;IF(H130="","Missing Region; ","")&amp;IF(K130&lt;=0,"Invalid Quantity; ","")&amp;IF(L130&lt;0,"Invalid Price; ","")&amp;IF(M130&lt;0,"Invalid Cost; ","")&amp;IF(OR(N130&lt;0,N130&gt;0.5),"Invalid Discount; ","")&amp;IF(COUNTIF(Lookups!$K$2:$K$4,P130)=0,"Invalid Status; ","")</f>
        <v/>
      </c>
      <c r="X130" s="15" t="str">
        <f t="shared" ref="X130:X193" si="27">TEXT(B130,"yyyy-mm")</f>
        <v>2025-01</v>
      </c>
      <c r="Y130" t="str">
        <f t="shared" ref="Y130:Y193" si="28">"Q"&amp;ROUNDUP(MONTH(B130)/3,0)</f>
        <v>Q1</v>
      </c>
      <c r="Z130" t="str">
        <f>IF(R130&gt;=Settings!$B$9,"High Value Customer",IF(R130&gt;=Settings!$B$10,"Medium Value Customer","Standard Customer"))</f>
        <v>Standard Customer</v>
      </c>
      <c r="AA130" t="str">
        <f>IF(R130&gt;=Settings!$B$9,"Large Order",IF(R130&gt;=Settings!$B$10,"Medium Order","Small Order"))</f>
        <v>Small Order</v>
      </c>
      <c r="AB130" t="str">
        <f>IF(N130=0,"No Discount",IF(N130&lt;=0.1,"Low Discount",IF(N130&lt;=Settings!$B$8,"Medium Discount","High Discount")))</f>
        <v>Medium Discount</v>
      </c>
      <c r="AC130" t="str">
        <f t="shared" ref="AC130:AC193" si="29">IF(T130&gt;0,"Profitable",IF(T130=0,"Break-even","Loss"))</f>
        <v>Profitable</v>
      </c>
      <c r="AD130" t="str">
        <f>IFERROR(VLOOKUP(E130,Lookups!$A$2:$E$11,2,FALSE),"Product Not Found")</f>
        <v>24-inch Monitor</v>
      </c>
      <c r="AE130" t="str">
        <f>IFERROR(VLOOKUP(E130,Lookups!$A$2:$E$11,3,FALSE),"Category Not Found")</f>
        <v>Electronics</v>
      </c>
      <c r="AF130" t="str">
        <f>IFERROR(IF(L130=VLOOKUP(E130,Lookups!$A$2:$E$11,4,FALSE),"Price OK","Price Mismatch"),"Product Missing")</f>
        <v>Price OK</v>
      </c>
      <c r="AG130" t="str">
        <f t="shared" ref="AG130:AG193" si="30">IF(AND(ISNUMBER(SEARCH("@",D130)),ISNUMBER(SEARCH(".",D130))),"Valid Email","Invalid Email")</f>
        <v>Valid Email</v>
      </c>
      <c r="AH130" t="str">
        <f t="shared" ref="AH130:AH193" si="31">IF(AND(V130="VALID",AF130="Price OK",AG130="Valid Email"),"READY FOR REPORTING","REVIEW REQUIRED")</f>
        <v>READY FOR REPORTING</v>
      </c>
      <c r="AI130" t="str">
        <f>IF(AND(LEFT(A130,LEN(Settings!$B$13))=Settings!$B$13,LEN(A130)=9),"Valid Format","Invalid Format")</f>
        <v>Valid Format</v>
      </c>
      <c r="AJ130" t="str">
        <f>IF(LEFT(C130,LEN(Settings!$B$14))=Settings!$B$14,"Valid Format","Invalid Format")</f>
        <v>Valid Format</v>
      </c>
      <c r="AK130" t="str">
        <f>IF(COUNTIF(Master_Data!$G$5:$G$14,C130)=1,"Known Customer","Customer Not in Master")</f>
        <v>Customer Not in Master</v>
      </c>
      <c r="AL130" t="str">
        <f>IF(U130&gt;=Settings!$B$11,"Target Met","Below Target")</f>
        <v>Below Target</v>
      </c>
      <c r="AM130" t="str">
        <f>IF(YEAR(B130)=Settings!$B$5,"Correct Year","Wrong Year")</f>
        <v>Correct Year</v>
      </c>
      <c r="AN130">
        <f t="shared" ref="AN130:AN193" si="32">COUNTIF(AI130:AM130,"*Valid*")+COUNTIF(AI130:AM130,"Known Customer")+COUNTIF(AI130:AM130,"Target Met")+COUNTIF(AI130:AM130,"Correct Year")</f>
        <v>3</v>
      </c>
    </row>
    <row r="131" spans="1:40">
      <c r="A131" t="str">
        <f>Raw_Data!A131</f>
        <v>ORD-10130</v>
      </c>
      <c r="B131" s="13">
        <f>Raw_Data!B131</f>
        <v>45961</v>
      </c>
      <c r="C131" t="str">
        <f>Raw_Data!C131</f>
        <v>C1029</v>
      </c>
      <c r="D131" t="str">
        <f>Raw_Data!D131</f>
        <v>client158@example.com</v>
      </c>
      <c r="E131" t="str">
        <f>Raw_Data!E131</f>
        <v>P1009</v>
      </c>
      <c r="F131" t="str">
        <f>Raw_Data!F131</f>
        <v>Webcam</v>
      </c>
      <c r="G131" t="str">
        <f>Raw_Data!G131</f>
        <v>Electronics</v>
      </c>
      <c r="H131" t="str">
        <f>Raw_Data!H131</f>
        <v>Bucharest</v>
      </c>
      <c r="I131" t="str">
        <f>Raw_Data!I131</f>
        <v>Marketplace</v>
      </c>
      <c r="J131" t="str">
        <f>Raw_Data!J131</f>
        <v>Ioana Pavel</v>
      </c>
      <c r="K131">
        <f>Raw_Data!K131</f>
        <v>2</v>
      </c>
      <c r="L131" s="12">
        <f>Raw_Data!L131</f>
        <v>230</v>
      </c>
      <c r="M131" s="12">
        <f>Raw_Data!M131</f>
        <v>132</v>
      </c>
      <c r="N131" s="14">
        <f>Raw_Data!N131</f>
        <v>0.1</v>
      </c>
      <c r="O131" t="str">
        <f>Raw_Data!O131</f>
        <v>Cash</v>
      </c>
      <c r="P131" t="str">
        <f>Raw_Data!P131</f>
        <v>Returned</v>
      </c>
      <c r="Q131" s="12">
        <f t="shared" si="22"/>
        <v>460</v>
      </c>
      <c r="R131" s="12">
        <f t="shared" si="23"/>
        <v>414</v>
      </c>
      <c r="S131" s="12">
        <f t="shared" si="24"/>
        <v>264</v>
      </c>
      <c r="T131" s="12">
        <f t="shared" si="25"/>
        <v>150</v>
      </c>
      <c r="U131" s="11">
        <f t="shared" si="26"/>
        <v>0.36231884057971014</v>
      </c>
      <c r="V131" t="str">
        <f>IF(OR(A131="",COUNTIF($A$2:$A$301,A131)&gt;1,C131="",D131="",ISERROR(SEARCH("@",D131)),ISERROR(SEARCH(".",D131)),COUNTIF(Lookups!$A$2:$A$11,E131)=0,F131="",H131="",K131&lt;=0,L131&lt;0,M131&lt;0,N131&lt;0,N131&gt;0.5,COUNTIF(Lookups!$K$2:$K$4,P131)=0),"ERROR","VALID")</f>
        <v>VALID</v>
      </c>
      <c r="W131" s="2" t="str">
        <f>IF(A131="","Missing Order ID; ","")&amp;IF(COUNTIF($A$2:$A$301,A131)&gt;1,"Duplicate Order ID; ","")&amp;IF(C131="","Missing Customer ID; ","")&amp;IF(OR(D131="",ISERROR(SEARCH("@",D131)),ISERROR(SEARCH(".",D131))),"Invalid Email; ","")&amp;IF(COUNTIF(Lookups!$A$2:$A$11,E131)=0,"Unknown Product; ","")&amp;IF(F131="","Missing Product Name; ","")&amp;IF(H131="","Missing Region; ","")&amp;IF(K131&lt;=0,"Invalid Quantity; ","")&amp;IF(L131&lt;0,"Invalid Price; ","")&amp;IF(M131&lt;0,"Invalid Cost; ","")&amp;IF(OR(N131&lt;0,N131&gt;0.5),"Invalid Discount; ","")&amp;IF(COUNTIF(Lookups!$K$2:$K$4,P131)=0,"Invalid Status; ","")</f>
        <v/>
      </c>
      <c r="X131" s="15" t="str">
        <f t="shared" si="27"/>
        <v>2025-10</v>
      </c>
      <c r="Y131" t="str">
        <f t="shared" si="28"/>
        <v>Q4</v>
      </c>
      <c r="Z131" t="str">
        <f>IF(R131&gt;=Settings!$B$9,"High Value Customer",IF(R131&gt;=Settings!$B$10,"Medium Value Customer","Standard Customer"))</f>
        <v>Standard Customer</v>
      </c>
      <c r="AA131" t="str">
        <f>IF(R131&gt;=Settings!$B$9,"Large Order",IF(R131&gt;=Settings!$B$10,"Medium Order","Small Order"))</f>
        <v>Small Order</v>
      </c>
      <c r="AB131" t="str">
        <f>IF(N131=0,"No Discount",IF(N131&lt;=0.1,"Low Discount",IF(N131&lt;=Settings!$B$8,"Medium Discount","High Discount")))</f>
        <v>Low Discount</v>
      </c>
      <c r="AC131" t="str">
        <f t="shared" si="29"/>
        <v>Profitable</v>
      </c>
      <c r="AD131" t="str">
        <f>IFERROR(VLOOKUP(E131,Lookups!$A$2:$E$11,2,FALSE),"Product Not Found")</f>
        <v>Webcam</v>
      </c>
      <c r="AE131" t="str">
        <f>IFERROR(VLOOKUP(E131,Lookups!$A$2:$E$11,3,FALSE),"Category Not Found")</f>
        <v>Electronics</v>
      </c>
      <c r="AF131" t="str">
        <f>IFERROR(IF(L131=VLOOKUP(E131,Lookups!$A$2:$E$11,4,FALSE),"Price OK","Price Mismatch"),"Product Missing")</f>
        <v>Price OK</v>
      </c>
      <c r="AG131" t="str">
        <f t="shared" si="30"/>
        <v>Valid Email</v>
      </c>
      <c r="AH131" t="str">
        <f t="shared" si="31"/>
        <v>READY FOR REPORTING</v>
      </c>
      <c r="AI131" t="str">
        <f>IF(AND(LEFT(A131,LEN(Settings!$B$13))=Settings!$B$13,LEN(A131)=9),"Valid Format","Invalid Format")</f>
        <v>Valid Format</v>
      </c>
      <c r="AJ131" t="str">
        <f>IF(LEFT(C131,LEN(Settings!$B$14))=Settings!$B$14,"Valid Format","Invalid Format")</f>
        <v>Valid Format</v>
      </c>
      <c r="AK131" t="str">
        <f>IF(COUNTIF(Master_Data!$G$5:$G$14,C131)=1,"Known Customer","Customer Not in Master")</f>
        <v>Customer Not in Master</v>
      </c>
      <c r="AL131" t="str">
        <f>IF(U131&gt;=Settings!$B$11,"Target Met","Below Target")</f>
        <v>Target Met</v>
      </c>
      <c r="AM131" t="str">
        <f>IF(YEAR(B131)=Settings!$B$5,"Correct Year","Wrong Year")</f>
        <v>Correct Year</v>
      </c>
      <c r="AN131">
        <f t="shared" si="32"/>
        <v>4</v>
      </c>
    </row>
    <row r="132" spans="1:40">
      <c r="A132" t="str">
        <f>Raw_Data!A132</f>
        <v>ORD-10131</v>
      </c>
      <c r="B132" s="13">
        <f>Raw_Data!B132</f>
        <v>45987</v>
      </c>
      <c r="C132" t="str">
        <f>Raw_Data!C132</f>
        <v>C1109</v>
      </c>
      <c r="D132" t="str">
        <f>Raw_Data!D132</f>
        <v>client103@example.com</v>
      </c>
      <c r="E132" t="str">
        <f>Raw_Data!E132</f>
        <v>P1008</v>
      </c>
      <c r="F132" t="str">
        <f>Raw_Data!F132</f>
        <v>Standing Desk</v>
      </c>
      <c r="G132" t="str">
        <f>Raw_Data!G132</f>
        <v>Furniture</v>
      </c>
      <c r="H132" t="str">
        <f>Raw_Data!H132</f>
        <v>East</v>
      </c>
      <c r="I132" t="str">
        <f>Raw_Data!I132</f>
        <v>Marketplace</v>
      </c>
      <c r="J132" t="str">
        <f>Raw_Data!J132</f>
        <v>Andrei Pop</v>
      </c>
      <c r="K132">
        <f>Raw_Data!K132</f>
        <v>1</v>
      </c>
      <c r="L132" s="12">
        <f>Raw_Data!L132</f>
        <v>1450</v>
      </c>
      <c r="M132" s="12">
        <f>Raw_Data!M132</f>
        <v>1030</v>
      </c>
      <c r="N132" s="14">
        <f>Raw_Data!N132</f>
        <v>0</v>
      </c>
      <c r="O132" t="str">
        <f>Raw_Data!O132</f>
        <v>Online Wallet</v>
      </c>
      <c r="P132" t="str">
        <f>Raw_Data!P132</f>
        <v>Completed</v>
      </c>
      <c r="Q132" s="12">
        <f t="shared" si="22"/>
        <v>1450</v>
      </c>
      <c r="R132" s="12">
        <f t="shared" si="23"/>
        <v>1450</v>
      </c>
      <c r="S132" s="12">
        <f t="shared" si="24"/>
        <v>1030</v>
      </c>
      <c r="T132" s="12">
        <f t="shared" si="25"/>
        <v>420</v>
      </c>
      <c r="U132" s="11">
        <f t="shared" si="26"/>
        <v>0.28965517241379313</v>
      </c>
      <c r="V132" t="str">
        <f>IF(OR(A132="",COUNTIF($A$2:$A$301,A132)&gt;1,C132="",D132="",ISERROR(SEARCH("@",D132)),ISERROR(SEARCH(".",D132)),COUNTIF(Lookups!$A$2:$A$11,E132)=0,F132="",H132="",K132&lt;=0,L132&lt;0,M132&lt;0,N132&lt;0,N132&gt;0.5,COUNTIF(Lookups!$K$2:$K$4,P132)=0),"ERROR","VALID")</f>
        <v>VALID</v>
      </c>
      <c r="W132" s="2" t="str">
        <f>IF(A132="","Missing Order ID; ","")&amp;IF(COUNTIF($A$2:$A$301,A132)&gt;1,"Duplicate Order ID; ","")&amp;IF(C132="","Missing Customer ID; ","")&amp;IF(OR(D132="",ISERROR(SEARCH("@",D132)),ISERROR(SEARCH(".",D132))),"Invalid Email; ","")&amp;IF(COUNTIF(Lookups!$A$2:$A$11,E132)=0,"Unknown Product; ","")&amp;IF(F132="","Missing Product Name; ","")&amp;IF(H132="","Missing Region; ","")&amp;IF(K132&lt;=0,"Invalid Quantity; ","")&amp;IF(L132&lt;0,"Invalid Price; ","")&amp;IF(M132&lt;0,"Invalid Cost; ","")&amp;IF(OR(N132&lt;0,N132&gt;0.5),"Invalid Discount; ","")&amp;IF(COUNTIF(Lookups!$K$2:$K$4,P132)=0,"Invalid Status; ","")</f>
        <v/>
      </c>
      <c r="X132" s="15" t="str">
        <f t="shared" si="27"/>
        <v>2025-11</v>
      </c>
      <c r="Y132" t="str">
        <f t="shared" si="28"/>
        <v>Q4</v>
      </c>
      <c r="Z132" t="str">
        <f>IF(R132&gt;=Settings!$B$9,"High Value Customer",IF(R132&gt;=Settings!$B$10,"Medium Value Customer","Standard Customer"))</f>
        <v>Standard Customer</v>
      </c>
      <c r="AA132" t="str">
        <f>IF(R132&gt;=Settings!$B$9,"Large Order",IF(R132&gt;=Settings!$B$10,"Medium Order","Small Order"))</f>
        <v>Small Order</v>
      </c>
      <c r="AB132" t="str">
        <f>IF(N132=0,"No Discount",IF(N132&lt;=0.1,"Low Discount",IF(N132&lt;=Settings!$B$8,"Medium Discount","High Discount")))</f>
        <v>No Discount</v>
      </c>
      <c r="AC132" t="str">
        <f t="shared" si="29"/>
        <v>Profitable</v>
      </c>
      <c r="AD132" t="str">
        <f>IFERROR(VLOOKUP(E132,Lookups!$A$2:$E$11,2,FALSE),"Product Not Found")</f>
        <v>Standing Desk</v>
      </c>
      <c r="AE132" t="str">
        <f>IFERROR(VLOOKUP(E132,Lookups!$A$2:$E$11,3,FALSE),"Category Not Found")</f>
        <v>Furniture</v>
      </c>
      <c r="AF132" t="str">
        <f>IFERROR(IF(L132=VLOOKUP(E132,Lookups!$A$2:$E$11,4,FALSE),"Price OK","Price Mismatch"),"Product Missing")</f>
        <v>Price OK</v>
      </c>
      <c r="AG132" t="str">
        <f t="shared" si="30"/>
        <v>Valid Email</v>
      </c>
      <c r="AH132" t="str">
        <f t="shared" si="31"/>
        <v>READY FOR REPORTING</v>
      </c>
      <c r="AI132" t="str">
        <f>IF(AND(LEFT(A132,LEN(Settings!$B$13))=Settings!$B$13,LEN(A132)=9),"Valid Format","Invalid Format")</f>
        <v>Valid Format</v>
      </c>
      <c r="AJ132" t="str">
        <f>IF(LEFT(C132,LEN(Settings!$B$14))=Settings!$B$14,"Valid Format","Invalid Format")</f>
        <v>Valid Format</v>
      </c>
      <c r="AK132" t="str">
        <f>IF(COUNTIF(Master_Data!$G$5:$G$14,C132)=1,"Known Customer","Customer Not in Master")</f>
        <v>Customer Not in Master</v>
      </c>
      <c r="AL132" t="str">
        <f>IF(U132&gt;=Settings!$B$11,"Target Met","Below Target")</f>
        <v>Target Met</v>
      </c>
      <c r="AM132" t="str">
        <f>IF(YEAR(B132)=Settings!$B$5,"Correct Year","Wrong Year")</f>
        <v>Correct Year</v>
      </c>
      <c r="AN132">
        <f t="shared" si="32"/>
        <v>4</v>
      </c>
    </row>
    <row r="133" spans="1:40">
      <c r="A133" t="str">
        <f>Raw_Data!A133</f>
        <v>ORD-10132</v>
      </c>
      <c r="B133" s="13">
        <f>Raw_Data!B133</f>
        <v>45695</v>
      </c>
      <c r="C133" t="str">
        <f>Raw_Data!C133</f>
        <v>C1019</v>
      </c>
      <c r="D133" t="str">
        <f>Raw_Data!D133</f>
        <v>client17@example.com</v>
      </c>
      <c r="E133" t="str">
        <f>Raw_Data!E133</f>
        <v>P1008</v>
      </c>
      <c r="F133" t="str">
        <f>Raw_Data!F133</f>
        <v>Standing Desk</v>
      </c>
      <c r="G133" t="str">
        <f>Raw_Data!G133</f>
        <v>Furniture</v>
      </c>
      <c r="H133" t="str">
        <f>Raw_Data!H133</f>
        <v>North</v>
      </c>
      <c r="I133" t="str">
        <f>Raw_Data!I133</f>
        <v>Store</v>
      </c>
      <c r="J133" t="str">
        <f>Raw_Data!J133</f>
        <v>Ioana Pavel</v>
      </c>
      <c r="K133">
        <f>Raw_Data!K133</f>
        <v>2</v>
      </c>
      <c r="L133" s="12">
        <f>Raw_Data!L133</f>
        <v>1450</v>
      </c>
      <c r="M133" s="12">
        <f>Raw_Data!M133</f>
        <v>1030</v>
      </c>
      <c r="N133" s="14">
        <f>Raw_Data!N133</f>
        <v>0.05</v>
      </c>
      <c r="O133" t="str">
        <f>Raw_Data!O133</f>
        <v>Cash</v>
      </c>
      <c r="P133" t="str">
        <f>Raw_Data!P133</f>
        <v>Returned</v>
      </c>
      <c r="Q133" s="12">
        <f t="shared" si="22"/>
        <v>2900</v>
      </c>
      <c r="R133" s="12">
        <f t="shared" si="23"/>
        <v>2755</v>
      </c>
      <c r="S133" s="12">
        <f t="shared" si="24"/>
        <v>2060</v>
      </c>
      <c r="T133" s="12">
        <f t="shared" si="25"/>
        <v>695</v>
      </c>
      <c r="U133" s="11">
        <f t="shared" si="26"/>
        <v>0.25226860254083483</v>
      </c>
      <c r="V133" t="str">
        <f>IF(OR(A133="",COUNTIF($A$2:$A$301,A133)&gt;1,C133="",D133="",ISERROR(SEARCH("@",D133)),ISERROR(SEARCH(".",D133)),COUNTIF(Lookups!$A$2:$A$11,E133)=0,F133="",H133="",K133&lt;=0,L133&lt;0,M133&lt;0,N133&lt;0,N133&gt;0.5,COUNTIF(Lookups!$K$2:$K$4,P133)=0),"ERROR","VALID")</f>
        <v>VALID</v>
      </c>
      <c r="W133" s="2" t="str">
        <f>IF(A133="","Missing Order ID; ","")&amp;IF(COUNTIF($A$2:$A$301,A133)&gt;1,"Duplicate Order ID; ","")&amp;IF(C133="","Missing Customer ID; ","")&amp;IF(OR(D133="",ISERROR(SEARCH("@",D133)),ISERROR(SEARCH(".",D133))),"Invalid Email; ","")&amp;IF(COUNTIF(Lookups!$A$2:$A$11,E133)=0,"Unknown Product; ","")&amp;IF(F133="","Missing Product Name; ","")&amp;IF(H133="","Missing Region; ","")&amp;IF(K133&lt;=0,"Invalid Quantity; ","")&amp;IF(L133&lt;0,"Invalid Price; ","")&amp;IF(M133&lt;0,"Invalid Cost; ","")&amp;IF(OR(N133&lt;0,N133&gt;0.5),"Invalid Discount; ","")&amp;IF(COUNTIF(Lookups!$K$2:$K$4,P133)=0,"Invalid Status; ","")</f>
        <v/>
      </c>
      <c r="X133" s="15" t="str">
        <f t="shared" si="27"/>
        <v>2025-02</v>
      </c>
      <c r="Y133" t="str">
        <f t="shared" si="28"/>
        <v>Q1</v>
      </c>
      <c r="Z133" t="str">
        <f>IF(R133&gt;=Settings!$B$9,"High Value Customer",IF(R133&gt;=Settings!$B$10,"Medium Value Customer","Standard Customer"))</f>
        <v>Medium Value Customer</v>
      </c>
      <c r="AA133" t="str">
        <f>IF(R133&gt;=Settings!$B$9,"Large Order",IF(R133&gt;=Settings!$B$10,"Medium Order","Small Order"))</f>
        <v>Medium Order</v>
      </c>
      <c r="AB133" t="str">
        <f>IF(N133=0,"No Discount",IF(N133&lt;=0.1,"Low Discount",IF(N133&lt;=Settings!$B$8,"Medium Discount","High Discount")))</f>
        <v>Low Discount</v>
      </c>
      <c r="AC133" t="str">
        <f t="shared" si="29"/>
        <v>Profitable</v>
      </c>
      <c r="AD133" t="str">
        <f>IFERROR(VLOOKUP(E133,Lookups!$A$2:$E$11,2,FALSE),"Product Not Found")</f>
        <v>Standing Desk</v>
      </c>
      <c r="AE133" t="str">
        <f>IFERROR(VLOOKUP(E133,Lookups!$A$2:$E$11,3,FALSE),"Category Not Found")</f>
        <v>Furniture</v>
      </c>
      <c r="AF133" t="str">
        <f>IFERROR(IF(L133=VLOOKUP(E133,Lookups!$A$2:$E$11,4,FALSE),"Price OK","Price Mismatch"),"Product Missing")</f>
        <v>Price OK</v>
      </c>
      <c r="AG133" t="str">
        <f t="shared" si="30"/>
        <v>Valid Email</v>
      </c>
      <c r="AH133" t="str">
        <f t="shared" si="31"/>
        <v>READY FOR REPORTING</v>
      </c>
      <c r="AI133" t="str">
        <f>IF(AND(LEFT(A133,LEN(Settings!$B$13))=Settings!$B$13,LEN(A133)=9),"Valid Format","Invalid Format")</f>
        <v>Valid Format</v>
      </c>
      <c r="AJ133" t="str">
        <f>IF(LEFT(C133,LEN(Settings!$B$14))=Settings!$B$14,"Valid Format","Invalid Format")</f>
        <v>Valid Format</v>
      </c>
      <c r="AK133" t="str">
        <f>IF(COUNTIF(Master_Data!$G$5:$G$14,C133)=1,"Known Customer","Customer Not in Master")</f>
        <v>Customer Not in Master</v>
      </c>
      <c r="AL133" t="str">
        <f>IF(U133&gt;=Settings!$B$11,"Target Met","Below Target")</f>
        <v>Target Met</v>
      </c>
      <c r="AM133" t="str">
        <f>IF(YEAR(B133)=Settings!$B$5,"Correct Year","Wrong Year")</f>
        <v>Correct Year</v>
      </c>
      <c r="AN133">
        <f t="shared" si="32"/>
        <v>4</v>
      </c>
    </row>
    <row r="134" spans="1:40">
      <c r="A134" t="str">
        <f>Raw_Data!A134</f>
        <v>ORD-10133</v>
      </c>
      <c r="B134" s="13">
        <f>Raw_Data!B134</f>
        <v>45963</v>
      </c>
      <c r="C134" t="str">
        <f>Raw_Data!C134</f>
        <v>C1065</v>
      </c>
      <c r="D134" t="str">
        <f>Raw_Data!D134</f>
        <v>client155@example.com</v>
      </c>
      <c r="E134" t="str">
        <f>Raw_Data!E134</f>
        <v>P1007</v>
      </c>
      <c r="F134" t="str">
        <f>Raw_Data!F134</f>
        <v>Office Chair</v>
      </c>
      <c r="G134" t="str">
        <f>Raw_Data!G134</f>
        <v>Furniture</v>
      </c>
      <c r="H134" t="str">
        <f>Raw_Data!H134</f>
        <v>East</v>
      </c>
      <c r="I134" t="str">
        <f>Raw_Data!I134</f>
        <v>Online</v>
      </c>
      <c r="J134" t="str">
        <f>Raw_Data!J134</f>
        <v>Andrei Pop</v>
      </c>
      <c r="K134">
        <f>Raw_Data!K134</f>
        <v>9</v>
      </c>
      <c r="L134" s="12">
        <f>Raw_Data!L134</f>
        <v>840</v>
      </c>
      <c r="M134" s="12">
        <f>Raw_Data!M134</f>
        <v>590</v>
      </c>
      <c r="N134" s="14">
        <f>Raw_Data!N134</f>
        <v>0.05</v>
      </c>
      <c r="O134" t="str">
        <f>Raw_Data!O134</f>
        <v>Bank Transfer</v>
      </c>
      <c r="P134" t="str">
        <f>Raw_Data!P134</f>
        <v>Completed</v>
      </c>
      <c r="Q134" s="12">
        <f t="shared" si="22"/>
        <v>7560</v>
      </c>
      <c r="R134" s="12">
        <f t="shared" si="23"/>
        <v>7182</v>
      </c>
      <c r="S134" s="12">
        <f t="shared" si="24"/>
        <v>5310</v>
      </c>
      <c r="T134" s="12">
        <f t="shared" si="25"/>
        <v>1872</v>
      </c>
      <c r="U134" s="11">
        <f t="shared" si="26"/>
        <v>0.26065162907268169</v>
      </c>
      <c r="V134" t="str">
        <f>IF(OR(A134="",COUNTIF($A$2:$A$301,A134)&gt;1,C134="",D134="",ISERROR(SEARCH("@",D134)),ISERROR(SEARCH(".",D134)),COUNTIF(Lookups!$A$2:$A$11,E134)=0,F134="",H134="",K134&lt;=0,L134&lt;0,M134&lt;0,N134&lt;0,N134&gt;0.5,COUNTIF(Lookups!$K$2:$K$4,P134)=0),"ERROR","VALID")</f>
        <v>VALID</v>
      </c>
      <c r="W134" s="2" t="str">
        <f>IF(A134="","Missing Order ID; ","")&amp;IF(COUNTIF($A$2:$A$301,A134)&gt;1,"Duplicate Order ID; ","")&amp;IF(C134="","Missing Customer ID; ","")&amp;IF(OR(D134="",ISERROR(SEARCH("@",D134)),ISERROR(SEARCH(".",D134))),"Invalid Email; ","")&amp;IF(COUNTIF(Lookups!$A$2:$A$11,E134)=0,"Unknown Product; ","")&amp;IF(F134="","Missing Product Name; ","")&amp;IF(H134="","Missing Region; ","")&amp;IF(K134&lt;=0,"Invalid Quantity; ","")&amp;IF(L134&lt;0,"Invalid Price; ","")&amp;IF(M134&lt;0,"Invalid Cost; ","")&amp;IF(OR(N134&lt;0,N134&gt;0.5),"Invalid Discount; ","")&amp;IF(COUNTIF(Lookups!$K$2:$K$4,P134)=0,"Invalid Status; ","")</f>
        <v/>
      </c>
      <c r="X134" s="15" t="str">
        <f t="shared" si="27"/>
        <v>2025-11</v>
      </c>
      <c r="Y134" t="str">
        <f t="shared" si="28"/>
        <v>Q4</v>
      </c>
      <c r="Z134" t="str">
        <f>IF(R134&gt;=Settings!$B$9,"High Value Customer",IF(R134&gt;=Settings!$B$10,"Medium Value Customer","Standard Customer"))</f>
        <v>High Value Customer</v>
      </c>
      <c r="AA134" t="str">
        <f>IF(R134&gt;=Settings!$B$9,"Large Order",IF(R134&gt;=Settings!$B$10,"Medium Order","Small Order"))</f>
        <v>Large Order</v>
      </c>
      <c r="AB134" t="str">
        <f>IF(N134=0,"No Discount",IF(N134&lt;=0.1,"Low Discount",IF(N134&lt;=Settings!$B$8,"Medium Discount","High Discount")))</f>
        <v>Low Discount</v>
      </c>
      <c r="AC134" t="str">
        <f t="shared" si="29"/>
        <v>Profitable</v>
      </c>
      <c r="AD134" t="str">
        <f>IFERROR(VLOOKUP(E134,Lookups!$A$2:$E$11,2,FALSE),"Product Not Found")</f>
        <v>Office Chair</v>
      </c>
      <c r="AE134" t="str">
        <f>IFERROR(VLOOKUP(E134,Lookups!$A$2:$E$11,3,FALSE),"Category Not Found")</f>
        <v>Furniture</v>
      </c>
      <c r="AF134" t="str">
        <f>IFERROR(IF(L134=VLOOKUP(E134,Lookups!$A$2:$E$11,4,FALSE),"Price OK","Price Mismatch"),"Product Missing")</f>
        <v>Price OK</v>
      </c>
      <c r="AG134" t="str">
        <f t="shared" si="30"/>
        <v>Valid Email</v>
      </c>
      <c r="AH134" t="str">
        <f t="shared" si="31"/>
        <v>READY FOR REPORTING</v>
      </c>
      <c r="AI134" t="str">
        <f>IF(AND(LEFT(A134,LEN(Settings!$B$13))=Settings!$B$13,LEN(A134)=9),"Valid Format","Invalid Format")</f>
        <v>Valid Format</v>
      </c>
      <c r="AJ134" t="str">
        <f>IF(LEFT(C134,LEN(Settings!$B$14))=Settings!$B$14,"Valid Format","Invalid Format")</f>
        <v>Valid Format</v>
      </c>
      <c r="AK134" t="str">
        <f>IF(COUNTIF(Master_Data!$G$5:$G$14,C134)=1,"Known Customer","Customer Not in Master")</f>
        <v>Customer Not in Master</v>
      </c>
      <c r="AL134" t="str">
        <f>IF(U134&gt;=Settings!$B$11,"Target Met","Below Target")</f>
        <v>Target Met</v>
      </c>
      <c r="AM134" t="str">
        <f>IF(YEAR(B134)=Settings!$B$5,"Correct Year","Wrong Year")</f>
        <v>Correct Year</v>
      </c>
      <c r="AN134">
        <f t="shared" si="32"/>
        <v>4</v>
      </c>
    </row>
    <row r="135" spans="1:40">
      <c r="A135" t="str">
        <f>Raw_Data!A135</f>
        <v>ORD-10134</v>
      </c>
      <c r="B135" s="13">
        <f>Raw_Data!B135</f>
        <v>45889</v>
      </c>
      <c r="C135" t="str">
        <f>Raw_Data!C135</f>
        <v>C1106</v>
      </c>
      <c r="D135" t="str">
        <f>Raw_Data!D135</f>
        <v>client117@example.com</v>
      </c>
      <c r="E135" t="str">
        <f>Raw_Data!E135</f>
        <v>P1007</v>
      </c>
      <c r="F135" t="str">
        <f>Raw_Data!F135</f>
        <v>Office Chair</v>
      </c>
      <c r="G135" t="str">
        <f>Raw_Data!G135</f>
        <v>Furniture</v>
      </c>
      <c r="H135" t="str">
        <f>Raw_Data!H135</f>
        <v>East</v>
      </c>
      <c r="I135" t="str">
        <f>Raw_Data!I135</f>
        <v>Store</v>
      </c>
      <c r="J135" t="str">
        <f>Raw_Data!J135</f>
        <v>Andrei Pop</v>
      </c>
      <c r="K135">
        <f>Raw_Data!K135</f>
        <v>4</v>
      </c>
      <c r="L135" s="12">
        <f>Raw_Data!L135</f>
        <v>840</v>
      </c>
      <c r="M135" s="12">
        <f>Raw_Data!M135</f>
        <v>590</v>
      </c>
      <c r="N135" s="14">
        <f>Raw_Data!N135</f>
        <v>0.1</v>
      </c>
      <c r="O135" t="str">
        <f>Raw_Data!O135</f>
        <v>Cash</v>
      </c>
      <c r="P135" t="str">
        <f>Raw_Data!P135</f>
        <v>Completed</v>
      </c>
      <c r="Q135" s="12">
        <f t="shared" si="22"/>
        <v>3360</v>
      </c>
      <c r="R135" s="12">
        <f t="shared" si="23"/>
        <v>3024</v>
      </c>
      <c r="S135" s="12">
        <f t="shared" si="24"/>
        <v>2360</v>
      </c>
      <c r="T135" s="12">
        <f t="shared" si="25"/>
        <v>664</v>
      </c>
      <c r="U135" s="11">
        <f t="shared" si="26"/>
        <v>0.21957671957671956</v>
      </c>
      <c r="V135" t="str">
        <f>IF(OR(A135="",COUNTIF($A$2:$A$301,A135)&gt;1,C135="",D135="",ISERROR(SEARCH("@",D135)),ISERROR(SEARCH(".",D135)),COUNTIF(Lookups!$A$2:$A$11,E135)=0,F135="",H135="",K135&lt;=0,L135&lt;0,M135&lt;0,N135&lt;0,N135&gt;0.5,COUNTIF(Lookups!$K$2:$K$4,P135)=0),"ERROR","VALID")</f>
        <v>VALID</v>
      </c>
      <c r="W135" s="2" t="str">
        <f>IF(A135="","Missing Order ID; ","")&amp;IF(COUNTIF($A$2:$A$301,A135)&gt;1,"Duplicate Order ID; ","")&amp;IF(C135="","Missing Customer ID; ","")&amp;IF(OR(D135="",ISERROR(SEARCH("@",D135)),ISERROR(SEARCH(".",D135))),"Invalid Email; ","")&amp;IF(COUNTIF(Lookups!$A$2:$A$11,E135)=0,"Unknown Product; ","")&amp;IF(F135="","Missing Product Name; ","")&amp;IF(H135="","Missing Region; ","")&amp;IF(K135&lt;=0,"Invalid Quantity; ","")&amp;IF(L135&lt;0,"Invalid Price; ","")&amp;IF(M135&lt;0,"Invalid Cost; ","")&amp;IF(OR(N135&lt;0,N135&gt;0.5),"Invalid Discount; ","")&amp;IF(COUNTIF(Lookups!$K$2:$K$4,P135)=0,"Invalid Status; ","")</f>
        <v/>
      </c>
      <c r="X135" s="15" t="str">
        <f t="shared" si="27"/>
        <v>2025-08</v>
      </c>
      <c r="Y135" t="str">
        <f t="shared" si="28"/>
        <v>Q3</v>
      </c>
      <c r="Z135" t="str">
        <f>IF(R135&gt;=Settings!$B$9,"High Value Customer",IF(R135&gt;=Settings!$B$10,"Medium Value Customer","Standard Customer"))</f>
        <v>Medium Value Customer</v>
      </c>
      <c r="AA135" t="str">
        <f>IF(R135&gt;=Settings!$B$9,"Large Order",IF(R135&gt;=Settings!$B$10,"Medium Order","Small Order"))</f>
        <v>Medium Order</v>
      </c>
      <c r="AB135" t="str">
        <f>IF(N135=0,"No Discount",IF(N135&lt;=0.1,"Low Discount",IF(N135&lt;=Settings!$B$8,"Medium Discount","High Discount")))</f>
        <v>Low Discount</v>
      </c>
      <c r="AC135" t="str">
        <f t="shared" si="29"/>
        <v>Profitable</v>
      </c>
      <c r="AD135" t="str">
        <f>IFERROR(VLOOKUP(E135,Lookups!$A$2:$E$11,2,FALSE),"Product Not Found")</f>
        <v>Office Chair</v>
      </c>
      <c r="AE135" t="str">
        <f>IFERROR(VLOOKUP(E135,Lookups!$A$2:$E$11,3,FALSE),"Category Not Found")</f>
        <v>Furniture</v>
      </c>
      <c r="AF135" t="str">
        <f>IFERROR(IF(L135=VLOOKUP(E135,Lookups!$A$2:$E$11,4,FALSE),"Price OK","Price Mismatch"),"Product Missing")</f>
        <v>Price OK</v>
      </c>
      <c r="AG135" t="str">
        <f t="shared" si="30"/>
        <v>Valid Email</v>
      </c>
      <c r="AH135" t="str">
        <f t="shared" si="31"/>
        <v>READY FOR REPORTING</v>
      </c>
      <c r="AI135" t="str">
        <f>IF(AND(LEFT(A135,LEN(Settings!$B$13))=Settings!$B$13,LEN(A135)=9),"Valid Format","Invalid Format")</f>
        <v>Valid Format</v>
      </c>
      <c r="AJ135" t="str">
        <f>IF(LEFT(C135,LEN(Settings!$B$14))=Settings!$B$14,"Valid Format","Invalid Format")</f>
        <v>Valid Format</v>
      </c>
      <c r="AK135" t="str">
        <f>IF(COUNTIF(Master_Data!$G$5:$G$14,C135)=1,"Known Customer","Customer Not in Master")</f>
        <v>Customer Not in Master</v>
      </c>
      <c r="AL135" t="str">
        <f>IF(U135&gt;=Settings!$B$11,"Target Met","Below Target")</f>
        <v>Below Target</v>
      </c>
      <c r="AM135" t="str">
        <f>IF(YEAR(B135)=Settings!$B$5,"Correct Year","Wrong Year")</f>
        <v>Correct Year</v>
      </c>
      <c r="AN135">
        <f t="shared" si="32"/>
        <v>3</v>
      </c>
    </row>
    <row r="136" spans="1:40">
      <c r="A136" t="str">
        <f>Raw_Data!A136</f>
        <v>ORD-10135</v>
      </c>
      <c r="B136" s="13">
        <f>Raw_Data!B136</f>
        <v>45818</v>
      </c>
      <c r="C136" t="str">
        <f>Raw_Data!C136</f>
        <v>C1123</v>
      </c>
      <c r="D136" t="str">
        <f>Raw_Data!D136</f>
        <v>client40@example.com</v>
      </c>
      <c r="E136" t="str">
        <f>Raw_Data!E136</f>
        <v>P1007</v>
      </c>
      <c r="F136" t="str">
        <f>Raw_Data!F136</f>
        <v>Office Chair</v>
      </c>
      <c r="G136" t="str">
        <f>Raw_Data!G136</f>
        <v>Furniture</v>
      </c>
      <c r="H136" t="str">
        <f>Raw_Data!H136</f>
        <v>East</v>
      </c>
      <c r="I136" t="str">
        <f>Raw_Data!I136</f>
        <v>Online</v>
      </c>
      <c r="J136" t="str">
        <f>Raw_Data!J136</f>
        <v>Andrei Pop</v>
      </c>
      <c r="K136">
        <f>Raw_Data!K136</f>
        <v>11</v>
      </c>
      <c r="L136" s="12">
        <f>Raw_Data!L136</f>
        <v>840</v>
      </c>
      <c r="M136" s="12">
        <f>Raw_Data!M136</f>
        <v>590</v>
      </c>
      <c r="N136" s="14">
        <f>Raw_Data!N136</f>
        <v>0.05</v>
      </c>
      <c r="O136" t="str">
        <f>Raw_Data!O136</f>
        <v>Card</v>
      </c>
      <c r="P136" t="str">
        <f>Raw_Data!P136</f>
        <v>Completed</v>
      </c>
      <c r="Q136" s="12">
        <f t="shared" si="22"/>
        <v>9240</v>
      </c>
      <c r="R136" s="12">
        <f t="shared" si="23"/>
        <v>8778</v>
      </c>
      <c r="S136" s="12">
        <f t="shared" si="24"/>
        <v>6490</v>
      </c>
      <c r="T136" s="12">
        <f t="shared" si="25"/>
        <v>2288</v>
      </c>
      <c r="U136" s="11">
        <f t="shared" si="26"/>
        <v>0.26065162907268169</v>
      </c>
      <c r="V136" t="str">
        <f>IF(OR(A136="",COUNTIF($A$2:$A$301,A136)&gt;1,C136="",D136="",ISERROR(SEARCH("@",D136)),ISERROR(SEARCH(".",D136)),COUNTIF(Lookups!$A$2:$A$11,E136)=0,F136="",H136="",K136&lt;=0,L136&lt;0,M136&lt;0,N136&lt;0,N136&gt;0.5,COUNTIF(Lookups!$K$2:$K$4,P136)=0),"ERROR","VALID")</f>
        <v>VALID</v>
      </c>
      <c r="W136" s="2" t="str">
        <f>IF(A136="","Missing Order ID; ","")&amp;IF(COUNTIF($A$2:$A$301,A136)&gt;1,"Duplicate Order ID; ","")&amp;IF(C136="","Missing Customer ID; ","")&amp;IF(OR(D136="",ISERROR(SEARCH("@",D136)),ISERROR(SEARCH(".",D136))),"Invalid Email; ","")&amp;IF(COUNTIF(Lookups!$A$2:$A$11,E136)=0,"Unknown Product; ","")&amp;IF(F136="","Missing Product Name; ","")&amp;IF(H136="","Missing Region; ","")&amp;IF(K136&lt;=0,"Invalid Quantity; ","")&amp;IF(L136&lt;0,"Invalid Price; ","")&amp;IF(M136&lt;0,"Invalid Cost; ","")&amp;IF(OR(N136&lt;0,N136&gt;0.5),"Invalid Discount; ","")&amp;IF(COUNTIF(Lookups!$K$2:$K$4,P136)=0,"Invalid Status; ","")</f>
        <v/>
      </c>
      <c r="X136" s="15" t="str">
        <f t="shared" si="27"/>
        <v>2025-06</v>
      </c>
      <c r="Y136" t="str">
        <f t="shared" si="28"/>
        <v>Q2</v>
      </c>
      <c r="Z136" t="str">
        <f>IF(R136&gt;=Settings!$B$9,"High Value Customer",IF(R136&gt;=Settings!$B$10,"Medium Value Customer","Standard Customer"))</f>
        <v>High Value Customer</v>
      </c>
      <c r="AA136" t="str">
        <f>IF(R136&gt;=Settings!$B$9,"Large Order",IF(R136&gt;=Settings!$B$10,"Medium Order","Small Order"))</f>
        <v>Large Order</v>
      </c>
      <c r="AB136" t="str">
        <f>IF(N136=0,"No Discount",IF(N136&lt;=0.1,"Low Discount",IF(N136&lt;=Settings!$B$8,"Medium Discount","High Discount")))</f>
        <v>Low Discount</v>
      </c>
      <c r="AC136" t="str">
        <f t="shared" si="29"/>
        <v>Profitable</v>
      </c>
      <c r="AD136" t="str">
        <f>IFERROR(VLOOKUP(E136,Lookups!$A$2:$E$11,2,FALSE),"Product Not Found")</f>
        <v>Office Chair</v>
      </c>
      <c r="AE136" t="str">
        <f>IFERROR(VLOOKUP(E136,Lookups!$A$2:$E$11,3,FALSE),"Category Not Found")</f>
        <v>Furniture</v>
      </c>
      <c r="AF136" t="str">
        <f>IFERROR(IF(L136=VLOOKUP(E136,Lookups!$A$2:$E$11,4,FALSE),"Price OK","Price Mismatch"),"Product Missing")</f>
        <v>Price OK</v>
      </c>
      <c r="AG136" t="str">
        <f t="shared" si="30"/>
        <v>Valid Email</v>
      </c>
      <c r="AH136" t="str">
        <f t="shared" si="31"/>
        <v>READY FOR REPORTING</v>
      </c>
      <c r="AI136" t="str">
        <f>IF(AND(LEFT(A136,LEN(Settings!$B$13))=Settings!$B$13,LEN(A136)=9),"Valid Format","Invalid Format")</f>
        <v>Valid Format</v>
      </c>
      <c r="AJ136" t="str">
        <f>IF(LEFT(C136,LEN(Settings!$B$14))=Settings!$B$14,"Valid Format","Invalid Format")</f>
        <v>Valid Format</v>
      </c>
      <c r="AK136" t="str">
        <f>IF(COUNTIF(Master_Data!$G$5:$G$14,C136)=1,"Known Customer","Customer Not in Master")</f>
        <v>Customer Not in Master</v>
      </c>
      <c r="AL136" t="str">
        <f>IF(U136&gt;=Settings!$B$11,"Target Met","Below Target")</f>
        <v>Target Met</v>
      </c>
      <c r="AM136" t="str">
        <f>IF(YEAR(B136)=Settings!$B$5,"Correct Year","Wrong Year")</f>
        <v>Correct Year</v>
      </c>
      <c r="AN136">
        <f t="shared" si="32"/>
        <v>4</v>
      </c>
    </row>
    <row r="137" spans="1:40">
      <c r="A137" t="str">
        <f>Raw_Data!A137</f>
        <v>ORD-10136</v>
      </c>
      <c r="B137" s="13">
        <f>Raw_Data!B137</f>
        <v>45879</v>
      </c>
      <c r="C137" t="str">
        <f>Raw_Data!C137</f>
        <v>C1048</v>
      </c>
      <c r="D137" t="str">
        <f>Raw_Data!D137</f>
        <v>client34@example.com</v>
      </c>
      <c r="E137" t="str">
        <f>Raw_Data!E137</f>
        <v>P1002</v>
      </c>
      <c r="F137" t="str">
        <f>Raw_Data!F137</f>
        <v>Wireless Mouse</v>
      </c>
      <c r="G137" t="str">
        <f>Raw_Data!G137</f>
        <v>Accessories</v>
      </c>
      <c r="H137" t="str">
        <f>Raw_Data!H137</f>
        <v>West</v>
      </c>
      <c r="I137" t="str">
        <f>Raw_Data!I137</f>
        <v>Online</v>
      </c>
      <c r="J137" t="str">
        <f>Raw_Data!J137</f>
        <v>Ioana Pavel</v>
      </c>
      <c r="K137">
        <f>Raw_Data!K137</f>
        <v>2</v>
      </c>
      <c r="L137" s="12">
        <f>Raw_Data!L137</f>
        <v>85</v>
      </c>
      <c r="M137" s="12">
        <f>Raw_Data!M137</f>
        <v>44</v>
      </c>
      <c r="N137" s="14">
        <f>Raw_Data!N137</f>
        <v>0.2</v>
      </c>
      <c r="O137" t="str">
        <f>Raw_Data!O137</f>
        <v>Cash</v>
      </c>
      <c r="P137" t="str">
        <f>Raw_Data!P137</f>
        <v>Cancelled</v>
      </c>
      <c r="Q137" s="12">
        <f t="shared" si="22"/>
        <v>170</v>
      </c>
      <c r="R137" s="12">
        <f t="shared" si="23"/>
        <v>136</v>
      </c>
      <c r="S137" s="12">
        <f t="shared" si="24"/>
        <v>88</v>
      </c>
      <c r="T137" s="12">
        <f t="shared" si="25"/>
        <v>48</v>
      </c>
      <c r="U137" s="11">
        <f t="shared" si="26"/>
        <v>0.35294117647058826</v>
      </c>
      <c r="V137" t="str">
        <f>IF(OR(A137="",COUNTIF($A$2:$A$301,A137)&gt;1,C137="",D137="",ISERROR(SEARCH("@",D137)),ISERROR(SEARCH(".",D137)),COUNTIF(Lookups!$A$2:$A$11,E137)=0,F137="",H137="",K137&lt;=0,L137&lt;0,M137&lt;0,N137&lt;0,N137&gt;0.5,COUNTIF(Lookups!$K$2:$K$4,P137)=0),"ERROR","VALID")</f>
        <v>VALID</v>
      </c>
      <c r="W137" s="2" t="str">
        <f>IF(A137="","Missing Order ID; ","")&amp;IF(COUNTIF($A$2:$A$301,A137)&gt;1,"Duplicate Order ID; ","")&amp;IF(C137="","Missing Customer ID; ","")&amp;IF(OR(D137="",ISERROR(SEARCH("@",D137)),ISERROR(SEARCH(".",D137))),"Invalid Email; ","")&amp;IF(COUNTIF(Lookups!$A$2:$A$11,E137)=0,"Unknown Product; ","")&amp;IF(F137="","Missing Product Name; ","")&amp;IF(H137="","Missing Region; ","")&amp;IF(K137&lt;=0,"Invalid Quantity; ","")&amp;IF(L137&lt;0,"Invalid Price; ","")&amp;IF(M137&lt;0,"Invalid Cost; ","")&amp;IF(OR(N137&lt;0,N137&gt;0.5),"Invalid Discount; ","")&amp;IF(COUNTIF(Lookups!$K$2:$K$4,P137)=0,"Invalid Status; ","")</f>
        <v/>
      </c>
      <c r="X137" s="15" t="str">
        <f t="shared" si="27"/>
        <v>2025-08</v>
      </c>
      <c r="Y137" t="str">
        <f t="shared" si="28"/>
        <v>Q3</v>
      </c>
      <c r="Z137" t="str">
        <f>IF(R137&gt;=Settings!$B$9,"High Value Customer",IF(R137&gt;=Settings!$B$10,"Medium Value Customer","Standard Customer"))</f>
        <v>Standard Customer</v>
      </c>
      <c r="AA137" t="str">
        <f>IF(R137&gt;=Settings!$B$9,"Large Order",IF(R137&gt;=Settings!$B$10,"Medium Order","Small Order"))</f>
        <v>Small Order</v>
      </c>
      <c r="AB137" t="str">
        <f>IF(N137=0,"No Discount",IF(N137&lt;=0.1,"Low Discount",IF(N137&lt;=Settings!$B$8,"Medium Discount","High Discount")))</f>
        <v>Medium Discount</v>
      </c>
      <c r="AC137" t="str">
        <f t="shared" si="29"/>
        <v>Profitable</v>
      </c>
      <c r="AD137" t="str">
        <f>IFERROR(VLOOKUP(E137,Lookups!$A$2:$E$11,2,FALSE),"Product Not Found")</f>
        <v>Wireless Mouse</v>
      </c>
      <c r="AE137" t="str">
        <f>IFERROR(VLOOKUP(E137,Lookups!$A$2:$E$11,3,FALSE),"Category Not Found")</f>
        <v>Accessories</v>
      </c>
      <c r="AF137" t="str">
        <f>IFERROR(IF(L137=VLOOKUP(E137,Lookups!$A$2:$E$11,4,FALSE),"Price OK","Price Mismatch"),"Product Missing")</f>
        <v>Price OK</v>
      </c>
      <c r="AG137" t="str">
        <f t="shared" si="30"/>
        <v>Valid Email</v>
      </c>
      <c r="AH137" t="str">
        <f t="shared" si="31"/>
        <v>READY FOR REPORTING</v>
      </c>
      <c r="AI137" t="str">
        <f>IF(AND(LEFT(A137,LEN(Settings!$B$13))=Settings!$B$13,LEN(A137)=9),"Valid Format","Invalid Format")</f>
        <v>Valid Format</v>
      </c>
      <c r="AJ137" t="str">
        <f>IF(LEFT(C137,LEN(Settings!$B$14))=Settings!$B$14,"Valid Format","Invalid Format")</f>
        <v>Valid Format</v>
      </c>
      <c r="AK137" t="str">
        <f>IF(COUNTIF(Master_Data!$G$5:$G$14,C137)=1,"Known Customer","Customer Not in Master")</f>
        <v>Customer Not in Master</v>
      </c>
      <c r="AL137" t="str">
        <f>IF(U137&gt;=Settings!$B$11,"Target Met","Below Target")</f>
        <v>Target Met</v>
      </c>
      <c r="AM137" t="str">
        <f>IF(YEAR(B137)=Settings!$B$5,"Correct Year","Wrong Year")</f>
        <v>Correct Year</v>
      </c>
      <c r="AN137">
        <f t="shared" si="32"/>
        <v>4</v>
      </c>
    </row>
    <row r="138" spans="1:40">
      <c r="A138" t="str">
        <f>Raw_Data!A138</f>
        <v>ORD-10137</v>
      </c>
      <c r="B138" s="13">
        <f>Raw_Data!B138</f>
        <v>45868</v>
      </c>
      <c r="C138" t="str">
        <f>Raw_Data!C138</f>
        <v>C1112</v>
      </c>
      <c r="D138" t="str">
        <f>Raw_Data!D138</f>
        <v>client14@example.com</v>
      </c>
      <c r="E138" t="str">
        <f>Raw_Data!E138</f>
        <v>P1002</v>
      </c>
      <c r="F138" t="str">
        <f>Raw_Data!F138</f>
        <v>Wireless Mouse</v>
      </c>
      <c r="G138" t="str">
        <f>Raw_Data!G138</f>
        <v>Accessories</v>
      </c>
      <c r="H138" t="str">
        <f>Raw_Data!H138</f>
        <v>South</v>
      </c>
      <c r="I138" t="str">
        <f>Raw_Data!I138</f>
        <v>Marketplace</v>
      </c>
      <c r="J138" t="str">
        <f>Raw_Data!J138</f>
        <v>Elena Stan</v>
      </c>
      <c r="K138">
        <f>Raw_Data!K138</f>
        <v>6</v>
      </c>
      <c r="L138" s="12">
        <f>Raw_Data!L138</f>
        <v>85</v>
      </c>
      <c r="M138" s="12">
        <f>Raw_Data!M138</f>
        <v>44</v>
      </c>
      <c r="N138" s="14">
        <f>Raw_Data!N138</f>
        <v>0.2</v>
      </c>
      <c r="O138" t="str">
        <f>Raw_Data!O138</f>
        <v>Cash</v>
      </c>
      <c r="P138" t="str">
        <f>Raw_Data!P138</f>
        <v>Completed</v>
      </c>
      <c r="Q138" s="12">
        <f t="shared" si="22"/>
        <v>510</v>
      </c>
      <c r="R138" s="12">
        <f t="shared" si="23"/>
        <v>408</v>
      </c>
      <c r="S138" s="12">
        <f t="shared" si="24"/>
        <v>264</v>
      </c>
      <c r="T138" s="12">
        <f t="shared" si="25"/>
        <v>144</v>
      </c>
      <c r="U138" s="11">
        <f t="shared" si="26"/>
        <v>0.35294117647058826</v>
      </c>
      <c r="V138" t="str">
        <f>IF(OR(A138="",COUNTIF($A$2:$A$301,A138)&gt;1,C138="",D138="",ISERROR(SEARCH("@",D138)),ISERROR(SEARCH(".",D138)),COUNTIF(Lookups!$A$2:$A$11,E138)=0,F138="",H138="",K138&lt;=0,L138&lt;0,M138&lt;0,N138&lt;0,N138&gt;0.5,COUNTIF(Lookups!$K$2:$K$4,P138)=0),"ERROR","VALID")</f>
        <v>VALID</v>
      </c>
      <c r="W138" s="2" t="str">
        <f>IF(A138="","Missing Order ID; ","")&amp;IF(COUNTIF($A$2:$A$301,A138)&gt;1,"Duplicate Order ID; ","")&amp;IF(C138="","Missing Customer ID; ","")&amp;IF(OR(D138="",ISERROR(SEARCH("@",D138)),ISERROR(SEARCH(".",D138))),"Invalid Email; ","")&amp;IF(COUNTIF(Lookups!$A$2:$A$11,E138)=0,"Unknown Product; ","")&amp;IF(F138="","Missing Product Name; ","")&amp;IF(H138="","Missing Region; ","")&amp;IF(K138&lt;=0,"Invalid Quantity; ","")&amp;IF(L138&lt;0,"Invalid Price; ","")&amp;IF(M138&lt;0,"Invalid Cost; ","")&amp;IF(OR(N138&lt;0,N138&gt;0.5),"Invalid Discount; ","")&amp;IF(COUNTIF(Lookups!$K$2:$K$4,P138)=0,"Invalid Status; ","")</f>
        <v/>
      </c>
      <c r="X138" s="15" t="str">
        <f t="shared" si="27"/>
        <v>2025-07</v>
      </c>
      <c r="Y138" t="str">
        <f t="shared" si="28"/>
        <v>Q3</v>
      </c>
      <c r="Z138" t="str">
        <f>IF(R138&gt;=Settings!$B$9,"High Value Customer",IF(R138&gt;=Settings!$B$10,"Medium Value Customer","Standard Customer"))</f>
        <v>Standard Customer</v>
      </c>
      <c r="AA138" t="str">
        <f>IF(R138&gt;=Settings!$B$9,"Large Order",IF(R138&gt;=Settings!$B$10,"Medium Order","Small Order"))</f>
        <v>Small Order</v>
      </c>
      <c r="AB138" t="str">
        <f>IF(N138=0,"No Discount",IF(N138&lt;=0.1,"Low Discount",IF(N138&lt;=Settings!$B$8,"Medium Discount","High Discount")))</f>
        <v>Medium Discount</v>
      </c>
      <c r="AC138" t="str">
        <f t="shared" si="29"/>
        <v>Profitable</v>
      </c>
      <c r="AD138" t="str">
        <f>IFERROR(VLOOKUP(E138,Lookups!$A$2:$E$11,2,FALSE),"Product Not Found")</f>
        <v>Wireless Mouse</v>
      </c>
      <c r="AE138" t="str">
        <f>IFERROR(VLOOKUP(E138,Lookups!$A$2:$E$11,3,FALSE),"Category Not Found")</f>
        <v>Accessories</v>
      </c>
      <c r="AF138" t="str">
        <f>IFERROR(IF(L138=VLOOKUP(E138,Lookups!$A$2:$E$11,4,FALSE),"Price OK","Price Mismatch"),"Product Missing")</f>
        <v>Price OK</v>
      </c>
      <c r="AG138" t="str">
        <f t="shared" si="30"/>
        <v>Valid Email</v>
      </c>
      <c r="AH138" t="str">
        <f t="shared" si="31"/>
        <v>READY FOR REPORTING</v>
      </c>
      <c r="AI138" t="str">
        <f>IF(AND(LEFT(A138,LEN(Settings!$B$13))=Settings!$B$13,LEN(A138)=9),"Valid Format","Invalid Format")</f>
        <v>Valid Format</v>
      </c>
      <c r="AJ138" t="str">
        <f>IF(LEFT(C138,LEN(Settings!$B$14))=Settings!$B$14,"Valid Format","Invalid Format")</f>
        <v>Valid Format</v>
      </c>
      <c r="AK138" t="str">
        <f>IF(COUNTIF(Master_Data!$G$5:$G$14,C138)=1,"Known Customer","Customer Not in Master")</f>
        <v>Customer Not in Master</v>
      </c>
      <c r="AL138" t="str">
        <f>IF(U138&gt;=Settings!$B$11,"Target Met","Below Target")</f>
        <v>Target Met</v>
      </c>
      <c r="AM138" t="str">
        <f>IF(YEAR(B138)=Settings!$B$5,"Correct Year","Wrong Year")</f>
        <v>Correct Year</v>
      </c>
      <c r="AN138">
        <f t="shared" si="32"/>
        <v>4</v>
      </c>
    </row>
    <row r="139" spans="1:40">
      <c r="A139" t="str">
        <f>Raw_Data!A139</f>
        <v>ORD-10138</v>
      </c>
      <c r="B139" s="13">
        <f>Raw_Data!B139</f>
        <v>45953</v>
      </c>
      <c r="C139" t="str">
        <f>Raw_Data!C139</f>
        <v>C1085</v>
      </c>
      <c r="D139" t="str">
        <f>Raw_Data!D139</f>
        <v>client124@example.com</v>
      </c>
      <c r="E139" t="str">
        <f>Raw_Data!E139</f>
        <v>P1002</v>
      </c>
      <c r="F139" t="str">
        <f>Raw_Data!F139</f>
        <v>Wireless Mouse</v>
      </c>
      <c r="G139" t="str">
        <f>Raw_Data!G139</f>
        <v>Accessories</v>
      </c>
      <c r="H139" t="str">
        <f>Raw_Data!H139</f>
        <v>North</v>
      </c>
      <c r="I139" t="str">
        <f>Raw_Data!I139</f>
        <v>Online</v>
      </c>
      <c r="J139" t="str">
        <f>Raw_Data!J139</f>
        <v>Elena Stan</v>
      </c>
      <c r="K139">
        <f>Raw_Data!K139</f>
        <v>9</v>
      </c>
      <c r="L139" s="12">
        <f>Raw_Data!L139</f>
        <v>85</v>
      </c>
      <c r="M139" s="12">
        <f>Raw_Data!M139</f>
        <v>44</v>
      </c>
      <c r="N139" s="14">
        <f>Raw_Data!N139</f>
        <v>0</v>
      </c>
      <c r="O139" t="str">
        <f>Raw_Data!O139</f>
        <v>Cash</v>
      </c>
      <c r="P139" t="str">
        <f>Raw_Data!P139</f>
        <v>Completed</v>
      </c>
      <c r="Q139" s="12">
        <f t="shared" si="22"/>
        <v>765</v>
      </c>
      <c r="R139" s="12">
        <f t="shared" si="23"/>
        <v>765</v>
      </c>
      <c r="S139" s="12">
        <f t="shared" si="24"/>
        <v>396</v>
      </c>
      <c r="T139" s="12">
        <f t="shared" si="25"/>
        <v>369</v>
      </c>
      <c r="U139" s="11">
        <f t="shared" si="26"/>
        <v>0.4823529411764706</v>
      </c>
      <c r="V139" t="str">
        <f>IF(OR(A139="",COUNTIF($A$2:$A$301,A139)&gt;1,C139="",D139="",ISERROR(SEARCH("@",D139)),ISERROR(SEARCH(".",D139)),COUNTIF(Lookups!$A$2:$A$11,E139)=0,F139="",H139="",K139&lt;=0,L139&lt;0,M139&lt;0,N139&lt;0,N139&gt;0.5,COUNTIF(Lookups!$K$2:$K$4,P139)=0),"ERROR","VALID")</f>
        <v>VALID</v>
      </c>
      <c r="W139" s="2" t="str">
        <f>IF(A139="","Missing Order ID; ","")&amp;IF(COUNTIF($A$2:$A$301,A139)&gt;1,"Duplicate Order ID; ","")&amp;IF(C139="","Missing Customer ID; ","")&amp;IF(OR(D139="",ISERROR(SEARCH("@",D139)),ISERROR(SEARCH(".",D139))),"Invalid Email; ","")&amp;IF(COUNTIF(Lookups!$A$2:$A$11,E139)=0,"Unknown Product; ","")&amp;IF(F139="","Missing Product Name; ","")&amp;IF(H139="","Missing Region; ","")&amp;IF(K139&lt;=0,"Invalid Quantity; ","")&amp;IF(L139&lt;0,"Invalid Price; ","")&amp;IF(M139&lt;0,"Invalid Cost; ","")&amp;IF(OR(N139&lt;0,N139&gt;0.5),"Invalid Discount; ","")&amp;IF(COUNTIF(Lookups!$K$2:$K$4,P139)=0,"Invalid Status; ","")</f>
        <v/>
      </c>
      <c r="X139" s="15" t="str">
        <f t="shared" si="27"/>
        <v>2025-10</v>
      </c>
      <c r="Y139" t="str">
        <f t="shared" si="28"/>
        <v>Q4</v>
      </c>
      <c r="Z139" t="str">
        <f>IF(R139&gt;=Settings!$B$9,"High Value Customer",IF(R139&gt;=Settings!$B$10,"Medium Value Customer","Standard Customer"))</f>
        <v>Standard Customer</v>
      </c>
      <c r="AA139" t="str">
        <f>IF(R139&gt;=Settings!$B$9,"Large Order",IF(R139&gt;=Settings!$B$10,"Medium Order","Small Order"))</f>
        <v>Small Order</v>
      </c>
      <c r="AB139" t="str">
        <f>IF(N139=0,"No Discount",IF(N139&lt;=0.1,"Low Discount",IF(N139&lt;=Settings!$B$8,"Medium Discount","High Discount")))</f>
        <v>No Discount</v>
      </c>
      <c r="AC139" t="str">
        <f t="shared" si="29"/>
        <v>Profitable</v>
      </c>
      <c r="AD139" t="str">
        <f>IFERROR(VLOOKUP(E139,Lookups!$A$2:$E$11,2,FALSE),"Product Not Found")</f>
        <v>Wireless Mouse</v>
      </c>
      <c r="AE139" t="str">
        <f>IFERROR(VLOOKUP(E139,Lookups!$A$2:$E$11,3,FALSE),"Category Not Found")</f>
        <v>Accessories</v>
      </c>
      <c r="AF139" t="str">
        <f>IFERROR(IF(L139=VLOOKUP(E139,Lookups!$A$2:$E$11,4,FALSE),"Price OK","Price Mismatch"),"Product Missing")</f>
        <v>Price OK</v>
      </c>
      <c r="AG139" t="str">
        <f t="shared" si="30"/>
        <v>Valid Email</v>
      </c>
      <c r="AH139" t="str">
        <f t="shared" si="31"/>
        <v>READY FOR REPORTING</v>
      </c>
      <c r="AI139" t="str">
        <f>IF(AND(LEFT(A139,LEN(Settings!$B$13))=Settings!$B$13,LEN(A139)=9),"Valid Format","Invalid Format")</f>
        <v>Valid Format</v>
      </c>
      <c r="AJ139" t="str">
        <f>IF(LEFT(C139,LEN(Settings!$B$14))=Settings!$B$14,"Valid Format","Invalid Format")</f>
        <v>Valid Format</v>
      </c>
      <c r="AK139" t="str">
        <f>IF(COUNTIF(Master_Data!$G$5:$G$14,C139)=1,"Known Customer","Customer Not in Master")</f>
        <v>Customer Not in Master</v>
      </c>
      <c r="AL139" t="str">
        <f>IF(U139&gt;=Settings!$B$11,"Target Met","Below Target")</f>
        <v>Target Met</v>
      </c>
      <c r="AM139" t="str">
        <f>IF(YEAR(B139)=Settings!$B$5,"Correct Year","Wrong Year")</f>
        <v>Correct Year</v>
      </c>
      <c r="AN139">
        <f t="shared" si="32"/>
        <v>4</v>
      </c>
    </row>
    <row r="140" spans="1:40">
      <c r="A140" t="str">
        <f>Raw_Data!A140</f>
        <v>ORD-10139</v>
      </c>
      <c r="B140" s="13">
        <f>Raw_Data!B140</f>
        <v>45800</v>
      </c>
      <c r="C140" t="str">
        <f>Raw_Data!C140</f>
        <v>C1109</v>
      </c>
      <c r="D140" t="str">
        <f>Raw_Data!D140</f>
        <v>client144@example.com</v>
      </c>
      <c r="E140" t="str">
        <f>Raw_Data!E140</f>
        <v>P1002</v>
      </c>
      <c r="F140" t="str">
        <f>Raw_Data!F140</f>
        <v>Wireless Mouse</v>
      </c>
      <c r="G140" t="str">
        <f>Raw_Data!G140</f>
        <v>Accessories</v>
      </c>
      <c r="H140" t="str">
        <f>Raw_Data!H140</f>
        <v>West</v>
      </c>
      <c r="I140" t="str">
        <f>Raw_Data!I140</f>
        <v>Marketplace</v>
      </c>
      <c r="J140" t="str">
        <f>Raw_Data!J140</f>
        <v>Ioana Pavel</v>
      </c>
      <c r="K140">
        <f>Raw_Data!K140</f>
        <v>10</v>
      </c>
      <c r="L140" s="12">
        <f>Raw_Data!L140</f>
        <v>85</v>
      </c>
      <c r="M140" s="12">
        <f>Raw_Data!M140</f>
        <v>44</v>
      </c>
      <c r="N140" s="14">
        <f>Raw_Data!N140</f>
        <v>0</v>
      </c>
      <c r="O140" t="str">
        <f>Raw_Data!O140</f>
        <v>Card</v>
      </c>
      <c r="P140" t="str">
        <f>Raw_Data!P140</f>
        <v>Completed</v>
      </c>
      <c r="Q140" s="12">
        <f t="shared" si="22"/>
        <v>850</v>
      </c>
      <c r="R140" s="12">
        <f t="shared" si="23"/>
        <v>850</v>
      </c>
      <c r="S140" s="12">
        <f t="shared" si="24"/>
        <v>440</v>
      </c>
      <c r="T140" s="12">
        <f t="shared" si="25"/>
        <v>410</v>
      </c>
      <c r="U140" s="11">
        <f t="shared" si="26"/>
        <v>0.4823529411764706</v>
      </c>
      <c r="V140" t="str">
        <f>IF(OR(A140="",COUNTIF($A$2:$A$301,A140)&gt;1,C140="",D140="",ISERROR(SEARCH("@",D140)),ISERROR(SEARCH(".",D140)),COUNTIF(Lookups!$A$2:$A$11,E140)=0,F140="",H140="",K140&lt;=0,L140&lt;0,M140&lt;0,N140&lt;0,N140&gt;0.5,COUNTIF(Lookups!$K$2:$K$4,P140)=0),"ERROR","VALID")</f>
        <v>VALID</v>
      </c>
      <c r="W140" s="2" t="str">
        <f>IF(A140="","Missing Order ID; ","")&amp;IF(COUNTIF($A$2:$A$301,A140)&gt;1,"Duplicate Order ID; ","")&amp;IF(C140="","Missing Customer ID; ","")&amp;IF(OR(D140="",ISERROR(SEARCH("@",D140)),ISERROR(SEARCH(".",D140))),"Invalid Email; ","")&amp;IF(COUNTIF(Lookups!$A$2:$A$11,E140)=0,"Unknown Product; ","")&amp;IF(F140="","Missing Product Name; ","")&amp;IF(H140="","Missing Region; ","")&amp;IF(K140&lt;=0,"Invalid Quantity; ","")&amp;IF(L140&lt;0,"Invalid Price; ","")&amp;IF(M140&lt;0,"Invalid Cost; ","")&amp;IF(OR(N140&lt;0,N140&gt;0.5),"Invalid Discount; ","")&amp;IF(COUNTIF(Lookups!$K$2:$K$4,P140)=0,"Invalid Status; ","")</f>
        <v/>
      </c>
      <c r="X140" s="15" t="str">
        <f t="shared" si="27"/>
        <v>2025-05</v>
      </c>
      <c r="Y140" t="str">
        <f t="shared" si="28"/>
        <v>Q2</v>
      </c>
      <c r="Z140" t="str">
        <f>IF(R140&gt;=Settings!$B$9,"High Value Customer",IF(R140&gt;=Settings!$B$10,"Medium Value Customer","Standard Customer"))</f>
        <v>Standard Customer</v>
      </c>
      <c r="AA140" t="str">
        <f>IF(R140&gt;=Settings!$B$9,"Large Order",IF(R140&gt;=Settings!$B$10,"Medium Order","Small Order"))</f>
        <v>Small Order</v>
      </c>
      <c r="AB140" t="str">
        <f>IF(N140=0,"No Discount",IF(N140&lt;=0.1,"Low Discount",IF(N140&lt;=Settings!$B$8,"Medium Discount","High Discount")))</f>
        <v>No Discount</v>
      </c>
      <c r="AC140" t="str">
        <f t="shared" si="29"/>
        <v>Profitable</v>
      </c>
      <c r="AD140" t="str">
        <f>IFERROR(VLOOKUP(E140,Lookups!$A$2:$E$11,2,FALSE),"Product Not Found")</f>
        <v>Wireless Mouse</v>
      </c>
      <c r="AE140" t="str">
        <f>IFERROR(VLOOKUP(E140,Lookups!$A$2:$E$11,3,FALSE),"Category Not Found")</f>
        <v>Accessories</v>
      </c>
      <c r="AF140" t="str">
        <f>IFERROR(IF(L140=VLOOKUP(E140,Lookups!$A$2:$E$11,4,FALSE),"Price OK","Price Mismatch"),"Product Missing")</f>
        <v>Price OK</v>
      </c>
      <c r="AG140" t="str">
        <f t="shared" si="30"/>
        <v>Valid Email</v>
      </c>
      <c r="AH140" t="str">
        <f t="shared" si="31"/>
        <v>READY FOR REPORTING</v>
      </c>
      <c r="AI140" t="str">
        <f>IF(AND(LEFT(A140,LEN(Settings!$B$13))=Settings!$B$13,LEN(A140)=9),"Valid Format","Invalid Format")</f>
        <v>Valid Format</v>
      </c>
      <c r="AJ140" t="str">
        <f>IF(LEFT(C140,LEN(Settings!$B$14))=Settings!$B$14,"Valid Format","Invalid Format")</f>
        <v>Valid Format</v>
      </c>
      <c r="AK140" t="str">
        <f>IF(COUNTIF(Master_Data!$G$5:$G$14,C140)=1,"Known Customer","Customer Not in Master")</f>
        <v>Customer Not in Master</v>
      </c>
      <c r="AL140" t="str">
        <f>IF(U140&gt;=Settings!$B$11,"Target Met","Below Target")</f>
        <v>Target Met</v>
      </c>
      <c r="AM140" t="str">
        <f>IF(YEAR(B140)=Settings!$B$5,"Correct Year","Wrong Year")</f>
        <v>Correct Year</v>
      </c>
      <c r="AN140">
        <f t="shared" si="32"/>
        <v>4</v>
      </c>
    </row>
    <row r="141" spans="1:40">
      <c r="A141" t="str">
        <f>Raw_Data!A141</f>
        <v>ORD-10140</v>
      </c>
      <c r="B141" s="13">
        <f>Raw_Data!B141</f>
        <v>45994</v>
      </c>
      <c r="C141" t="str">
        <f>Raw_Data!C141</f>
        <v>C1024</v>
      </c>
      <c r="D141" t="str">
        <f>Raw_Data!D141</f>
        <v>client70@example.com</v>
      </c>
      <c r="E141" t="str">
        <f>Raw_Data!E141</f>
        <v>P1010</v>
      </c>
      <c r="F141" t="str">
        <f>Raw_Data!F141</f>
        <v>Headset</v>
      </c>
      <c r="G141" t="str">
        <f>Raw_Data!G141</f>
        <v>Electronics</v>
      </c>
      <c r="H141" t="str">
        <f>Raw_Data!H141</f>
        <v>South</v>
      </c>
      <c r="I141" t="str">
        <f>Raw_Data!I141</f>
        <v>Store</v>
      </c>
      <c r="J141" t="str">
        <f>Raw_Data!J141</f>
        <v>Elena Stan</v>
      </c>
      <c r="K141">
        <f>Raw_Data!K141</f>
        <v>12</v>
      </c>
      <c r="L141" s="12">
        <f>Raw_Data!L141</f>
        <v>195</v>
      </c>
      <c r="M141" s="12">
        <f>Raw_Data!M141</f>
        <v>105</v>
      </c>
      <c r="N141" s="14">
        <f>Raw_Data!N141</f>
        <v>0.05</v>
      </c>
      <c r="O141" t="str">
        <f>Raw_Data!O141</f>
        <v>Card</v>
      </c>
      <c r="P141" t="str">
        <f>Raw_Data!P141</f>
        <v>Completed</v>
      </c>
      <c r="Q141" s="12">
        <f t="shared" si="22"/>
        <v>2340</v>
      </c>
      <c r="R141" s="12">
        <f t="shared" si="23"/>
        <v>2223</v>
      </c>
      <c r="S141" s="12">
        <f t="shared" si="24"/>
        <v>1260</v>
      </c>
      <c r="T141" s="12">
        <f t="shared" si="25"/>
        <v>963</v>
      </c>
      <c r="U141" s="11">
        <f t="shared" si="26"/>
        <v>0.4331983805668016</v>
      </c>
      <c r="V141" t="str">
        <f>IF(OR(A141="",COUNTIF($A$2:$A$301,A141)&gt;1,C141="",D141="",ISERROR(SEARCH("@",D141)),ISERROR(SEARCH(".",D141)),COUNTIF(Lookups!$A$2:$A$11,E141)=0,F141="",H141="",K141&lt;=0,L141&lt;0,M141&lt;0,N141&lt;0,N141&gt;0.5,COUNTIF(Lookups!$K$2:$K$4,P141)=0),"ERROR","VALID")</f>
        <v>VALID</v>
      </c>
      <c r="W141" s="2" t="str">
        <f>IF(A141="","Missing Order ID; ","")&amp;IF(COUNTIF($A$2:$A$301,A141)&gt;1,"Duplicate Order ID; ","")&amp;IF(C141="","Missing Customer ID; ","")&amp;IF(OR(D141="",ISERROR(SEARCH("@",D141)),ISERROR(SEARCH(".",D141))),"Invalid Email; ","")&amp;IF(COUNTIF(Lookups!$A$2:$A$11,E141)=0,"Unknown Product; ","")&amp;IF(F141="","Missing Product Name; ","")&amp;IF(H141="","Missing Region; ","")&amp;IF(K141&lt;=0,"Invalid Quantity; ","")&amp;IF(L141&lt;0,"Invalid Price; ","")&amp;IF(M141&lt;0,"Invalid Cost; ","")&amp;IF(OR(N141&lt;0,N141&gt;0.5),"Invalid Discount; ","")&amp;IF(COUNTIF(Lookups!$K$2:$K$4,P141)=0,"Invalid Status; ","")</f>
        <v/>
      </c>
      <c r="X141" s="15" t="str">
        <f t="shared" si="27"/>
        <v>2025-12</v>
      </c>
      <c r="Y141" t="str">
        <f t="shared" si="28"/>
        <v>Q4</v>
      </c>
      <c r="Z141" t="str">
        <f>IF(R141&gt;=Settings!$B$9,"High Value Customer",IF(R141&gt;=Settings!$B$10,"Medium Value Customer","Standard Customer"))</f>
        <v>Medium Value Customer</v>
      </c>
      <c r="AA141" t="str">
        <f>IF(R141&gt;=Settings!$B$9,"Large Order",IF(R141&gt;=Settings!$B$10,"Medium Order","Small Order"))</f>
        <v>Medium Order</v>
      </c>
      <c r="AB141" t="str">
        <f>IF(N141=0,"No Discount",IF(N141&lt;=0.1,"Low Discount",IF(N141&lt;=Settings!$B$8,"Medium Discount","High Discount")))</f>
        <v>Low Discount</v>
      </c>
      <c r="AC141" t="str">
        <f t="shared" si="29"/>
        <v>Profitable</v>
      </c>
      <c r="AD141" t="str">
        <f>IFERROR(VLOOKUP(E141,Lookups!$A$2:$E$11,2,FALSE),"Product Not Found")</f>
        <v>Headset</v>
      </c>
      <c r="AE141" t="str">
        <f>IFERROR(VLOOKUP(E141,Lookups!$A$2:$E$11,3,FALSE),"Category Not Found")</f>
        <v>Electronics</v>
      </c>
      <c r="AF141" t="str">
        <f>IFERROR(IF(L141=VLOOKUP(E141,Lookups!$A$2:$E$11,4,FALSE),"Price OK","Price Mismatch"),"Product Missing")</f>
        <v>Price OK</v>
      </c>
      <c r="AG141" t="str">
        <f t="shared" si="30"/>
        <v>Valid Email</v>
      </c>
      <c r="AH141" t="str">
        <f t="shared" si="31"/>
        <v>READY FOR REPORTING</v>
      </c>
      <c r="AI141" t="str">
        <f>IF(AND(LEFT(A141,LEN(Settings!$B$13))=Settings!$B$13,LEN(A141)=9),"Valid Format","Invalid Format")</f>
        <v>Valid Format</v>
      </c>
      <c r="AJ141" t="str">
        <f>IF(LEFT(C141,LEN(Settings!$B$14))=Settings!$B$14,"Valid Format","Invalid Format")</f>
        <v>Valid Format</v>
      </c>
      <c r="AK141" t="str">
        <f>IF(COUNTIF(Master_Data!$G$5:$G$14,C141)=1,"Known Customer","Customer Not in Master")</f>
        <v>Customer Not in Master</v>
      </c>
      <c r="AL141" t="str">
        <f>IF(U141&gt;=Settings!$B$11,"Target Met","Below Target")</f>
        <v>Target Met</v>
      </c>
      <c r="AM141" t="str">
        <f>IF(YEAR(B141)=Settings!$B$5,"Correct Year","Wrong Year")</f>
        <v>Correct Year</v>
      </c>
      <c r="AN141">
        <f t="shared" si="32"/>
        <v>4</v>
      </c>
    </row>
    <row r="142" spans="1:40">
      <c r="A142" t="str">
        <f>Raw_Data!A142</f>
        <v>ORD-10141</v>
      </c>
      <c r="B142" s="13">
        <f>Raw_Data!B142</f>
        <v>45731</v>
      </c>
      <c r="C142" t="str">
        <f>Raw_Data!C142</f>
        <v>C1009</v>
      </c>
      <c r="D142" t="str">
        <f>Raw_Data!D142</f>
        <v>client37@example.com</v>
      </c>
      <c r="E142" t="str">
        <f>Raw_Data!E142</f>
        <v>P1003</v>
      </c>
      <c r="F142" t="str">
        <f>Raw_Data!F142</f>
        <v>Mechanical Keyboard</v>
      </c>
      <c r="G142" t="str">
        <f>Raw_Data!G142</f>
        <v>Accessories</v>
      </c>
      <c r="H142" t="str">
        <f>Raw_Data!H142</f>
        <v>Bucharest</v>
      </c>
      <c r="I142" t="str">
        <f>Raw_Data!I142</f>
        <v>Online</v>
      </c>
      <c r="J142" t="str">
        <f>Raw_Data!J142</f>
        <v>Ioana Pavel</v>
      </c>
      <c r="K142">
        <f>Raw_Data!K142</f>
        <v>10</v>
      </c>
      <c r="L142" s="12">
        <f>Raw_Data!L142</f>
        <v>265</v>
      </c>
      <c r="M142" s="12">
        <f>Raw_Data!M142</f>
        <v>155</v>
      </c>
      <c r="N142" s="14">
        <f>Raw_Data!N142</f>
        <v>0.2</v>
      </c>
      <c r="O142" t="str">
        <f>Raw_Data!O142</f>
        <v>Bank Transfer</v>
      </c>
      <c r="P142" t="str">
        <f>Raw_Data!P142</f>
        <v>Completed</v>
      </c>
      <c r="Q142" s="12">
        <f t="shared" si="22"/>
        <v>2650</v>
      </c>
      <c r="R142" s="12">
        <f t="shared" si="23"/>
        <v>2120</v>
      </c>
      <c r="S142" s="12">
        <f t="shared" si="24"/>
        <v>1550</v>
      </c>
      <c r="T142" s="12">
        <f t="shared" si="25"/>
        <v>570</v>
      </c>
      <c r="U142" s="11">
        <f t="shared" si="26"/>
        <v>0.26886792452830188</v>
      </c>
      <c r="V142" t="str">
        <f>IF(OR(A142="",COUNTIF($A$2:$A$301,A142)&gt;1,C142="",D142="",ISERROR(SEARCH("@",D142)),ISERROR(SEARCH(".",D142)),COUNTIF(Lookups!$A$2:$A$11,E142)=0,F142="",H142="",K142&lt;=0,L142&lt;0,M142&lt;0,N142&lt;0,N142&gt;0.5,COUNTIF(Lookups!$K$2:$K$4,P142)=0),"ERROR","VALID")</f>
        <v>VALID</v>
      </c>
      <c r="W142" s="2" t="str">
        <f>IF(A142="","Missing Order ID; ","")&amp;IF(COUNTIF($A$2:$A$301,A142)&gt;1,"Duplicate Order ID; ","")&amp;IF(C142="","Missing Customer ID; ","")&amp;IF(OR(D142="",ISERROR(SEARCH("@",D142)),ISERROR(SEARCH(".",D142))),"Invalid Email; ","")&amp;IF(COUNTIF(Lookups!$A$2:$A$11,E142)=0,"Unknown Product; ","")&amp;IF(F142="","Missing Product Name; ","")&amp;IF(H142="","Missing Region; ","")&amp;IF(K142&lt;=0,"Invalid Quantity; ","")&amp;IF(L142&lt;0,"Invalid Price; ","")&amp;IF(M142&lt;0,"Invalid Cost; ","")&amp;IF(OR(N142&lt;0,N142&gt;0.5),"Invalid Discount; ","")&amp;IF(COUNTIF(Lookups!$K$2:$K$4,P142)=0,"Invalid Status; ","")</f>
        <v/>
      </c>
      <c r="X142" s="15" t="str">
        <f t="shared" si="27"/>
        <v>2025-03</v>
      </c>
      <c r="Y142" t="str">
        <f t="shared" si="28"/>
        <v>Q1</v>
      </c>
      <c r="Z142" t="str">
        <f>IF(R142&gt;=Settings!$B$9,"High Value Customer",IF(R142&gt;=Settings!$B$10,"Medium Value Customer","Standard Customer"))</f>
        <v>Medium Value Customer</v>
      </c>
      <c r="AA142" t="str">
        <f>IF(R142&gt;=Settings!$B$9,"Large Order",IF(R142&gt;=Settings!$B$10,"Medium Order","Small Order"))</f>
        <v>Medium Order</v>
      </c>
      <c r="AB142" t="str">
        <f>IF(N142=0,"No Discount",IF(N142&lt;=0.1,"Low Discount",IF(N142&lt;=Settings!$B$8,"Medium Discount","High Discount")))</f>
        <v>Medium Discount</v>
      </c>
      <c r="AC142" t="str">
        <f t="shared" si="29"/>
        <v>Profitable</v>
      </c>
      <c r="AD142" t="str">
        <f>IFERROR(VLOOKUP(E142,Lookups!$A$2:$E$11,2,FALSE),"Product Not Found")</f>
        <v>Mechanical Keyboard</v>
      </c>
      <c r="AE142" t="str">
        <f>IFERROR(VLOOKUP(E142,Lookups!$A$2:$E$11,3,FALSE),"Category Not Found")</f>
        <v>Accessories</v>
      </c>
      <c r="AF142" t="str">
        <f>IFERROR(IF(L142=VLOOKUP(E142,Lookups!$A$2:$E$11,4,FALSE),"Price OK","Price Mismatch"),"Product Missing")</f>
        <v>Price OK</v>
      </c>
      <c r="AG142" t="str">
        <f t="shared" si="30"/>
        <v>Valid Email</v>
      </c>
      <c r="AH142" t="str">
        <f t="shared" si="31"/>
        <v>READY FOR REPORTING</v>
      </c>
      <c r="AI142" t="str">
        <f>IF(AND(LEFT(A142,LEN(Settings!$B$13))=Settings!$B$13,LEN(A142)=9),"Valid Format","Invalid Format")</f>
        <v>Valid Format</v>
      </c>
      <c r="AJ142" t="str">
        <f>IF(LEFT(C142,LEN(Settings!$B$14))=Settings!$B$14,"Valid Format","Invalid Format")</f>
        <v>Valid Format</v>
      </c>
      <c r="AK142" t="str">
        <f>IF(COUNTIF(Master_Data!$G$5:$G$14,C142)=1,"Known Customer","Customer Not in Master")</f>
        <v>Known Customer</v>
      </c>
      <c r="AL142" t="str">
        <f>IF(U142&gt;=Settings!$B$11,"Target Met","Below Target")</f>
        <v>Target Met</v>
      </c>
      <c r="AM142" t="str">
        <f>IF(YEAR(B142)=Settings!$B$5,"Correct Year","Wrong Year")</f>
        <v>Correct Year</v>
      </c>
      <c r="AN142">
        <f t="shared" si="32"/>
        <v>5</v>
      </c>
    </row>
    <row r="143" spans="1:40">
      <c r="A143" t="str">
        <f>Raw_Data!A143</f>
        <v>ORD-10142</v>
      </c>
      <c r="B143" s="13">
        <f>Raw_Data!B143</f>
        <v>45872</v>
      </c>
      <c r="C143" t="str">
        <f>Raw_Data!C143</f>
        <v>C1048</v>
      </c>
      <c r="D143" t="str">
        <f>Raw_Data!D143</f>
        <v>client80@example.com</v>
      </c>
      <c r="E143" t="str">
        <f>Raw_Data!E143</f>
        <v>P1007</v>
      </c>
      <c r="F143" t="str">
        <f>Raw_Data!F143</f>
        <v>Office Chair</v>
      </c>
      <c r="G143" t="str">
        <f>Raw_Data!G143</f>
        <v>Furniture</v>
      </c>
      <c r="H143" t="str">
        <f>Raw_Data!H143</f>
        <v>South</v>
      </c>
      <c r="I143" t="str">
        <f>Raw_Data!I143</f>
        <v>Marketplace</v>
      </c>
      <c r="J143" t="str">
        <f>Raw_Data!J143</f>
        <v>Ioana Pavel</v>
      </c>
      <c r="K143">
        <f>Raw_Data!K143</f>
        <v>8</v>
      </c>
      <c r="L143" s="12">
        <f>Raw_Data!L143</f>
        <v>840</v>
      </c>
      <c r="M143" s="12">
        <f>Raw_Data!M143</f>
        <v>590</v>
      </c>
      <c r="N143" s="14">
        <f>Raw_Data!N143</f>
        <v>0.05</v>
      </c>
      <c r="O143" t="str">
        <f>Raw_Data!O143</f>
        <v>Card</v>
      </c>
      <c r="P143" t="str">
        <f>Raw_Data!P143</f>
        <v>Completed</v>
      </c>
      <c r="Q143" s="12">
        <f t="shared" si="22"/>
        <v>6720</v>
      </c>
      <c r="R143" s="12">
        <f t="shared" si="23"/>
        <v>6384</v>
      </c>
      <c r="S143" s="12">
        <f t="shared" si="24"/>
        <v>4720</v>
      </c>
      <c r="T143" s="12">
        <f t="shared" si="25"/>
        <v>1664</v>
      </c>
      <c r="U143" s="11">
        <f t="shared" si="26"/>
        <v>0.26065162907268169</v>
      </c>
      <c r="V143" t="str">
        <f>IF(OR(A143="",COUNTIF($A$2:$A$301,A143)&gt;1,C143="",D143="",ISERROR(SEARCH("@",D143)),ISERROR(SEARCH(".",D143)),COUNTIF(Lookups!$A$2:$A$11,E143)=0,F143="",H143="",K143&lt;=0,L143&lt;0,M143&lt;0,N143&lt;0,N143&gt;0.5,COUNTIF(Lookups!$K$2:$K$4,P143)=0),"ERROR","VALID")</f>
        <v>VALID</v>
      </c>
      <c r="W143" s="2" t="str">
        <f>IF(A143="","Missing Order ID; ","")&amp;IF(COUNTIF($A$2:$A$301,A143)&gt;1,"Duplicate Order ID; ","")&amp;IF(C143="","Missing Customer ID; ","")&amp;IF(OR(D143="",ISERROR(SEARCH("@",D143)),ISERROR(SEARCH(".",D143))),"Invalid Email; ","")&amp;IF(COUNTIF(Lookups!$A$2:$A$11,E143)=0,"Unknown Product; ","")&amp;IF(F143="","Missing Product Name; ","")&amp;IF(H143="","Missing Region; ","")&amp;IF(K143&lt;=0,"Invalid Quantity; ","")&amp;IF(L143&lt;0,"Invalid Price; ","")&amp;IF(M143&lt;0,"Invalid Cost; ","")&amp;IF(OR(N143&lt;0,N143&gt;0.5),"Invalid Discount; ","")&amp;IF(COUNTIF(Lookups!$K$2:$K$4,P143)=0,"Invalid Status; ","")</f>
        <v/>
      </c>
      <c r="X143" s="15" t="str">
        <f t="shared" si="27"/>
        <v>2025-08</v>
      </c>
      <c r="Y143" t="str">
        <f t="shared" si="28"/>
        <v>Q3</v>
      </c>
      <c r="Z143" t="str">
        <f>IF(R143&gt;=Settings!$B$9,"High Value Customer",IF(R143&gt;=Settings!$B$10,"Medium Value Customer","Standard Customer"))</f>
        <v>High Value Customer</v>
      </c>
      <c r="AA143" t="str">
        <f>IF(R143&gt;=Settings!$B$9,"Large Order",IF(R143&gt;=Settings!$B$10,"Medium Order","Small Order"))</f>
        <v>Large Order</v>
      </c>
      <c r="AB143" t="str">
        <f>IF(N143=0,"No Discount",IF(N143&lt;=0.1,"Low Discount",IF(N143&lt;=Settings!$B$8,"Medium Discount","High Discount")))</f>
        <v>Low Discount</v>
      </c>
      <c r="AC143" t="str">
        <f t="shared" si="29"/>
        <v>Profitable</v>
      </c>
      <c r="AD143" t="str">
        <f>IFERROR(VLOOKUP(E143,Lookups!$A$2:$E$11,2,FALSE),"Product Not Found")</f>
        <v>Office Chair</v>
      </c>
      <c r="AE143" t="str">
        <f>IFERROR(VLOOKUP(E143,Lookups!$A$2:$E$11,3,FALSE),"Category Not Found")</f>
        <v>Furniture</v>
      </c>
      <c r="AF143" t="str">
        <f>IFERROR(IF(L143=VLOOKUP(E143,Lookups!$A$2:$E$11,4,FALSE),"Price OK","Price Mismatch"),"Product Missing")</f>
        <v>Price OK</v>
      </c>
      <c r="AG143" t="str">
        <f t="shared" si="30"/>
        <v>Valid Email</v>
      </c>
      <c r="AH143" t="str">
        <f t="shared" si="31"/>
        <v>READY FOR REPORTING</v>
      </c>
      <c r="AI143" t="str">
        <f>IF(AND(LEFT(A143,LEN(Settings!$B$13))=Settings!$B$13,LEN(A143)=9),"Valid Format","Invalid Format")</f>
        <v>Valid Format</v>
      </c>
      <c r="AJ143" t="str">
        <f>IF(LEFT(C143,LEN(Settings!$B$14))=Settings!$B$14,"Valid Format","Invalid Format")</f>
        <v>Valid Format</v>
      </c>
      <c r="AK143" t="str">
        <f>IF(COUNTIF(Master_Data!$G$5:$G$14,C143)=1,"Known Customer","Customer Not in Master")</f>
        <v>Customer Not in Master</v>
      </c>
      <c r="AL143" t="str">
        <f>IF(U143&gt;=Settings!$B$11,"Target Met","Below Target")</f>
        <v>Target Met</v>
      </c>
      <c r="AM143" t="str">
        <f>IF(YEAR(B143)=Settings!$B$5,"Correct Year","Wrong Year")</f>
        <v>Correct Year</v>
      </c>
      <c r="AN143">
        <f t="shared" si="32"/>
        <v>4</v>
      </c>
    </row>
    <row r="144" spans="1:40">
      <c r="A144" t="str">
        <f>Raw_Data!A144</f>
        <v>ORD-10143</v>
      </c>
      <c r="B144" s="13">
        <f>Raw_Data!B144</f>
        <v>45737</v>
      </c>
      <c r="C144" t="str">
        <f>Raw_Data!C144</f>
        <v>C1087</v>
      </c>
      <c r="D144" t="str">
        <f>Raw_Data!D144</f>
        <v>client21@example.com</v>
      </c>
      <c r="E144" t="str">
        <f>Raw_Data!E144</f>
        <v>P1001</v>
      </c>
      <c r="F144" t="str">
        <f>Raw_Data!F144</f>
        <v>Laptop Stand</v>
      </c>
      <c r="G144" t="str">
        <f>Raw_Data!G144</f>
        <v>Accessories</v>
      </c>
      <c r="H144" t="str">
        <f>Raw_Data!H144</f>
        <v>South</v>
      </c>
      <c r="I144" t="str">
        <f>Raw_Data!I144</f>
        <v>Store</v>
      </c>
      <c r="J144" t="str">
        <f>Raw_Data!J144</f>
        <v>Mihai Radu</v>
      </c>
      <c r="K144">
        <f>Raw_Data!K144</f>
        <v>3</v>
      </c>
      <c r="L144" s="12">
        <f>Raw_Data!L144</f>
        <v>95</v>
      </c>
      <c r="M144" s="12">
        <f>Raw_Data!M144</f>
        <v>52</v>
      </c>
      <c r="N144" s="14">
        <f>Raw_Data!N144</f>
        <v>0.15</v>
      </c>
      <c r="O144" t="str">
        <f>Raw_Data!O144</f>
        <v>Online Wallet</v>
      </c>
      <c r="P144" t="str">
        <f>Raw_Data!P144</f>
        <v>Completed</v>
      </c>
      <c r="Q144" s="12">
        <f t="shared" si="22"/>
        <v>285</v>
      </c>
      <c r="R144" s="12">
        <f t="shared" si="23"/>
        <v>242.25</v>
      </c>
      <c r="S144" s="12">
        <f t="shared" si="24"/>
        <v>156</v>
      </c>
      <c r="T144" s="12">
        <f t="shared" si="25"/>
        <v>86.25</v>
      </c>
      <c r="U144" s="11">
        <f t="shared" si="26"/>
        <v>0.35603715170278638</v>
      </c>
      <c r="V144" t="str">
        <f>IF(OR(A144="",COUNTIF($A$2:$A$301,A144)&gt;1,C144="",D144="",ISERROR(SEARCH("@",D144)),ISERROR(SEARCH(".",D144)),COUNTIF(Lookups!$A$2:$A$11,E144)=0,F144="",H144="",K144&lt;=0,L144&lt;0,M144&lt;0,N144&lt;0,N144&gt;0.5,COUNTIF(Lookups!$K$2:$K$4,P144)=0),"ERROR","VALID")</f>
        <v>VALID</v>
      </c>
      <c r="W144" s="2" t="str">
        <f>IF(A144="","Missing Order ID; ","")&amp;IF(COUNTIF($A$2:$A$301,A144)&gt;1,"Duplicate Order ID; ","")&amp;IF(C144="","Missing Customer ID; ","")&amp;IF(OR(D144="",ISERROR(SEARCH("@",D144)),ISERROR(SEARCH(".",D144))),"Invalid Email; ","")&amp;IF(COUNTIF(Lookups!$A$2:$A$11,E144)=0,"Unknown Product; ","")&amp;IF(F144="","Missing Product Name; ","")&amp;IF(H144="","Missing Region; ","")&amp;IF(K144&lt;=0,"Invalid Quantity; ","")&amp;IF(L144&lt;0,"Invalid Price; ","")&amp;IF(M144&lt;0,"Invalid Cost; ","")&amp;IF(OR(N144&lt;0,N144&gt;0.5),"Invalid Discount; ","")&amp;IF(COUNTIF(Lookups!$K$2:$K$4,P144)=0,"Invalid Status; ","")</f>
        <v/>
      </c>
      <c r="X144" s="15" t="str">
        <f t="shared" si="27"/>
        <v>2025-03</v>
      </c>
      <c r="Y144" t="str">
        <f t="shared" si="28"/>
        <v>Q1</v>
      </c>
      <c r="Z144" t="str">
        <f>IF(R144&gt;=Settings!$B$9,"High Value Customer",IF(R144&gt;=Settings!$B$10,"Medium Value Customer","Standard Customer"))</f>
        <v>Standard Customer</v>
      </c>
      <c r="AA144" t="str">
        <f>IF(R144&gt;=Settings!$B$9,"Large Order",IF(R144&gt;=Settings!$B$10,"Medium Order","Small Order"))</f>
        <v>Small Order</v>
      </c>
      <c r="AB144" t="str">
        <f>IF(N144=0,"No Discount",IF(N144&lt;=0.1,"Low Discount",IF(N144&lt;=Settings!$B$8,"Medium Discount","High Discount")))</f>
        <v>Medium Discount</v>
      </c>
      <c r="AC144" t="str">
        <f t="shared" si="29"/>
        <v>Profitable</v>
      </c>
      <c r="AD144" t="str">
        <f>IFERROR(VLOOKUP(E144,Lookups!$A$2:$E$11,2,FALSE),"Product Not Found")</f>
        <v>Laptop Stand</v>
      </c>
      <c r="AE144" t="str">
        <f>IFERROR(VLOOKUP(E144,Lookups!$A$2:$E$11,3,FALSE),"Category Not Found")</f>
        <v>Accessories</v>
      </c>
      <c r="AF144" t="str">
        <f>IFERROR(IF(L144=VLOOKUP(E144,Lookups!$A$2:$E$11,4,FALSE),"Price OK","Price Mismatch"),"Product Missing")</f>
        <v>Price OK</v>
      </c>
      <c r="AG144" t="str">
        <f t="shared" si="30"/>
        <v>Valid Email</v>
      </c>
      <c r="AH144" t="str">
        <f t="shared" si="31"/>
        <v>READY FOR REPORTING</v>
      </c>
      <c r="AI144" t="str">
        <f>IF(AND(LEFT(A144,LEN(Settings!$B$13))=Settings!$B$13,LEN(A144)=9),"Valid Format","Invalid Format")</f>
        <v>Valid Format</v>
      </c>
      <c r="AJ144" t="str">
        <f>IF(LEFT(C144,LEN(Settings!$B$14))=Settings!$B$14,"Valid Format","Invalid Format")</f>
        <v>Valid Format</v>
      </c>
      <c r="AK144" t="str">
        <f>IF(COUNTIF(Master_Data!$G$5:$G$14,C144)=1,"Known Customer","Customer Not in Master")</f>
        <v>Customer Not in Master</v>
      </c>
      <c r="AL144" t="str">
        <f>IF(U144&gt;=Settings!$B$11,"Target Met","Below Target")</f>
        <v>Target Met</v>
      </c>
      <c r="AM144" t="str">
        <f>IF(YEAR(B144)=Settings!$B$5,"Correct Year","Wrong Year")</f>
        <v>Correct Year</v>
      </c>
      <c r="AN144">
        <f t="shared" si="32"/>
        <v>4</v>
      </c>
    </row>
    <row r="145" spans="1:40">
      <c r="A145" t="str">
        <f>Raw_Data!A145</f>
        <v>ORD-10144</v>
      </c>
      <c r="B145" s="13">
        <f>Raw_Data!B145</f>
        <v>45884</v>
      </c>
      <c r="C145">
        <f>Raw_Data!C145</f>
        <v>0</v>
      </c>
      <c r="D145" t="str">
        <f>Raw_Data!D145</f>
        <v>client132@example.com</v>
      </c>
      <c r="E145" t="str">
        <f>Raw_Data!E145</f>
        <v>P1010</v>
      </c>
      <c r="F145" t="str">
        <f>Raw_Data!F145</f>
        <v>Headset</v>
      </c>
      <c r="G145" t="str">
        <f>Raw_Data!G145</f>
        <v>Electronics</v>
      </c>
      <c r="H145" t="str">
        <f>Raw_Data!H145</f>
        <v>Bucharest</v>
      </c>
      <c r="I145" t="str">
        <f>Raw_Data!I145</f>
        <v>Store</v>
      </c>
      <c r="J145" t="str">
        <f>Raw_Data!J145</f>
        <v>Mihai Radu</v>
      </c>
      <c r="K145">
        <f>Raw_Data!K145</f>
        <v>7</v>
      </c>
      <c r="L145" s="12">
        <f>Raw_Data!L145</f>
        <v>195</v>
      </c>
      <c r="M145" s="12">
        <f>Raw_Data!M145</f>
        <v>105</v>
      </c>
      <c r="N145" s="14">
        <f>Raw_Data!N145</f>
        <v>0.05</v>
      </c>
      <c r="O145" t="str">
        <f>Raw_Data!O145</f>
        <v>Card</v>
      </c>
      <c r="P145" t="str">
        <f>Raw_Data!P145</f>
        <v>Completed</v>
      </c>
      <c r="Q145" s="12">
        <f t="shared" si="22"/>
        <v>1365</v>
      </c>
      <c r="R145" s="12">
        <f t="shared" si="23"/>
        <v>1296.75</v>
      </c>
      <c r="S145" s="12">
        <f t="shared" si="24"/>
        <v>735</v>
      </c>
      <c r="T145" s="12">
        <f t="shared" si="25"/>
        <v>561.75</v>
      </c>
      <c r="U145" s="11">
        <f t="shared" si="26"/>
        <v>0.4331983805668016</v>
      </c>
      <c r="V145" t="str">
        <f>IF(OR(A145="",COUNTIF($A$2:$A$301,A145)&gt;1,C145="",D145="",ISERROR(SEARCH("@",D145)),ISERROR(SEARCH(".",D145)),COUNTIF(Lookups!$A$2:$A$11,E145)=0,F145="",H145="",K145&lt;=0,L145&lt;0,M145&lt;0,N145&lt;0,N145&gt;0.5,COUNTIF(Lookups!$K$2:$K$4,P145)=0),"ERROR","VALID")</f>
        <v>VALID</v>
      </c>
      <c r="W145" s="2" t="str">
        <f>IF(A145="","Missing Order ID; ","")&amp;IF(COUNTIF($A$2:$A$301,A145)&gt;1,"Duplicate Order ID; ","")&amp;IF(C145="","Missing Customer ID; ","")&amp;IF(OR(D145="",ISERROR(SEARCH("@",D145)),ISERROR(SEARCH(".",D145))),"Invalid Email; ","")&amp;IF(COUNTIF(Lookups!$A$2:$A$11,E145)=0,"Unknown Product; ","")&amp;IF(F145="","Missing Product Name; ","")&amp;IF(H145="","Missing Region; ","")&amp;IF(K145&lt;=0,"Invalid Quantity; ","")&amp;IF(L145&lt;0,"Invalid Price; ","")&amp;IF(M145&lt;0,"Invalid Cost; ","")&amp;IF(OR(N145&lt;0,N145&gt;0.5),"Invalid Discount; ","")&amp;IF(COUNTIF(Lookups!$K$2:$K$4,P145)=0,"Invalid Status; ","")</f>
        <v/>
      </c>
      <c r="X145" s="15" t="str">
        <f t="shared" si="27"/>
        <v>2025-08</v>
      </c>
      <c r="Y145" t="str">
        <f t="shared" si="28"/>
        <v>Q3</v>
      </c>
      <c r="Z145" t="str">
        <f>IF(R145&gt;=Settings!$B$9,"High Value Customer",IF(R145&gt;=Settings!$B$10,"Medium Value Customer","Standard Customer"))</f>
        <v>Standard Customer</v>
      </c>
      <c r="AA145" t="str">
        <f>IF(R145&gt;=Settings!$B$9,"Large Order",IF(R145&gt;=Settings!$B$10,"Medium Order","Small Order"))</f>
        <v>Small Order</v>
      </c>
      <c r="AB145" t="str">
        <f>IF(N145=0,"No Discount",IF(N145&lt;=0.1,"Low Discount",IF(N145&lt;=Settings!$B$8,"Medium Discount","High Discount")))</f>
        <v>Low Discount</v>
      </c>
      <c r="AC145" t="str">
        <f t="shared" si="29"/>
        <v>Profitable</v>
      </c>
      <c r="AD145" t="str">
        <f>IFERROR(VLOOKUP(E145,Lookups!$A$2:$E$11,2,FALSE),"Product Not Found")</f>
        <v>Headset</v>
      </c>
      <c r="AE145" t="str">
        <f>IFERROR(VLOOKUP(E145,Lookups!$A$2:$E$11,3,FALSE),"Category Not Found")</f>
        <v>Electronics</v>
      </c>
      <c r="AF145" t="str">
        <f>IFERROR(IF(L145=VLOOKUP(E145,Lookups!$A$2:$E$11,4,FALSE),"Price OK","Price Mismatch"),"Product Missing")</f>
        <v>Price OK</v>
      </c>
      <c r="AG145" t="str">
        <f t="shared" si="30"/>
        <v>Valid Email</v>
      </c>
      <c r="AH145" t="str">
        <f t="shared" si="31"/>
        <v>READY FOR REPORTING</v>
      </c>
      <c r="AI145" t="str">
        <f>IF(AND(LEFT(A145,LEN(Settings!$B$13))=Settings!$B$13,LEN(A145)=9),"Valid Format","Invalid Format")</f>
        <v>Valid Format</v>
      </c>
      <c r="AJ145" t="str">
        <f>IF(LEFT(C145,LEN(Settings!$B$14))=Settings!$B$14,"Valid Format","Invalid Format")</f>
        <v>Invalid Format</v>
      </c>
      <c r="AK145" t="str">
        <f>IF(COUNTIF(Master_Data!$G$5:$G$14,C145)=1,"Known Customer","Customer Not in Master")</f>
        <v>Customer Not in Master</v>
      </c>
      <c r="AL145" t="str">
        <f>IF(U145&gt;=Settings!$B$11,"Target Met","Below Target")</f>
        <v>Target Met</v>
      </c>
      <c r="AM145" t="str">
        <f>IF(YEAR(B145)=Settings!$B$5,"Correct Year","Wrong Year")</f>
        <v>Correct Year</v>
      </c>
      <c r="AN145">
        <f t="shared" si="32"/>
        <v>4</v>
      </c>
    </row>
    <row r="146" spans="1:40">
      <c r="A146" t="str">
        <f>Raw_Data!A146</f>
        <v>ORD-10145</v>
      </c>
      <c r="B146" s="13">
        <f>Raw_Data!B146</f>
        <v>46005</v>
      </c>
      <c r="C146" t="str">
        <f>Raw_Data!C146</f>
        <v>C1068</v>
      </c>
      <c r="D146" t="str">
        <f>Raw_Data!D146</f>
        <v>client171@example.com</v>
      </c>
      <c r="E146" t="str">
        <f>Raw_Data!E146</f>
        <v>P1005</v>
      </c>
      <c r="F146" t="str">
        <f>Raw_Data!F146</f>
        <v>24-inch Monitor</v>
      </c>
      <c r="G146" t="str">
        <f>Raw_Data!G146</f>
        <v>Electronics</v>
      </c>
      <c r="H146" t="str">
        <f>Raw_Data!H146</f>
        <v>South</v>
      </c>
      <c r="I146" t="str">
        <f>Raw_Data!I146</f>
        <v>Online</v>
      </c>
      <c r="J146" t="str">
        <f>Raw_Data!J146</f>
        <v>Maria Ionescu</v>
      </c>
      <c r="K146">
        <f>Raw_Data!K146</f>
        <v>11</v>
      </c>
      <c r="L146" s="12">
        <f>Raw_Data!L146</f>
        <v>720</v>
      </c>
      <c r="M146" s="12">
        <f>Raw_Data!M146</f>
        <v>510</v>
      </c>
      <c r="N146" s="14">
        <f>Raw_Data!N146</f>
        <v>0.15</v>
      </c>
      <c r="O146" t="str">
        <f>Raw_Data!O146</f>
        <v>Online Wallet</v>
      </c>
      <c r="P146" t="str">
        <f>Raw_Data!P146</f>
        <v>Completed</v>
      </c>
      <c r="Q146" s="12">
        <f t="shared" si="22"/>
        <v>7920</v>
      </c>
      <c r="R146" s="12">
        <f t="shared" si="23"/>
        <v>6732</v>
      </c>
      <c r="S146" s="12">
        <f t="shared" si="24"/>
        <v>5610</v>
      </c>
      <c r="T146" s="12">
        <f t="shared" si="25"/>
        <v>1122</v>
      </c>
      <c r="U146" s="11">
        <f t="shared" si="26"/>
        <v>0.16666666666666666</v>
      </c>
      <c r="V146" t="str">
        <f>IF(OR(A146="",COUNTIF($A$2:$A$301,A146)&gt;1,C146="",D146="",ISERROR(SEARCH("@",D146)),ISERROR(SEARCH(".",D146)),COUNTIF(Lookups!$A$2:$A$11,E146)=0,F146="",H146="",K146&lt;=0,L146&lt;0,M146&lt;0,N146&lt;0,N146&gt;0.5,COUNTIF(Lookups!$K$2:$K$4,P146)=0),"ERROR","VALID")</f>
        <v>VALID</v>
      </c>
      <c r="W146" s="2" t="str">
        <f>IF(A146="","Missing Order ID; ","")&amp;IF(COUNTIF($A$2:$A$301,A146)&gt;1,"Duplicate Order ID; ","")&amp;IF(C146="","Missing Customer ID; ","")&amp;IF(OR(D146="",ISERROR(SEARCH("@",D146)),ISERROR(SEARCH(".",D146))),"Invalid Email; ","")&amp;IF(COUNTIF(Lookups!$A$2:$A$11,E146)=0,"Unknown Product; ","")&amp;IF(F146="","Missing Product Name; ","")&amp;IF(H146="","Missing Region; ","")&amp;IF(K146&lt;=0,"Invalid Quantity; ","")&amp;IF(L146&lt;0,"Invalid Price; ","")&amp;IF(M146&lt;0,"Invalid Cost; ","")&amp;IF(OR(N146&lt;0,N146&gt;0.5),"Invalid Discount; ","")&amp;IF(COUNTIF(Lookups!$K$2:$K$4,P146)=0,"Invalid Status; ","")</f>
        <v/>
      </c>
      <c r="X146" s="15" t="str">
        <f t="shared" si="27"/>
        <v>2025-12</v>
      </c>
      <c r="Y146" t="str">
        <f t="shared" si="28"/>
        <v>Q4</v>
      </c>
      <c r="Z146" t="str">
        <f>IF(R146&gt;=Settings!$B$9,"High Value Customer",IF(R146&gt;=Settings!$B$10,"Medium Value Customer","Standard Customer"))</f>
        <v>High Value Customer</v>
      </c>
      <c r="AA146" t="str">
        <f>IF(R146&gt;=Settings!$B$9,"Large Order",IF(R146&gt;=Settings!$B$10,"Medium Order","Small Order"))</f>
        <v>Large Order</v>
      </c>
      <c r="AB146" t="str">
        <f>IF(N146=0,"No Discount",IF(N146&lt;=0.1,"Low Discount",IF(N146&lt;=Settings!$B$8,"Medium Discount","High Discount")))</f>
        <v>Medium Discount</v>
      </c>
      <c r="AC146" t="str">
        <f t="shared" si="29"/>
        <v>Profitable</v>
      </c>
      <c r="AD146" t="str">
        <f>IFERROR(VLOOKUP(E146,Lookups!$A$2:$E$11,2,FALSE),"Product Not Found")</f>
        <v>24-inch Monitor</v>
      </c>
      <c r="AE146" t="str">
        <f>IFERROR(VLOOKUP(E146,Lookups!$A$2:$E$11,3,FALSE),"Category Not Found")</f>
        <v>Electronics</v>
      </c>
      <c r="AF146" t="str">
        <f>IFERROR(IF(L146=VLOOKUP(E146,Lookups!$A$2:$E$11,4,FALSE),"Price OK","Price Mismatch"),"Product Missing")</f>
        <v>Price OK</v>
      </c>
      <c r="AG146" t="str">
        <f t="shared" si="30"/>
        <v>Valid Email</v>
      </c>
      <c r="AH146" t="str">
        <f t="shared" si="31"/>
        <v>READY FOR REPORTING</v>
      </c>
      <c r="AI146" t="str">
        <f>IF(AND(LEFT(A146,LEN(Settings!$B$13))=Settings!$B$13,LEN(A146)=9),"Valid Format","Invalid Format")</f>
        <v>Valid Format</v>
      </c>
      <c r="AJ146" t="str">
        <f>IF(LEFT(C146,LEN(Settings!$B$14))=Settings!$B$14,"Valid Format","Invalid Format")</f>
        <v>Valid Format</v>
      </c>
      <c r="AK146" t="str">
        <f>IF(COUNTIF(Master_Data!$G$5:$G$14,C146)=1,"Known Customer","Customer Not in Master")</f>
        <v>Customer Not in Master</v>
      </c>
      <c r="AL146" t="str">
        <f>IF(U146&gt;=Settings!$B$11,"Target Met","Below Target")</f>
        <v>Below Target</v>
      </c>
      <c r="AM146" t="str">
        <f>IF(YEAR(B146)=Settings!$B$5,"Correct Year","Wrong Year")</f>
        <v>Correct Year</v>
      </c>
      <c r="AN146">
        <f t="shared" si="32"/>
        <v>3</v>
      </c>
    </row>
    <row r="147" spans="1:40">
      <c r="A147" t="str">
        <f>Raw_Data!A147</f>
        <v>ORD-10146</v>
      </c>
      <c r="B147" s="13">
        <f>Raw_Data!B147</f>
        <v>45686</v>
      </c>
      <c r="C147" t="str">
        <f>Raw_Data!C147</f>
        <v>C1122</v>
      </c>
      <c r="D147" t="str">
        <f>Raw_Data!D147</f>
        <v>client55@example.com</v>
      </c>
      <c r="E147" t="str">
        <f>Raw_Data!E147</f>
        <v>P1010</v>
      </c>
      <c r="F147" t="str">
        <f>Raw_Data!F147</f>
        <v>Headset</v>
      </c>
      <c r="G147" t="str">
        <f>Raw_Data!G147</f>
        <v>Electronics</v>
      </c>
      <c r="H147" t="str">
        <f>Raw_Data!H147</f>
        <v>North</v>
      </c>
      <c r="I147" t="str">
        <f>Raw_Data!I147</f>
        <v>Store</v>
      </c>
      <c r="J147" t="str">
        <f>Raw_Data!J147</f>
        <v>Elena Stan</v>
      </c>
      <c r="K147">
        <f>Raw_Data!K147</f>
        <v>1</v>
      </c>
      <c r="L147" s="12">
        <f>Raw_Data!L147</f>
        <v>195</v>
      </c>
      <c r="M147" s="12">
        <f>Raw_Data!M147</f>
        <v>105</v>
      </c>
      <c r="N147" s="14">
        <f>Raw_Data!N147</f>
        <v>0</v>
      </c>
      <c r="O147" t="str">
        <f>Raw_Data!O147</f>
        <v>Cash</v>
      </c>
      <c r="P147" t="str">
        <f>Raw_Data!P147</f>
        <v>Completed</v>
      </c>
      <c r="Q147" s="12">
        <f t="shared" si="22"/>
        <v>195</v>
      </c>
      <c r="R147" s="12">
        <f t="shared" si="23"/>
        <v>195</v>
      </c>
      <c r="S147" s="12">
        <f t="shared" si="24"/>
        <v>105</v>
      </c>
      <c r="T147" s="12">
        <f t="shared" si="25"/>
        <v>90</v>
      </c>
      <c r="U147" s="11">
        <f t="shared" si="26"/>
        <v>0.46153846153846156</v>
      </c>
      <c r="V147" t="str">
        <f>IF(OR(A147="",COUNTIF($A$2:$A$301,A147)&gt;1,C147="",D147="",ISERROR(SEARCH("@",D147)),ISERROR(SEARCH(".",D147)),COUNTIF(Lookups!$A$2:$A$11,E147)=0,F147="",H147="",K147&lt;=0,L147&lt;0,M147&lt;0,N147&lt;0,N147&gt;0.5,COUNTIF(Lookups!$K$2:$K$4,P147)=0),"ERROR","VALID")</f>
        <v>VALID</v>
      </c>
      <c r="W147" s="2" t="str">
        <f>IF(A147="","Missing Order ID; ","")&amp;IF(COUNTIF($A$2:$A$301,A147)&gt;1,"Duplicate Order ID; ","")&amp;IF(C147="","Missing Customer ID; ","")&amp;IF(OR(D147="",ISERROR(SEARCH("@",D147)),ISERROR(SEARCH(".",D147))),"Invalid Email; ","")&amp;IF(COUNTIF(Lookups!$A$2:$A$11,E147)=0,"Unknown Product; ","")&amp;IF(F147="","Missing Product Name; ","")&amp;IF(H147="","Missing Region; ","")&amp;IF(K147&lt;=0,"Invalid Quantity; ","")&amp;IF(L147&lt;0,"Invalid Price; ","")&amp;IF(M147&lt;0,"Invalid Cost; ","")&amp;IF(OR(N147&lt;0,N147&gt;0.5),"Invalid Discount; ","")&amp;IF(COUNTIF(Lookups!$K$2:$K$4,P147)=0,"Invalid Status; ","")</f>
        <v/>
      </c>
      <c r="X147" s="15" t="str">
        <f t="shared" si="27"/>
        <v>2025-01</v>
      </c>
      <c r="Y147" t="str">
        <f t="shared" si="28"/>
        <v>Q1</v>
      </c>
      <c r="Z147" t="str">
        <f>IF(R147&gt;=Settings!$B$9,"High Value Customer",IF(R147&gt;=Settings!$B$10,"Medium Value Customer","Standard Customer"))</f>
        <v>Standard Customer</v>
      </c>
      <c r="AA147" t="str">
        <f>IF(R147&gt;=Settings!$B$9,"Large Order",IF(R147&gt;=Settings!$B$10,"Medium Order","Small Order"))</f>
        <v>Small Order</v>
      </c>
      <c r="AB147" t="str">
        <f>IF(N147=0,"No Discount",IF(N147&lt;=0.1,"Low Discount",IF(N147&lt;=Settings!$B$8,"Medium Discount","High Discount")))</f>
        <v>No Discount</v>
      </c>
      <c r="AC147" t="str">
        <f t="shared" si="29"/>
        <v>Profitable</v>
      </c>
      <c r="AD147" t="str">
        <f>IFERROR(VLOOKUP(E147,Lookups!$A$2:$E$11,2,FALSE),"Product Not Found")</f>
        <v>Headset</v>
      </c>
      <c r="AE147" t="str">
        <f>IFERROR(VLOOKUP(E147,Lookups!$A$2:$E$11,3,FALSE),"Category Not Found")</f>
        <v>Electronics</v>
      </c>
      <c r="AF147" t="str">
        <f>IFERROR(IF(L147=VLOOKUP(E147,Lookups!$A$2:$E$11,4,FALSE),"Price OK","Price Mismatch"),"Product Missing")</f>
        <v>Price OK</v>
      </c>
      <c r="AG147" t="str">
        <f t="shared" si="30"/>
        <v>Valid Email</v>
      </c>
      <c r="AH147" t="str">
        <f t="shared" si="31"/>
        <v>READY FOR REPORTING</v>
      </c>
      <c r="AI147" t="str">
        <f>IF(AND(LEFT(A147,LEN(Settings!$B$13))=Settings!$B$13,LEN(A147)=9),"Valid Format","Invalid Format")</f>
        <v>Valid Format</v>
      </c>
      <c r="AJ147" t="str">
        <f>IF(LEFT(C147,LEN(Settings!$B$14))=Settings!$B$14,"Valid Format","Invalid Format")</f>
        <v>Valid Format</v>
      </c>
      <c r="AK147" t="str">
        <f>IF(COUNTIF(Master_Data!$G$5:$G$14,C147)=1,"Known Customer","Customer Not in Master")</f>
        <v>Customer Not in Master</v>
      </c>
      <c r="AL147" t="str">
        <f>IF(U147&gt;=Settings!$B$11,"Target Met","Below Target")</f>
        <v>Target Met</v>
      </c>
      <c r="AM147" t="str">
        <f>IF(YEAR(B147)=Settings!$B$5,"Correct Year","Wrong Year")</f>
        <v>Correct Year</v>
      </c>
      <c r="AN147">
        <f t="shared" si="32"/>
        <v>4</v>
      </c>
    </row>
    <row r="148" spans="1:40">
      <c r="A148" t="str">
        <f>Raw_Data!A148</f>
        <v>ORD-10147</v>
      </c>
      <c r="B148" s="13">
        <f>Raw_Data!B148</f>
        <v>45661</v>
      </c>
      <c r="C148" t="str">
        <f>Raw_Data!C148</f>
        <v>C1023</v>
      </c>
      <c r="D148" t="str">
        <f>Raw_Data!D148</f>
        <v>client34@example.com</v>
      </c>
      <c r="E148" t="str">
        <f>Raw_Data!E148</f>
        <v>P1002</v>
      </c>
      <c r="F148" t="str">
        <f>Raw_Data!F148</f>
        <v>Wireless Mouse</v>
      </c>
      <c r="G148" t="str">
        <f>Raw_Data!G148</f>
        <v>Accessories</v>
      </c>
      <c r="H148" t="str">
        <f>Raw_Data!H148</f>
        <v>East</v>
      </c>
      <c r="I148" t="str">
        <f>Raw_Data!I148</f>
        <v>Marketplace</v>
      </c>
      <c r="J148" t="str">
        <f>Raw_Data!J148</f>
        <v>Maria Ionescu</v>
      </c>
      <c r="K148">
        <f>Raw_Data!K148</f>
        <v>8</v>
      </c>
      <c r="L148" s="12">
        <f>Raw_Data!L148</f>
        <v>85</v>
      </c>
      <c r="M148" s="12">
        <f>Raw_Data!M148</f>
        <v>44</v>
      </c>
      <c r="N148" s="14">
        <f>Raw_Data!N148</f>
        <v>0.2</v>
      </c>
      <c r="O148" t="str">
        <f>Raw_Data!O148</f>
        <v>Cash</v>
      </c>
      <c r="P148" t="str">
        <f>Raw_Data!P148</f>
        <v>Completed</v>
      </c>
      <c r="Q148" s="12">
        <f t="shared" si="22"/>
        <v>680</v>
      </c>
      <c r="R148" s="12">
        <f t="shared" si="23"/>
        <v>544</v>
      </c>
      <c r="S148" s="12">
        <f t="shared" si="24"/>
        <v>352</v>
      </c>
      <c r="T148" s="12">
        <f t="shared" si="25"/>
        <v>192</v>
      </c>
      <c r="U148" s="11">
        <f t="shared" si="26"/>
        <v>0.35294117647058826</v>
      </c>
      <c r="V148" t="str">
        <f>IF(OR(A148="",COUNTIF($A$2:$A$301,A148)&gt;1,C148="",D148="",ISERROR(SEARCH("@",D148)),ISERROR(SEARCH(".",D148)),COUNTIF(Lookups!$A$2:$A$11,E148)=0,F148="",H148="",K148&lt;=0,L148&lt;0,M148&lt;0,N148&lt;0,N148&gt;0.5,COUNTIF(Lookups!$K$2:$K$4,P148)=0),"ERROR","VALID")</f>
        <v>VALID</v>
      </c>
      <c r="W148" s="2" t="str">
        <f>IF(A148="","Missing Order ID; ","")&amp;IF(COUNTIF($A$2:$A$301,A148)&gt;1,"Duplicate Order ID; ","")&amp;IF(C148="","Missing Customer ID; ","")&amp;IF(OR(D148="",ISERROR(SEARCH("@",D148)),ISERROR(SEARCH(".",D148))),"Invalid Email; ","")&amp;IF(COUNTIF(Lookups!$A$2:$A$11,E148)=0,"Unknown Product; ","")&amp;IF(F148="","Missing Product Name; ","")&amp;IF(H148="","Missing Region; ","")&amp;IF(K148&lt;=0,"Invalid Quantity; ","")&amp;IF(L148&lt;0,"Invalid Price; ","")&amp;IF(M148&lt;0,"Invalid Cost; ","")&amp;IF(OR(N148&lt;0,N148&gt;0.5),"Invalid Discount; ","")&amp;IF(COUNTIF(Lookups!$K$2:$K$4,P148)=0,"Invalid Status; ","")</f>
        <v/>
      </c>
      <c r="X148" s="15" t="str">
        <f t="shared" si="27"/>
        <v>2025-01</v>
      </c>
      <c r="Y148" t="str">
        <f t="shared" si="28"/>
        <v>Q1</v>
      </c>
      <c r="Z148" t="str">
        <f>IF(R148&gt;=Settings!$B$9,"High Value Customer",IF(R148&gt;=Settings!$B$10,"Medium Value Customer","Standard Customer"))</f>
        <v>Standard Customer</v>
      </c>
      <c r="AA148" t="str">
        <f>IF(R148&gt;=Settings!$B$9,"Large Order",IF(R148&gt;=Settings!$B$10,"Medium Order","Small Order"))</f>
        <v>Small Order</v>
      </c>
      <c r="AB148" t="str">
        <f>IF(N148=0,"No Discount",IF(N148&lt;=0.1,"Low Discount",IF(N148&lt;=Settings!$B$8,"Medium Discount","High Discount")))</f>
        <v>Medium Discount</v>
      </c>
      <c r="AC148" t="str">
        <f t="shared" si="29"/>
        <v>Profitable</v>
      </c>
      <c r="AD148" t="str">
        <f>IFERROR(VLOOKUP(E148,Lookups!$A$2:$E$11,2,FALSE),"Product Not Found")</f>
        <v>Wireless Mouse</v>
      </c>
      <c r="AE148" t="str">
        <f>IFERROR(VLOOKUP(E148,Lookups!$A$2:$E$11,3,FALSE),"Category Not Found")</f>
        <v>Accessories</v>
      </c>
      <c r="AF148" t="str">
        <f>IFERROR(IF(L148=VLOOKUP(E148,Lookups!$A$2:$E$11,4,FALSE),"Price OK","Price Mismatch"),"Product Missing")</f>
        <v>Price OK</v>
      </c>
      <c r="AG148" t="str">
        <f t="shared" si="30"/>
        <v>Valid Email</v>
      </c>
      <c r="AH148" t="str">
        <f t="shared" si="31"/>
        <v>READY FOR REPORTING</v>
      </c>
      <c r="AI148" t="str">
        <f>IF(AND(LEFT(A148,LEN(Settings!$B$13))=Settings!$B$13,LEN(A148)=9),"Valid Format","Invalid Format")</f>
        <v>Valid Format</v>
      </c>
      <c r="AJ148" t="str">
        <f>IF(LEFT(C148,LEN(Settings!$B$14))=Settings!$B$14,"Valid Format","Invalid Format")</f>
        <v>Valid Format</v>
      </c>
      <c r="AK148" t="str">
        <f>IF(COUNTIF(Master_Data!$G$5:$G$14,C148)=1,"Known Customer","Customer Not in Master")</f>
        <v>Customer Not in Master</v>
      </c>
      <c r="AL148" t="str">
        <f>IF(U148&gt;=Settings!$B$11,"Target Met","Below Target")</f>
        <v>Target Met</v>
      </c>
      <c r="AM148" t="str">
        <f>IF(YEAR(B148)=Settings!$B$5,"Correct Year","Wrong Year")</f>
        <v>Correct Year</v>
      </c>
      <c r="AN148">
        <f t="shared" si="32"/>
        <v>4</v>
      </c>
    </row>
    <row r="149" spans="1:40">
      <c r="A149" t="str">
        <f>Raw_Data!A149</f>
        <v>ORD-10148</v>
      </c>
      <c r="B149" s="13">
        <f>Raw_Data!B149</f>
        <v>45861</v>
      </c>
      <c r="C149" t="str">
        <f>Raw_Data!C149</f>
        <v>C1003</v>
      </c>
      <c r="D149" t="str">
        <f>Raw_Data!D149</f>
        <v>client118@example.com</v>
      </c>
      <c r="E149" t="str">
        <f>Raw_Data!E149</f>
        <v>P1002</v>
      </c>
      <c r="F149" t="str">
        <f>Raw_Data!F149</f>
        <v>Wireless Mouse</v>
      </c>
      <c r="G149" t="str">
        <f>Raw_Data!G149</f>
        <v>Accessories</v>
      </c>
      <c r="H149" t="str">
        <f>Raw_Data!H149</f>
        <v>Bucharest</v>
      </c>
      <c r="I149" t="str">
        <f>Raw_Data!I149</f>
        <v>Store</v>
      </c>
      <c r="J149" t="str">
        <f>Raw_Data!J149</f>
        <v>Ioana Pavel</v>
      </c>
      <c r="K149">
        <f>Raw_Data!K149</f>
        <v>12</v>
      </c>
      <c r="L149" s="12">
        <f>Raw_Data!L149</f>
        <v>85</v>
      </c>
      <c r="M149" s="12">
        <f>Raw_Data!M149</f>
        <v>44</v>
      </c>
      <c r="N149" s="14">
        <f>Raw_Data!N149</f>
        <v>0</v>
      </c>
      <c r="O149" t="str">
        <f>Raw_Data!O149</f>
        <v>Online Wallet</v>
      </c>
      <c r="P149" t="str">
        <f>Raw_Data!P149</f>
        <v>Completed</v>
      </c>
      <c r="Q149" s="12">
        <f t="shared" si="22"/>
        <v>1020</v>
      </c>
      <c r="R149" s="12">
        <f t="shared" si="23"/>
        <v>1020</v>
      </c>
      <c r="S149" s="12">
        <f t="shared" si="24"/>
        <v>528</v>
      </c>
      <c r="T149" s="12">
        <f t="shared" si="25"/>
        <v>492</v>
      </c>
      <c r="U149" s="11">
        <f t="shared" si="26"/>
        <v>0.4823529411764706</v>
      </c>
      <c r="V149" t="str">
        <f>IF(OR(A149="",COUNTIF($A$2:$A$301,A149)&gt;1,C149="",D149="",ISERROR(SEARCH("@",D149)),ISERROR(SEARCH(".",D149)),COUNTIF(Lookups!$A$2:$A$11,E149)=0,F149="",H149="",K149&lt;=0,L149&lt;0,M149&lt;0,N149&lt;0,N149&gt;0.5,COUNTIF(Lookups!$K$2:$K$4,P149)=0),"ERROR","VALID")</f>
        <v>VALID</v>
      </c>
      <c r="W149" s="2" t="str">
        <f>IF(A149="","Missing Order ID; ","")&amp;IF(COUNTIF($A$2:$A$301,A149)&gt;1,"Duplicate Order ID; ","")&amp;IF(C149="","Missing Customer ID; ","")&amp;IF(OR(D149="",ISERROR(SEARCH("@",D149)),ISERROR(SEARCH(".",D149))),"Invalid Email; ","")&amp;IF(COUNTIF(Lookups!$A$2:$A$11,E149)=0,"Unknown Product; ","")&amp;IF(F149="","Missing Product Name; ","")&amp;IF(H149="","Missing Region; ","")&amp;IF(K149&lt;=0,"Invalid Quantity; ","")&amp;IF(L149&lt;0,"Invalid Price; ","")&amp;IF(M149&lt;0,"Invalid Cost; ","")&amp;IF(OR(N149&lt;0,N149&gt;0.5),"Invalid Discount; ","")&amp;IF(COUNTIF(Lookups!$K$2:$K$4,P149)=0,"Invalid Status; ","")</f>
        <v/>
      </c>
      <c r="X149" s="15" t="str">
        <f t="shared" si="27"/>
        <v>2025-07</v>
      </c>
      <c r="Y149" t="str">
        <f t="shared" si="28"/>
        <v>Q3</v>
      </c>
      <c r="Z149" t="str">
        <f>IF(R149&gt;=Settings!$B$9,"High Value Customer",IF(R149&gt;=Settings!$B$10,"Medium Value Customer","Standard Customer"))</f>
        <v>Standard Customer</v>
      </c>
      <c r="AA149" t="str">
        <f>IF(R149&gt;=Settings!$B$9,"Large Order",IF(R149&gt;=Settings!$B$10,"Medium Order","Small Order"))</f>
        <v>Small Order</v>
      </c>
      <c r="AB149" t="str">
        <f>IF(N149=0,"No Discount",IF(N149&lt;=0.1,"Low Discount",IF(N149&lt;=Settings!$B$8,"Medium Discount","High Discount")))</f>
        <v>No Discount</v>
      </c>
      <c r="AC149" t="str">
        <f t="shared" si="29"/>
        <v>Profitable</v>
      </c>
      <c r="AD149" t="str">
        <f>IFERROR(VLOOKUP(E149,Lookups!$A$2:$E$11,2,FALSE),"Product Not Found")</f>
        <v>Wireless Mouse</v>
      </c>
      <c r="AE149" t="str">
        <f>IFERROR(VLOOKUP(E149,Lookups!$A$2:$E$11,3,FALSE),"Category Not Found")</f>
        <v>Accessories</v>
      </c>
      <c r="AF149" t="str">
        <f>IFERROR(IF(L149=VLOOKUP(E149,Lookups!$A$2:$E$11,4,FALSE),"Price OK","Price Mismatch"),"Product Missing")</f>
        <v>Price OK</v>
      </c>
      <c r="AG149" t="str">
        <f t="shared" si="30"/>
        <v>Valid Email</v>
      </c>
      <c r="AH149" t="str">
        <f t="shared" si="31"/>
        <v>READY FOR REPORTING</v>
      </c>
      <c r="AI149" t="str">
        <f>IF(AND(LEFT(A149,LEN(Settings!$B$13))=Settings!$B$13,LEN(A149)=9),"Valid Format","Invalid Format")</f>
        <v>Valid Format</v>
      </c>
      <c r="AJ149" t="str">
        <f>IF(LEFT(C149,LEN(Settings!$B$14))=Settings!$B$14,"Valid Format","Invalid Format")</f>
        <v>Valid Format</v>
      </c>
      <c r="AK149" t="str">
        <f>IF(COUNTIF(Master_Data!$G$5:$G$14,C149)=1,"Known Customer","Customer Not in Master")</f>
        <v>Known Customer</v>
      </c>
      <c r="AL149" t="str">
        <f>IF(U149&gt;=Settings!$B$11,"Target Met","Below Target")</f>
        <v>Target Met</v>
      </c>
      <c r="AM149" t="str">
        <f>IF(YEAR(B149)=Settings!$B$5,"Correct Year","Wrong Year")</f>
        <v>Correct Year</v>
      </c>
      <c r="AN149">
        <f t="shared" si="32"/>
        <v>5</v>
      </c>
    </row>
    <row r="150" spans="1:40">
      <c r="A150" t="str">
        <f>Raw_Data!A150</f>
        <v>ORD-10149</v>
      </c>
      <c r="B150" s="13">
        <f>Raw_Data!B150</f>
        <v>45865</v>
      </c>
      <c r="C150" t="str">
        <f>Raw_Data!C150</f>
        <v>C1038</v>
      </c>
      <c r="D150" t="str">
        <f>Raw_Data!D150</f>
        <v>client30@example.com</v>
      </c>
      <c r="E150" t="str">
        <f>Raw_Data!E150</f>
        <v>P1010</v>
      </c>
      <c r="F150" t="str">
        <f>Raw_Data!F150</f>
        <v>Headset</v>
      </c>
      <c r="G150" t="str">
        <f>Raw_Data!G150</f>
        <v>Electronics</v>
      </c>
      <c r="H150" t="str">
        <f>Raw_Data!H150</f>
        <v>East</v>
      </c>
      <c r="I150" t="str">
        <f>Raw_Data!I150</f>
        <v>Online</v>
      </c>
      <c r="J150" t="str">
        <f>Raw_Data!J150</f>
        <v>Elena Stan</v>
      </c>
      <c r="K150">
        <f>Raw_Data!K150</f>
        <v>12</v>
      </c>
      <c r="L150" s="12">
        <f>Raw_Data!L150</f>
        <v>195</v>
      </c>
      <c r="M150" s="12">
        <f>Raw_Data!M150</f>
        <v>105</v>
      </c>
      <c r="N150" s="14">
        <f>Raw_Data!N150</f>
        <v>0.2</v>
      </c>
      <c r="O150" t="str">
        <f>Raw_Data!O150</f>
        <v>Bank Transfer</v>
      </c>
      <c r="P150" t="str">
        <f>Raw_Data!P150</f>
        <v>Completed</v>
      </c>
      <c r="Q150" s="12">
        <f t="shared" si="22"/>
        <v>2340</v>
      </c>
      <c r="R150" s="12">
        <f t="shared" si="23"/>
        <v>1872</v>
      </c>
      <c r="S150" s="12">
        <f t="shared" si="24"/>
        <v>1260</v>
      </c>
      <c r="T150" s="12">
        <f t="shared" si="25"/>
        <v>612</v>
      </c>
      <c r="U150" s="11">
        <f t="shared" si="26"/>
        <v>0.32692307692307693</v>
      </c>
      <c r="V150" t="str">
        <f>IF(OR(A150="",COUNTIF($A$2:$A$301,A150)&gt;1,C150="",D150="",ISERROR(SEARCH("@",D150)),ISERROR(SEARCH(".",D150)),COUNTIF(Lookups!$A$2:$A$11,E150)=0,F150="",H150="",K150&lt;=0,L150&lt;0,M150&lt;0,N150&lt;0,N150&gt;0.5,COUNTIF(Lookups!$K$2:$K$4,P150)=0),"ERROR","VALID")</f>
        <v>VALID</v>
      </c>
      <c r="W150" s="2" t="str">
        <f>IF(A150="","Missing Order ID; ","")&amp;IF(COUNTIF($A$2:$A$301,A150)&gt;1,"Duplicate Order ID; ","")&amp;IF(C150="","Missing Customer ID; ","")&amp;IF(OR(D150="",ISERROR(SEARCH("@",D150)),ISERROR(SEARCH(".",D150))),"Invalid Email; ","")&amp;IF(COUNTIF(Lookups!$A$2:$A$11,E150)=0,"Unknown Product; ","")&amp;IF(F150="","Missing Product Name; ","")&amp;IF(H150="","Missing Region; ","")&amp;IF(K150&lt;=0,"Invalid Quantity; ","")&amp;IF(L150&lt;0,"Invalid Price; ","")&amp;IF(M150&lt;0,"Invalid Cost; ","")&amp;IF(OR(N150&lt;0,N150&gt;0.5),"Invalid Discount; ","")&amp;IF(COUNTIF(Lookups!$K$2:$K$4,P150)=0,"Invalid Status; ","")</f>
        <v/>
      </c>
      <c r="X150" s="15" t="str">
        <f t="shared" si="27"/>
        <v>2025-07</v>
      </c>
      <c r="Y150" t="str">
        <f t="shared" si="28"/>
        <v>Q3</v>
      </c>
      <c r="Z150" t="str">
        <f>IF(R150&gt;=Settings!$B$9,"High Value Customer",IF(R150&gt;=Settings!$B$10,"Medium Value Customer","Standard Customer"))</f>
        <v>Standard Customer</v>
      </c>
      <c r="AA150" t="str">
        <f>IF(R150&gt;=Settings!$B$9,"Large Order",IF(R150&gt;=Settings!$B$10,"Medium Order","Small Order"))</f>
        <v>Small Order</v>
      </c>
      <c r="AB150" t="str">
        <f>IF(N150=0,"No Discount",IF(N150&lt;=0.1,"Low Discount",IF(N150&lt;=Settings!$B$8,"Medium Discount","High Discount")))</f>
        <v>Medium Discount</v>
      </c>
      <c r="AC150" t="str">
        <f t="shared" si="29"/>
        <v>Profitable</v>
      </c>
      <c r="AD150" t="str">
        <f>IFERROR(VLOOKUP(E150,Lookups!$A$2:$E$11,2,FALSE),"Product Not Found")</f>
        <v>Headset</v>
      </c>
      <c r="AE150" t="str">
        <f>IFERROR(VLOOKUP(E150,Lookups!$A$2:$E$11,3,FALSE),"Category Not Found")</f>
        <v>Electronics</v>
      </c>
      <c r="AF150" t="str">
        <f>IFERROR(IF(L150=VLOOKUP(E150,Lookups!$A$2:$E$11,4,FALSE),"Price OK","Price Mismatch"),"Product Missing")</f>
        <v>Price OK</v>
      </c>
      <c r="AG150" t="str">
        <f t="shared" si="30"/>
        <v>Valid Email</v>
      </c>
      <c r="AH150" t="str">
        <f t="shared" si="31"/>
        <v>READY FOR REPORTING</v>
      </c>
      <c r="AI150" t="str">
        <f>IF(AND(LEFT(A150,LEN(Settings!$B$13))=Settings!$B$13,LEN(A150)=9),"Valid Format","Invalid Format")</f>
        <v>Valid Format</v>
      </c>
      <c r="AJ150" t="str">
        <f>IF(LEFT(C150,LEN(Settings!$B$14))=Settings!$B$14,"Valid Format","Invalid Format")</f>
        <v>Valid Format</v>
      </c>
      <c r="AK150" t="str">
        <f>IF(COUNTIF(Master_Data!$G$5:$G$14,C150)=1,"Known Customer","Customer Not in Master")</f>
        <v>Customer Not in Master</v>
      </c>
      <c r="AL150" t="str">
        <f>IF(U150&gt;=Settings!$B$11,"Target Met","Below Target")</f>
        <v>Target Met</v>
      </c>
      <c r="AM150" t="str">
        <f>IF(YEAR(B150)=Settings!$B$5,"Correct Year","Wrong Year")</f>
        <v>Correct Year</v>
      </c>
      <c r="AN150">
        <f t="shared" si="32"/>
        <v>4</v>
      </c>
    </row>
    <row r="151" spans="1:40">
      <c r="A151" t="str">
        <f>Raw_Data!A151</f>
        <v>ORD-10150</v>
      </c>
      <c r="B151" s="13">
        <f>Raw_Data!B151</f>
        <v>45893</v>
      </c>
      <c r="C151" t="str">
        <f>Raw_Data!C151</f>
        <v>C1056</v>
      </c>
      <c r="D151" t="str">
        <f>Raw_Data!D151</f>
        <v>client28@example.com</v>
      </c>
      <c r="E151" t="str">
        <f>Raw_Data!E151</f>
        <v>P1010</v>
      </c>
      <c r="F151" t="str">
        <f>Raw_Data!F151</f>
        <v>Headset</v>
      </c>
      <c r="G151" t="str">
        <f>Raw_Data!G151</f>
        <v>Electronics</v>
      </c>
      <c r="H151" t="str">
        <f>Raw_Data!H151</f>
        <v>North</v>
      </c>
      <c r="I151" t="str">
        <f>Raw_Data!I151</f>
        <v>Store</v>
      </c>
      <c r="J151" t="str">
        <f>Raw_Data!J151</f>
        <v>Ioana Pavel</v>
      </c>
      <c r="K151">
        <f>Raw_Data!K151</f>
        <v>12</v>
      </c>
      <c r="L151" s="12">
        <f>Raw_Data!L151</f>
        <v>195</v>
      </c>
      <c r="M151" s="12">
        <f>Raw_Data!M151</f>
        <v>105</v>
      </c>
      <c r="N151" s="14">
        <f>Raw_Data!N151</f>
        <v>0.05</v>
      </c>
      <c r="O151" t="str">
        <f>Raw_Data!O151</f>
        <v>Online Wallet</v>
      </c>
      <c r="P151" t="str">
        <f>Raw_Data!P151</f>
        <v>Completed</v>
      </c>
      <c r="Q151" s="12">
        <f t="shared" si="22"/>
        <v>2340</v>
      </c>
      <c r="R151" s="12">
        <f t="shared" si="23"/>
        <v>2223</v>
      </c>
      <c r="S151" s="12">
        <f t="shared" si="24"/>
        <v>1260</v>
      </c>
      <c r="T151" s="12">
        <f t="shared" si="25"/>
        <v>963</v>
      </c>
      <c r="U151" s="11">
        <f t="shared" si="26"/>
        <v>0.4331983805668016</v>
      </c>
      <c r="V151" t="str">
        <f>IF(OR(A151="",COUNTIF($A$2:$A$301,A151)&gt;1,C151="",D151="",ISERROR(SEARCH("@",D151)),ISERROR(SEARCH(".",D151)),COUNTIF(Lookups!$A$2:$A$11,E151)=0,F151="",H151="",K151&lt;=0,L151&lt;0,M151&lt;0,N151&lt;0,N151&gt;0.5,COUNTIF(Lookups!$K$2:$K$4,P151)=0),"ERROR","VALID")</f>
        <v>VALID</v>
      </c>
      <c r="W151" s="2" t="str">
        <f>IF(A151="","Missing Order ID; ","")&amp;IF(COUNTIF($A$2:$A$301,A151)&gt;1,"Duplicate Order ID; ","")&amp;IF(C151="","Missing Customer ID; ","")&amp;IF(OR(D151="",ISERROR(SEARCH("@",D151)),ISERROR(SEARCH(".",D151))),"Invalid Email; ","")&amp;IF(COUNTIF(Lookups!$A$2:$A$11,E151)=0,"Unknown Product; ","")&amp;IF(F151="","Missing Product Name; ","")&amp;IF(H151="","Missing Region; ","")&amp;IF(K151&lt;=0,"Invalid Quantity; ","")&amp;IF(L151&lt;0,"Invalid Price; ","")&amp;IF(M151&lt;0,"Invalid Cost; ","")&amp;IF(OR(N151&lt;0,N151&gt;0.5),"Invalid Discount; ","")&amp;IF(COUNTIF(Lookups!$K$2:$K$4,P151)=0,"Invalid Status; ","")</f>
        <v/>
      </c>
      <c r="X151" s="15" t="str">
        <f t="shared" si="27"/>
        <v>2025-08</v>
      </c>
      <c r="Y151" t="str">
        <f t="shared" si="28"/>
        <v>Q3</v>
      </c>
      <c r="Z151" t="str">
        <f>IF(R151&gt;=Settings!$B$9,"High Value Customer",IF(R151&gt;=Settings!$B$10,"Medium Value Customer","Standard Customer"))</f>
        <v>Medium Value Customer</v>
      </c>
      <c r="AA151" t="str">
        <f>IF(R151&gt;=Settings!$B$9,"Large Order",IF(R151&gt;=Settings!$B$10,"Medium Order","Small Order"))</f>
        <v>Medium Order</v>
      </c>
      <c r="AB151" t="str">
        <f>IF(N151=0,"No Discount",IF(N151&lt;=0.1,"Low Discount",IF(N151&lt;=Settings!$B$8,"Medium Discount","High Discount")))</f>
        <v>Low Discount</v>
      </c>
      <c r="AC151" t="str">
        <f t="shared" si="29"/>
        <v>Profitable</v>
      </c>
      <c r="AD151" t="str">
        <f>IFERROR(VLOOKUP(E151,Lookups!$A$2:$E$11,2,FALSE),"Product Not Found")</f>
        <v>Headset</v>
      </c>
      <c r="AE151" t="str">
        <f>IFERROR(VLOOKUP(E151,Lookups!$A$2:$E$11,3,FALSE),"Category Not Found")</f>
        <v>Electronics</v>
      </c>
      <c r="AF151" t="str">
        <f>IFERROR(IF(L151=VLOOKUP(E151,Lookups!$A$2:$E$11,4,FALSE),"Price OK","Price Mismatch"),"Product Missing")</f>
        <v>Price OK</v>
      </c>
      <c r="AG151" t="str">
        <f t="shared" si="30"/>
        <v>Valid Email</v>
      </c>
      <c r="AH151" t="str">
        <f t="shared" si="31"/>
        <v>READY FOR REPORTING</v>
      </c>
      <c r="AI151" t="str">
        <f>IF(AND(LEFT(A151,LEN(Settings!$B$13))=Settings!$B$13,LEN(A151)=9),"Valid Format","Invalid Format")</f>
        <v>Valid Format</v>
      </c>
      <c r="AJ151" t="str">
        <f>IF(LEFT(C151,LEN(Settings!$B$14))=Settings!$B$14,"Valid Format","Invalid Format")</f>
        <v>Valid Format</v>
      </c>
      <c r="AK151" t="str">
        <f>IF(COUNTIF(Master_Data!$G$5:$G$14,C151)=1,"Known Customer","Customer Not in Master")</f>
        <v>Customer Not in Master</v>
      </c>
      <c r="AL151" t="str">
        <f>IF(U151&gt;=Settings!$B$11,"Target Met","Below Target")</f>
        <v>Target Met</v>
      </c>
      <c r="AM151" t="str">
        <f>IF(YEAR(B151)=Settings!$B$5,"Correct Year","Wrong Year")</f>
        <v>Correct Year</v>
      </c>
      <c r="AN151">
        <f t="shared" si="32"/>
        <v>4</v>
      </c>
    </row>
    <row r="152" spans="1:40">
      <c r="A152" t="str">
        <f>Raw_Data!A152</f>
        <v>ORD-10151</v>
      </c>
      <c r="B152" s="13">
        <f>Raw_Data!B152</f>
        <v>45698</v>
      </c>
      <c r="C152" t="str">
        <f>Raw_Data!C152</f>
        <v>C1044</v>
      </c>
      <c r="D152" t="str">
        <f>Raw_Data!D152</f>
        <v>client57@example.com</v>
      </c>
      <c r="E152" t="str">
        <f>Raw_Data!E152</f>
        <v>P1009</v>
      </c>
      <c r="F152" t="str">
        <f>Raw_Data!F152</f>
        <v>Webcam</v>
      </c>
      <c r="G152" t="str">
        <f>Raw_Data!G152</f>
        <v>Electronics</v>
      </c>
      <c r="H152" t="str">
        <f>Raw_Data!H152</f>
        <v>South</v>
      </c>
      <c r="I152" t="str">
        <f>Raw_Data!I152</f>
        <v>Online</v>
      </c>
      <c r="J152" t="str">
        <f>Raw_Data!J152</f>
        <v>Andrei Pop</v>
      </c>
      <c r="K152">
        <f>Raw_Data!K152</f>
        <v>7</v>
      </c>
      <c r="L152" s="12">
        <f>Raw_Data!L152</f>
        <v>230</v>
      </c>
      <c r="M152" s="12">
        <f>Raw_Data!M152</f>
        <v>132</v>
      </c>
      <c r="N152" s="14">
        <f>Raw_Data!N152</f>
        <v>0.05</v>
      </c>
      <c r="O152" t="str">
        <f>Raw_Data!O152</f>
        <v>Card</v>
      </c>
      <c r="P152" t="str">
        <f>Raw_Data!P152</f>
        <v>Cancelled</v>
      </c>
      <c r="Q152" s="12">
        <f t="shared" si="22"/>
        <v>1610</v>
      </c>
      <c r="R152" s="12">
        <f t="shared" si="23"/>
        <v>1529.5</v>
      </c>
      <c r="S152" s="12">
        <f t="shared" si="24"/>
        <v>924</v>
      </c>
      <c r="T152" s="12">
        <f t="shared" si="25"/>
        <v>605.5</v>
      </c>
      <c r="U152" s="11">
        <f t="shared" si="26"/>
        <v>0.39588100686498856</v>
      </c>
      <c r="V152" t="str">
        <f>IF(OR(A152="",COUNTIF($A$2:$A$301,A152)&gt;1,C152="",D152="",ISERROR(SEARCH("@",D152)),ISERROR(SEARCH(".",D152)),COUNTIF(Lookups!$A$2:$A$11,E152)=0,F152="",H152="",K152&lt;=0,L152&lt;0,M152&lt;0,N152&lt;0,N152&gt;0.5,COUNTIF(Lookups!$K$2:$K$4,P152)=0),"ERROR","VALID")</f>
        <v>VALID</v>
      </c>
      <c r="W152" s="2" t="str">
        <f>IF(A152="","Missing Order ID; ","")&amp;IF(COUNTIF($A$2:$A$301,A152)&gt;1,"Duplicate Order ID; ","")&amp;IF(C152="","Missing Customer ID; ","")&amp;IF(OR(D152="",ISERROR(SEARCH("@",D152)),ISERROR(SEARCH(".",D152))),"Invalid Email; ","")&amp;IF(COUNTIF(Lookups!$A$2:$A$11,E152)=0,"Unknown Product; ","")&amp;IF(F152="","Missing Product Name; ","")&amp;IF(H152="","Missing Region; ","")&amp;IF(K152&lt;=0,"Invalid Quantity; ","")&amp;IF(L152&lt;0,"Invalid Price; ","")&amp;IF(M152&lt;0,"Invalid Cost; ","")&amp;IF(OR(N152&lt;0,N152&gt;0.5),"Invalid Discount; ","")&amp;IF(COUNTIF(Lookups!$K$2:$K$4,P152)=0,"Invalid Status; ","")</f>
        <v/>
      </c>
      <c r="X152" s="15" t="str">
        <f t="shared" si="27"/>
        <v>2025-02</v>
      </c>
      <c r="Y152" t="str">
        <f t="shared" si="28"/>
        <v>Q1</v>
      </c>
      <c r="Z152" t="str">
        <f>IF(R152&gt;=Settings!$B$9,"High Value Customer",IF(R152&gt;=Settings!$B$10,"Medium Value Customer","Standard Customer"))</f>
        <v>Standard Customer</v>
      </c>
      <c r="AA152" t="str">
        <f>IF(R152&gt;=Settings!$B$9,"Large Order",IF(R152&gt;=Settings!$B$10,"Medium Order","Small Order"))</f>
        <v>Small Order</v>
      </c>
      <c r="AB152" t="str">
        <f>IF(N152=0,"No Discount",IF(N152&lt;=0.1,"Low Discount",IF(N152&lt;=Settings!$B$8,"Medium Discount","High Discount")))</f>
        <v>Low Discount</v>
      </c>
      <c r="AC152" t="str">
        <f t="shared" si="29"/>
        <v>Profitable</v>
      </c>
      <c r="AD152" t="str">
        <f>IFERROR(VLOOKUP(E152,Lookups!$A$2:$E$11,2,FALSE),"Product Not Found")</f>
        <v>Webcam</v>
      </c>
      <c r="AE152" t="str">
        <f>IFERROR(VLOOKUP(E152,Lookups!$A$2:$E$11,3,FALSE),"Category Not Found")</f>
        <v>Electronics</v>
      </c>
      <c r="AF152" t="str">
        <f>IFERROR(IF(L152=VLOOKUP(E152,Lookups!$A$2:$E$11,4,FALSE),"Price OK","Price Mismatch"),"Product Missing")</f>
        <v>Price OK</v>
      </c>
      <c r="AG152" t="str">
        <f t="shared" si="30"/>
        <v>Valid Email</v>
      </c>
      <c r="AH152" t="str">
        <f t="shared" si="31"/>
        <v>READY FOR REPORTING</v>
      </c>
      <c r="AI152" t="str">
        <f>IF(AND(LEFT(A152,LEN(Settings!$B$13))=Settings!$B$13,LEN(A152)=9),"Valid Format","Invalid Format")</f>
        <v>Valid Format</v>
      </c>
      <c r="AJ152" t="str">
        <f>IF(LEFT(C152,LEN(Settings!$B$14))=Settings!$B$14,"Valid Format","Invalid Format")</f>
        <v>Valid Format</v>
      </c>
      <c r="AK152" t="str">
        <f>IF(COUNTIF(Master_Data!$G$5:$G$14,C152)=1,"Known Customer","Customer Not in Master")</f>
        <v>Customer Not in Master</v>
      </c>
      <c r="AL152" t="str">
        <f>IF(U152&gt;=Settings!$B$11,"Target Met","Below Target")</f>
        <v>Target Met</v>
      </c>
      <c r="AM152" t="str">
        <f>IF(YEAR(B152)=Settings!$B$5,"Correct Year","Wrong Year")</f>
        <v>Correct Year</v>
      </c>
      <c r="AN152">
        <f t="shared" si="32"/>
        <v>4</v>
      </c>
    </row>
    <row r="153" spans="1:40">
      <c r="A153" t="str">
        <f>Raw_Data!A153</f>
        <v>ORD-10152</v>
      </c>
      <c r="B153" s="13">
        <f>Raw_Data!B153</f>
        <v>45919</v>
      </c>
      <c r="C153" t="str">
        <f>Raw_Data!C153</f>
        <v>C1094</v>
      </c>
      <c r="D153" t="str">
        <f>Raw_Data!D153</f>
        <v>client166@example.com</v>
      </c>
      <c r="E153" t="str">
        <f>Raw_Data!E153</f>
        <v>P1009</v>
      </c>
      <c r="F153" t="str">
        <f>Raw_Data!F153</f>
        <v>Webcam</v>
      </c>
      <c r="G153" t="str">
        <f>Raw_Data!G153</f>
        <v>Electronics</v>
      </c>
      <c r="H153" t="str">
        <f>Raw_Data!H153</f>
        <v>North</v>
      </c>
      <c r="I153" t="str">
        <f>Raw_Data!I153</f>
        <v>Online</v>
      </c>
      <c r="J153" t="str">
        <f>Raw_Data!J153</f>
        <v>Andrei Pop</v>
      </c>
      <c r="K153">
        <f>Raw_Data!K153</f>
        <v>4</v>
      </c>
      <c r="L153" s="12">
        <f>Raw_Data!L153</f>
        <v>230</v>
      </c>
      <c r="M153" s="12">
        <f>Raw_Data!M153</f>
        <v>132</v>
      </c>
      <c r="N153" s="14">
        <f>Raw_Data!N153</f>
        <v>0.05</v>
      </c>
      <c r="O153" t="str">
        <f>Raw_Data!O153</f>
        <v>Bank Transfer</v>
      </c>
      <c r="P153" t="str">
        <f>Raw_Data!P153</f>
        <v>Completed</v>
      </c>
      <c r="Q153" s="12">
        <f t="shared" si="22"/>
        <v>920</v>
      </c>
      <c r="R153" s="12">
        <f t="shared" si="23"/>
        <v>874</v>
      </c>
      <c r="S153" s="12">
        <f t="shared" si="24"/>
        <v>528</v>
      </c>
      <c r="T153" s="12">
        <f t="shared" si="25"/>
        <v>346</v>
      </c>
      <c r="U153" s="11">
        <f t="shared" si="26"/>
        <v>0.39588100686498856</v>
      </c>
      <c r="V153" t="str">
        <f>IF(OR(A153="",COUNTIF($A$2:$A$301,A153)&gt;1,C153="",D153="",ISERROR(SEARCH("@",D153)),ISERROR(SEARCH(".",D153)),COUNTIF(Lookups!$A$2:$A$11,E153)=0,F153="",H153="",K153&lt;=0,L153&lt;0,M153&lt;0,N153&lt;0,N153&gt;0.5,COUNTIF(Lookups!$K$2:$K$4,P153)=0),"ERROR","VALID")</f>
        <v>VALID</v>
      </c>
      <c r="W153" s="2" t="str">
        <f>IF(A153="","Missing Order ID; ","")&amp;IF(COUNTIF($A$2:$A$301,A153)&gt;1,"Duplicate Order ID; ","")&amp;IF(C153="","Missing Customer ID; ","")&amp;IF(OR(D153="",ISERROR(SEARCH("@",D153)),ISERROR(SEARCH(".",D153))),"Invalid Email; ","")&amp;IF(COUNTIF(Lookups!$A$2:$A$11,E153)=0,"Unknown Product; ","")&amp;IF(F153="","Missing Product Name; ","")&amp;IF(H153="","Missing Region; ","")&amp;IF(K153&lt;=0,"Invalid Quantity; ","")&amp;IF(L153&lt;0,"Invalid Price; ","")&amp;IF(M153&lt;0,"Invalid Cost; ","")&amp;IF(OR(N153&lt;0,N153&gt;0.5),"Invalid Discount; ","")&amp;IF(COUNTIF(Lookups!$K$2:$K$4,P153)=0,"Invalid Status; ","")</f>
        <v/>
      </c>
      <c r="X153" s="15" t="str">
        <f t="shared" si="27"/>
        <v>2025-09</v>
      </c>
      <c r="Y153" t="str">
        <f t="shared" si="28"/>
        <v>Q3</v>
      </c>
      <c r="Z153" t="str">
        <f>IF(R153&gt;=Settings!$B$9,"High Value Customer",IF(R153&gt;=Settings!$B$10,"Medium Value Customer","Standard Customer"))</f>
        <v>Standard Customer</v>
      </c>
      <c r="AA153" t="str">
        <f>IF(R153&gt;=Settings!$B$9,"Large Order",IF(R153&gt;=Settings!$B$10,"Medium Order","Small Order"))</f>
        <v>Small Order</v>
      </c>
      <c r="AB153" t="str">
        <f>IF(N153=0,"No Discount",IF(N153&lt;=0.1,"Low Discount",IF(N153&lt;=Settings!$B$8,"Medium Discount","High Discount")))</f>
        <v>Low Discount</v>
      </c>
      <c r="AC153" t="str">
        <f t="shared" si="29"/>
        <v>Profitable</v>
      </c>
      <c r="AD153" t="str">
        <f>IFERROR(VLOOKUP(E153,Lookups!$A$2:$E$11,2,FALSE),"Product Not Found")</f>
        <v>Webcam</v>
      </c>
      <c r="AE153" t="str">
        <f>IFERROR(VLOOKUP(E153,Lookups!$A$2:$E$11,3,FALSE),"Category Not Found")</f>
        <v>Electronics</v>
      </c>
      <c r="AF153" t="str">
        <f>IFERROR(IF(L153=VLOOKUP(E153,Lookups!$A$2:$E$11,4,FALSE),"Price OK","Price Mismatch"),"Product Missing")</f>
        <v>Price OK</v>
      </c>
      <c r="AG153" t="str">
        <f t="shared" si="30"/>
        <v>Valid Email</v>
      </c>
      <c r="AH153" t="str">
        <f t="shared" si="31"/>
        <v>READY FOR REPORTING</v>
      </c>
      <c r="AI153" t="str">
        <f>IF(AND(LEFT(A153,LEN(Settings!$B$13))=Settings!$B$13,LEN(A153)=9),"Valid Format","Invalid Format")</f>
        <v>Valid Format</v>
      </c>
      <c r="AJ153" t="str">
        <f>IF(LEFT(C153,LEN(Settings!$B$14))=Settings!$B$14,"Valid Format","Invalid Format")</f>
        <v>Valid Format</v>
      </c>
      <c r="AK153" t="str">
        <f>IF(COUNTIF(Master_Data!$G$5:$G$14,C153)=1,"Known Customer","Customer Not in Master")</f>
        <v>Customer Not in Master</v>
      </c>
      <c r="AL153" t="str">
        <f>IF(U153&gt;=Settings!$B$11,"Target Met","Below Target")</f>
        <v>Target Met</v>
      </c>
      <c r="AM153" t="str">
        <f>IF(YEAR(B153)=Settings!$B$5,"Correct Year","Wrong Year")</f>
        <v>Correct Year</v>
      </c>
      <c r="AN153">
        <f t="shared" si="32"/>
        <v>4</v>
      </c>
    </row>
    <row r="154" spans="1:40">
      <c r="A154" t="str">
        <f>Raw_Data!A154</f>
        <v>ORD-10153</v>
      </c>
      <c r="B154" s="13">
        <f>Raw_Data!B154</f>
        <v>45759</v>
      </c>
      <c r="C154" t="str">
        <f>Raw_Data!C154</f>
        <v>C1098</v>
      </c>
      <c r="D154" t="str">
        <f>Raw_Data!D154</f>
        <v>client168@example.com</v>
      </c>
      <c r="E154" t="str">
        <f>Raw_Data!E154</f>
        <v>P1005</v>
      </c>
      <c r="F154" t="str">
        <f>Raw_Data!F154</f>
        <v>24-inch Monitor</v>
      </c>
      <c r="G154" t="str">
        <f>Raw_Data!G154</f>
        <v>Electronics</v>
      </c>
      <c r="H154" t="str">
        <f>Raw_Data!H154</f>
        <v>Bucharest</v>
      </c>
      <c r="I154" t="str">
        <f>Raw_Data!I154</f>
        <v>Online</v>
      </c>
      <c r="J154" t="str">
        <f>Raw_Data!J154</f>
        <v>Mihai Radu</v>
      </c>
      <c r="K154">
        <f>Raw_Data!K154</f>
        <v>3</v>
      </c>
      <c r="L154" s="12">
        <f>Raw_Data!L154</f>
        <v>720</v>
      </c>
      <c r="M154" s="12">
        <f>Raw_Data!M154</f>
        <v>510</v>
      </c>
      <c r="N154" s="14">
        <f>Raw_Data!N154</f>
        <v>0.15</v>
      </c>
      <c r="O154" t="str">
        <f>Raw_Data!O154</f>
        <v>Online Wallet</v>
      </c>
      <c r="P154" t="str">
        <f>Raw_Data!P154</f>
        <v>Completed</v>
      </c>
      <c r="Q154" s="12">
        <f t="shared" si="22"/>
        <v>2160</v>
      </c>
      <c r="R154" s="12">
        <f t="shared" si="23"/>
        <v>1836</v>
      </c>
      <c r="S154" s="12">
        <f t="shared" si="24"/>
        <v>1530</v>
      </c>
      <c r="T154" s="12">
        <f t="shared" si="25"/>
        <v>306</v>
      </c>
      <c r="U154" s="11">
        <f t="shared" si="26"/>
        <v>0.16666666666666666</v>
      </c>
      <c r="V154" t="str">
        <f>IF(OR(A154="",COUNTIF($A$2:$A$301,A154)&gt;1,C154="",D154="",ISERROR(SEARCH("@",D154)),ISERROR(SEARCH(".",D154)),COUNTIF(Lookups!$A$2:$A$11,E154)=0,F154="",H154="",K154&lt;=0,L154&lt;0,M154&lt;0,N154&lt;0,N154&gt;0.5,COUNTIF(Lookups!$K$2:$K$4,P154)=0),"ERROR","VALID")</f>
        <v>VALID</v>
      </c>
      <c r="W154" s="2" t="str">
        <f>IF(A154="","Missing Order ID; ","")&amp;IF(COUNTIF($A$2:$A$301,A154)&gt;1,"Duplicate Order ID; ","")&amp;IF(C154="","Missing Customer ID; ","")&amp;IF(OR(D154="",ISERROR(SEARCH("@",D154)),ISERROR(SEARCH(".",D154))),"Invalid Email; ","")&amp;IF(COUNTIF(Lookups!$A$2:$A$11,E154)=0,"Unknown Product; ","")&amp;IF(F154="","Missing Product Name; ","")&amp;IF(H154="","Missing Region; ","")&amp;IF(K154&lt;=0,"Invalid Quantity; ","")&amp;IF(L154&lt;0,"Invalid Price; ","")&amp;IF(M154&lt;0,"Invalid Cost; ","")&amp;IF(OR(N154&lt;0,N154&gt;0.5),"Invalid Discount; ","")&amp;IF(COUNTIF(Lookups!$K$2:$K$4,P154)=0,"Invalid Status; ","")</f>
        <v/>
      </c>
      <c r="X154" s="15" t="str">
        <f t="shared" si="27"/>
        <v>2025-04</v>
      </c>
      <c r="Y154" t="str">
        <f t="shared" si="28"/>
        <v>Q2</v>
      </c>
      <c r="Z154" t="str">
        <f>IF(R154&gt;=Settings!$B$9,"High Value Customer",IF(R154&gt;=Settings!$B$10,"Medium Value Customer","Standard Customer"))</f>
        <v>Standard Customer</v>
      </c>
      <c r="AA154" t="str">
        <f>IF(R154&gt;=Settings!$B$9,"Large Order",IF(R154&gt;=Settings!$B$10,"Medium Order","Small Order"))</f>
        <v>Small Order</v>
      </c>
      <c r="AB154" t="str">
        <f>IF(N154=0,"No Discount",IF(N154&lt;=0.1,"Low Discount",IF(N154&lt;=Settings!$B$8,"Medium Discount","High Discount")))</f>
        <v>Medium Discount</v>
      </c>
      <c r="AC154" t="str">
        <f t="shared" si="29"/>
        <v>Profitable</v>
      </c>
      <c r="AD154" t="str">
        <f>IFERROR(VLOOKUP(E154,Lookups!$A$2:$E$11,2,FALSE),"Product Not Found")</f>
        <v>24-inch Monitor</v>
      </c>
      <c r="AE154" t="str">
        <f>IFERROR(VLOOKUP(E154,Lookups!$A$2:$E$11,3,FALSE),"Category Not Found")</f>
        <v>Electronics</v>
      </c>
      <c r="AF154" t="str">
        <f>IFERROR(IF(L154=VLOOKUP(E154,Lookups!$A$2:$E$11,4,FALSE),"Price OK","Price Mismatch"),"Product Missing")</f>
        <v>Price OK</v>
      </c>
      <c r="AG154" t="str">
        <f t="shared" si="30"/>
        <v>Valid Email</v>
      </c>
      <c r="AH154" t="str">
        <f t="shared" si="31"/>
        <v>READY FOR REPORTING</v>
      </c>
      <c r="AI154" t="str">
        <f>IF(AND(LEFT(A154,LEN(Settings!$B$13))=Settings!$B$13,LEN(A154)=9),"Valid Format","Invalid Format")</f>
        <v>Valid Format</v>
      </c>
      <c r="AJ154" t="str">
        <f>IF(LEFT(C154,LEN(Settings!$B$14))=Settings!$B$14,"Valid Format","Invalid Format")</f>
        <v>Valid Format</v>
      </c>
      <c r="AK154" t="str">
        <f>IF(COUNTIF(Master_Data!$G$5:$G$14,C154)=1,"Known Customer","Customer Not in Master")</f>
        <v>Customer Not in Master</v>
      </c>
      <c r="AL154" t="str">
        <f>IF(U154&gt;=Settings!$B$11,"Target Met","Below Target")</f>
        <v>Below Target</v>
      </c>
      <c r="AM154" t="str">
        <f>IF(YEAR(B154)=Settings!$B$5,"Correct Year","Wrong Year")</f>
        <v>Correct Year</v>
      </c>
      <c r="AN154">
        <f t="shared" si="32"/>
        <v>3</v>
      </c>
    </row>
    <row r="155" spans="1:40">
      <c r="A155" t="str">
        <f>Raw_Data!A155</f>
        <v>ORD-10154</v>
      </c>
      <c r="B155" s="13">
        <f>Raw_Data!B155</f>
        <v>45954</v>
      </c>
      <c r="C155" t="str">
        <f>Raw_Data!C155</f>
        <v>C1083</v>
      </c>
      <c r="D155" t="str">
        <f>Raw_Data!D155</f>
        <v>client163@example.com</v>
      </c>
      <c r="E155" t="str">
        <f>Raw_Data!E155</f>
        <v>P1010</v>
      </c>
      <c r="F155" t="str">
        <f>Raw_Data!F155</f>
        <v>Headset</v>
      </c>
      <c r="G155" t="str">
        <f>Raw_Data!G155</f>
        <v>Electronics</v>
      </c>
      <c r="H155" t="str">
        <f>Raw_Data!H155</f>
        <v>West</v>
      </c>
      <c r="I155" t="str">
        <f>Raw_Data!I155</f>
        <v>Store</v>
      </c>
      <c r="J155" t="str">
        <f>Raw_Data!J155</f>
        <v>Elena Stan</v>
      </c>
      <c r="K155">
        <f>Raw_Data!K155</f>
        <v>8</v>
      </c>
      <c r="L155" s="12">
        <f>Raw_Data!L155</f>
        <v>195</v>
      </c>
      <c r="M155" s="12">
        <f>Raw_Data!M155</f>
        <v>105</v>
      </c>
      <c r="N155" s="14">
        <f>Raw_Data!N155</f>
        <v>0.2</v>
      </c>
      <c r="O155" t="str">
        <f>Raw_Data!O155</f>
        <v>Bank Transfer</v>
      </c>
      <c r="P155" t="str">
        <f>Raw_Data!P155</f>
        <v>Returned</v>
      </c>
      <c r="Q155" s="12">
        <f t="shared" si="22"/>
        <v>1560</v>
      </c>
      <c r="R155" s="12">
        <f t="shared" si="23"/>
        <v>1248</v>
      </c>
      <c r="S155" s="12">
        <f t="shared" si="24"/>
        <v>840</v>
      </c>
      <c r="T155" s="12">
        <f t="shared" si="25"/>
        <v>408</v>
      </c>
      <c r="U155" s="11">
        <f t="shared" si="26"/>
        <v>0.32692307692307693</v>
      </c>
      <c r="V155" t="str">
        <f>IF(OR(A155="",COUNTIF($A$2:$A$301,A155)&gt;1,C155="",D155="",ISERROR(SEARCH("@",D155)),ISERROR(SEARCH(".",D155)),COUNTIF(Lookups!$A$2:$A$11,E155)=0,F155="",H155="",K155&lt;=0,L155&lt;0,M155&lt;0,N155&lt;0,N155&gt;0.5,COUNTIF(Lookups!$K$2:$K$4,P155)=0),"ERROR","VALID")</f>
        <v>VALID</v>
      </c>
      <c r="W155" s="2" t="str">
        <f>IF(A155="","Missing Order ID; ","")&amp;IF(COUNTIF($A$2:$A$301,A155)&gt;1,"Duplicate Order ID; ","")&amp;IF(C155="","Missing Customer ID; ","")&amp;IF(OR(D155="",ISERROR(SEARCH("@",D155)),ISERROR(SEARCH(".",D155))),"Invalid Email; ","")&amp;IF(COUNTIF(Lookups!$A$2:$A$11,E155)=0,"Unknown Product; ","")&amp;IF(F155="","Missing Product Name; ","")&amp;IF(H155="","Missing Region; ","")&amp;IF(K155&lt;=0,"Invalid Quantity; ","")&amp;IF(L155&lt;0,"Invalid Price; ","")&amp;IF(M155&lt;0,"Invalid Cost; ","")&amp;IF(OR(N155&lt;0,N155&gt;0.5),"Invalid Discount; ","")&amp;IF(COUNTIF(Lookups!$K$2:$K$4,P155)=0,"Invalid Status; ","")</f>
        <v/>
      </c>
      <c r="X155" s="15" t="str">
        <f t="shared" si="27"/>
        <v>2025-10</v>
      </c>
      <c r="Y155" t="str">
        <f t="shared" si="28"/>
        <v>Q4</v>
      </c>
      <c r="Z155" t="str">
        <f>IF(R155&gt;=Settings!$B$9,"High Value Customer",IF(R155&gt;=Settings!$B$10,"Medium Value Customer","Standard Customer"))</f>
        <v>Standard Customer</v>
      </c>
      <c r="AA155" t="str">
        <f>IF(R155&gt;=Settings!$B$9,"Large Order",IF(R155&gt;=Settings!$B$10,"Medium Order","Small Order"))</f>
        <v>Small Order</v>
      </c>
      <c r="AB155" t="str">
        <f>IF(N155=0,"No Discount",IF(N155&lt;=0.1,"Low Discount",IF(N155&lt;=Settings!$B$8,"Medium Discount","High Discount")))</f>
        <v>Medium Discount</v>
      </c>
      <c r="AC155" t="str">
        <f t="shared" si="29"/>
        <v>Profitable</v>
      </c>
      <c r="AD155" t="str">
        <f>IFERROR(VLOOKUP(E155,Lookups!$A$2:$E$11,2,FALSE),"Product Not Found")</f>
        <v>Headset</v>
      </c>
      <c r="AE155" t="str">
        <f>IFERROR(VLOOKUP(E155,Lookups!$A$2:$E$11,3,FALSE),"Category Not Found")</f>
        <v>Electronics</v>
      </c>
      <c r="AF155" t="str">
        <f>IFERROR(IF(L155=VLOOKUP(E155,Lookups!$A$2:$E$11,4,FALSE),"Price OK","Price Mismatch"),"Product Missing")</f>
        <v>Price OK</v>
      </c>
      <c r="AG155" t="str">
        <f t="shared" si="30"/>
        <v>Valid Email</v>
      </c>
      <c r="AH155" t="str">
        <f t="shared" si="31"/>
        <v>READY FOR REPORTING</v>
      </c>
      <c r="AI155" t="str">
        <f>IF(AND(LEFT(A155,LEN(Settings!$B$13))=Settings!$B$13,LEN(A155)=9),"Valid Format","Invalid Format")</f>
        <v>Valid Format</v>
      </c>
      <c r="AJ155" t="str">
        <f>IF(LEFT(C155,LEN(Settings!$B$14))=Settings!$B$14,"Valid Format","Invalid Format")</f>
        <v>Valid Format</v>
      </c>
      <c r="AK155" t="str">
        <f>IF(COUNTIF(Master_Data!$G$5:$G$14,C155)=1,"Known Customer","Customer Not in Master")</f>
        <v>Customer Not in Master</v>
      </c>
      <c r="AL155" t="str">
        <f>IF(U155&gt;=Settings!$B$11,"Target Met","Below Target")</f>
        <v>Target Met</v>
      </c>
      <c r="AM155" t="str">
        <f>IF(YEAR(B155)=Settings!$B$5,"Correct Year","Wrong Year")</f>
        <v>Correct Year</v>
      </c>
      <c r="AN155">
        <f t="shared" si="32"/>
        <v>4</v>
      </c>
    </row>
    <row r="156" spans="1:40">
      <c r="A156" t="str">
        <f>Raw_Data!A156</f>
        <v>ORD-10155</v>
      </c>
      <c r="B156" s="13">
        <f>Raw_Data!B156</f>
        <v>45692</v>
      </c>
      <c r="C156" t="str">
        <f>Raw_Data!C156</f>
        <v>C1039</v>
      </c>
      <c r="D156" t="str">
        <f>Raw_Data!D156</f>
        <v>client71@example.com</v>
      </c>
      <c r="E156" t="str">
        <f>Raw_Data!E156</f>
        <v>P1008</v>
      </c>
      <c r="F156" t="str">
        <f>Raw_Data!F156</f>
        <v>Standing Desk</v>
      </c>
      <c r="G156" t="str">
        <f>Raw_Data!G156</f>
        <v>Furniture</v>
      </c>
      <c r="H156" t="str">
        <f>Raw_Data!H156</f>
        <v>West</v>
      </c>
      <c r="I156" t="str">
        <f>Raw_Data!I156</f>
        <v>Online</v>
      </c>
      <c r="J156" t="str">
        <f>Raw_Data!J156</f>
        <v>Elena Stan</v>
      </c>
      <c r="K156">
        <f>Raw_Data!K156</f>
        <v>8</v>
      </c>
      <c r="L156" s="12">
        <f>Raw_Data!L156</f>
        <v>1450</v>
      </c>
      <c r="M156" s="12">
        <f>Raw_Data!M156</f>
        <v>1030</v>
      </c>
      <c r="N156" s="14">
        <f>Raw_Data!N156</f>
        <v>0.1</v>
      </c>
      <c r="O156" t="str">
        <f>Raw_Data!O156</f>
        <v>Card</v>
      </c>
      <c r="P156" t="str">
        <f>Raw_Data!P156</f>
        <v>Cancelled</v>
      </c>
      <c r="Q156" s="12">
        <f t="shared" si="22"/>
        <v>11600</v>
      </c>
      <c r="R156" s="12">
        <f t="shared" si="23"/>
        <v>10440</v>
      </c>
      <c r="S156" s="12">
        <f t="shared" si="24"/>
        <v>8240</v>
      </c>
      <c r="T156" s="12">
        <f t="shared" si="25"/>
        <v>2200</v>
      </c>
      <c r="U156" s="11">
        <f t="shared" si="26"/>
        <v>0.21072796934865901</v>
      </c>
      <c r="V156" t="str">
        <f>IF(OR(A156="",COUNTIF($A$2:$A$301,A156)&gt;1,C156="",D156="",ISERROR(SEARCH("@",D156)),ISERROR(SEARCH(".",D156)),COUNTIF(Lookups!$A$2:$A$11,E156)=0,F156="",H156="",K156&lt;=0,L156&lt;0,M156&lt;0,N156&lt;0,N156&gt;0.5,COUNTIF(Lookups!$K$2:$K$4,P156)=0),"ERROR","VALID")</f>
        <v>VALID</v>
      </c>
      <c r="W156" s="2" t="str">
        <f>IF(A156="","Missing Order ID; ","")&amp;IF(COUNTIF($A$2:$A$301,A156)&gt;1,"Duplicate Order ID; ","")&amp;IF(C156="","Missing Customer ID; ","")&amp;IF(OR(D156="",ISERROR(SEARCH("@",D156)),ISERROR(SEARCH(".",D156))),"Invalid Email; ","")&amp;IF(COUNTIF(Lookups!$A$2:$A$11,E156)=0,"Unknown Product; ","")&amp;IF(F156="","Missing Product Name; ","")&amp;IF(H156="","Missing Region; ","")&amp;IF(K156&lt;=0,"Invalid Quantity; ","")&amp;IF(L156&lt;0,"Invalid Price; ","")&amp;IF(M156&lt;0,"Invalid Cost; ","")&amp;IF(OR(N156&lt;0,N156&gt;0.5),"Invalid Discount; ","")&amp;IF(COUNTIF(Lookups!$K$2:$K$4,P156)=0,"Invalid Status; ","")</f>
        <v/>
      </c>
      <c r="X156" s="15" t="str">
        <f t="shared" si="27"/>
        <v>2025-02</v>
      </c>
      <c r="Y156" t="str">
        <f t="shared" si="28"/>
        <v>Q1</v>
      </c>
      <c r="Z156" t="str">
        <f>IF(R156&gt;=Settings!$B$9,"High Value Customer",IF(R156&gt;=Settings!$B$10,"Medium Value Customer","Standard Customer"))</f>
        <v>High Value Customer</v>
      </c>
      <c r="AA156" t="str">
        <f>IF(R156&gt;=Settings!$B$9,"Large Order",IF(R156&gt;=Settings!$B$10,"Medium Order","Small Order"))</f>
        <v>Large Order</v>
      </c>
      <c r="AB156" t="str">
        <f>IF(N156=0,"No Discount",IF(N156&lt;=0.1,"Low Discount",IF(N156&lt;=Settings!$B$8,"Medium Discount","High Discount")))</f>
        <v>Low Discount</v>
      </c>
      <c r="AC156" t="str">
        <f t="shared" si="29"/>
        <v>Profitable</v>
      </c>
      <c r="AD156" t="str">
        <f>IFERROR(VLOOKUP(E156,Lookups!$A$2:$E$11,2,FALSE),"Product Not Found")</f>
        <v>Standing Desk</v>
      </c>
      <c r="AE156" t="str">
        <f>IFERROR(VLOOKUP(E156,Lookups!$A$2:$E$11,3,FALSE),"Category Not Found")</f>
        <v>Furniture</v>
      </c>
      <c r="AF156" t="str">
        <f>IFERROR(IF(L156=VLOOKUP(E156,Lookups!$A$2:$E$11,4,FALSE),"Price OK","Price Mismatch"),"Product Missing")</f>
        <v>Price OK</v>
      </c>
      <c r="AG156" t="str">
        <f t="shared" si="30"/>
        <v>Valid Email</v>
      </c>
      <c r="AH156" t="str">
        <f t="shared" si="31"/>
        <v>READY FOR REPORTING</v>
      </c>
      <c r="AI156" t="str">
        <f>IF(AND(LEFT(A156,LEN(Settings!$B$13))=Settings!$B$13,LEN(A156)=9),"Valid Format","Invalid Format")</f>
        <v>Valid Format</v>
      </c>
      <c r="AJ156" t="str">
        <f>IF(LEFT(C156,LEN(Settings!$B$14))=Settings!$B$14,"Valid Format","Invalid Format")</f>
        <v>Valid Format</v>
      </c>
      <c r="AK156" t="str">
        <f>IF(COUNTIF(Master_Data!$G$5:$G$14,C156)=1,"Known Customer","Customer Not in Master")</f>
        <v>Customer Not in Master</v>
      </c>
      <c r="AL156" t="str">
        <f>IF(U156&gt;=Settings!$B$11,"Target Met","Below Target")</f>
        <v>Below Target</v>
      </c>
      <c r="AM156" t="str">
        <f>IF(YEAR(B156)=Settings!$B$5,"Correct Year","Wrong Year")</f>
        <v>Correct Year</v>
      </c>
      <c r="AN156">
        <f t="shared" si="32"/>
        <v>3</v>
      </c>
    </row>
    <row r="157" spans="1:40">
      <c r="A157" t="str">
        <f>Raw_Data!A157</f>
        <v>ORD-10156</v>
      </c>
      <c r="B157" s="13">
        <f>Raw_Data!B157</f>
        <v>45894</v>
      </c>
      <c r="C157" t="str">
        <f>Raw_Data!C157</f>
        <v>C1048</v>
      </c>
      <c r="D157" t="str">
        <f>Raw_Data!D157</f>
        <v>client74@example.com</v>
      </c>
      <c r="E157" t="str">
        <f>Raw_Data!E157</f>
        <v>P1005</v>
      </c>
      <c r="F157" t="str">
        <f>Raw_Data!F157</f>
        <v>24-inch Monitor</v>
      </c>
      <c r="G157" t="str">
        <f>Raw_Data!G157</f>
        <v>Electronics</v>
      </c>
      <c r="H157" t="str">
        <f>Raw_Data!H157</f>
        <v>Bucharest</v>
      </c>
      <c r="I157" t="str">
        <f>Raw_Data!I157</f>
        <v>Marketplace</v>
      </c>
      <c r="J157" t="str">
        <f>Raw_Data!J157</f>
        <v>Andrei Pop</v>
      </c>
      <c r="K157">
        <f>Raw_Data!K157</f>
        <v>8</v>
      </c>
      <c r="L157" s="12">
        <f>Raw_Data!L157</f>
        <v>720</v>
      </c>
      <c r="M157" s="12">
        <f>Raw_Data!M157</f>
        <v>510</v>
      </c>
      <c r="N157" s="14">
        <f>Raw_Data!N157</f>
        <v>0</v>
      </c>
      <c r="O157" t="str">
        <f>Raw_Data!O157</f>
        <v>Online Wallet</v>
      </c>
      <c r="P157" t="str">
        <f>Raw_Data!P157</f>
        <v>Completed</v>
      </c>
      <c r="Q157" s="12">
        <f t="shared" si="22"/>
        <v>5760</v>
      </c>
      <c r="R157" s="12">
        <f t="shared" si="23"/>
        <v>5760</v>
      </c>
      <c r="S157" s="12">
        <f t="shared" si="24"/>
        <v>4080</v>
      </c>
      <c r="T157" s="12">
        <f t="shared" si="25"/>
        <v>1680</v>
      </c>
      <c r="U157" s="11">
        <f t="shared" si="26"/>
        <v>0.29166666666666669</v>
      </c>
      <c r="V157" t="str">
        <f>IF(OR(A157="",COUNTIF($A$2:$A$301,A157)&gt;1,C157="",D157="",ISERROR(SEARCH("@",D157)),ISERROR(SEARCH(".",D157)),COUNTIF(Lookups!$A$2:$A$11,E157)=0,F157="",H157="",K157&lt;=0,L157&lt;0,M157&lt;0,N157&lt;0,N157&gt;0.5,COUNTIF(Lookups!$K$2:$K$4,P157)=0),"ERROR","VALID")</f>
        <v>VALID</v>
      </c>
      <c r="W157" s="2" t="str">
        <f>IF(A157="","Missing Order ID; ","")&amp;IF(COUNTIF($A$2:$A$301,A157)&gt;1,"Duplicate Order ID; ","")&amp;IF(C157="","Missing Customer ID; ","")&amp;IF(OR(D157="",ISERROR(SEARCH("@",D157)),ISERROR(SEARCH(".",D157))),"Invalid Email; ","")&amp;IF(COUNTIF(Lookups!$A$2:$A$11,E157)=0,"Unknown Product; ","")&amp;IF(F157="","Missing Product Name; ","")&amp;IF(H157="","Missing Region; ","")&amp;IF(K157&lt;=0,"Invalid Quantity; ","")&amp;IF(L157&lt;0,"Invalid Price; ","")&amp;IF(M157&lt;0,"Invalid Cost; ","")&amp;IF(OR(N157&lt;0,N157&gt;0.5),"Invalid Discount; ","")&amp;IF(COUNTIF(Lookups!$K$2:$K$4,P157)=0,"Invalid Status; ","")</f>
        <v/>
      </c>
      <c r="X157" s="15" t="str">
        <f t="shared" si="27"/>
        <v>2025-08</v>
      </c>
      <c r="Y157" t="str">
        <f t="shared" si="28"/>
        <v>Q3</v>
      </c>
      <c r="Z157" t="str">
        <f>IF(R157&gt;=Settings!$B$9,"High Value Customer",IF(R157&gt;=Settings!$B$10,"Medium Value Customer","Standard Customer"))</f>
        <v>High Value Customer</v>
      </c>
      <c r="AA157" t="str">
        <f>IF(R157&gt;=Settings!$B$9,"Large Order",IF(R157&gt;=Settings!$B$10,"Medium Order","Small Order"))</f>
        <v>Large Order</v>
      </c>
      <c r="AB157" t="str">
        <f>IF(N157=0,"No Discount",IF(N157&lt;=0.1,"Low Discount",IF(N157&lt;=Settings!$B$8,"Medium Discount","High Discount")))</f>
        <v>No Discount</v>
      </c>
      <c r="AC157" t="str">
        <f t="shared" si="29"/>
        <v>Profitable</v>
      </c>
      <c r="AD157" t="str">
        <f>IFERROR(VLOOKUP(E157,Lookups!$A$2:$E$11,2,FALSE),"Product Not Found")</f>
        <v>24-inch Monitor</v>
      </c>
      <c r="AE157" t="str">
        <f>IFERROR(VLOOKUP(E157,Lookups!$A$2:$E$11,3,FALSE),"Category Not Found")</f>
        <v>Electronics</v>
      </c>
      <c r="AF157" t="str">
        <f>IFERROR(IF(L157=VLOOKUP(E157,Lookups!$A$2:$E$11,4,FALSE),"Price OK","Price Mismatch"),"Product Missing")</f>
        <v>Price OK</v>
      </c>
      <c r="AG157" t="str">
        <f t="shared" si="30"/>
        <v>Valid Email</v>
      </c>
      <c r="AH157" t="str">
        <f t="shared" si="31"/>
        <v>READY FOR REPORTING</v>
      </c>
      <c r="AI157" t="str">
        <f>IF(AND(LEFT(A157,LEN(Settings!$B$13))=Settings!$B$13,LEN(A157)=9),"Valid Format","Invalid Format")</f>
        <v>Valid Format</v>
      </c>
      <c r="AJ157" t="str">
        <f>IF(LEFT(C157,LEN(Settings!$B$14))=Settings!$B$14,"Valid Format","Invalid Format")</f>
        <v>Valid Format</v>
      </c>
      <c r="AK157" t="str">
        <f>IF(COUNTIF(Master_Data!$G$5:$G$14,C157)=1,"Known Customer","Customer Not in Master")</f>
        <v>Customer Not in Master</v>
      </c>
      <c r="AL157" t="str">
        <f>IF(U157&gt;=Settings!$B$11,"Target Met","Below Target")</f>
        <v>Target Met</v>
      </c>
      <c r="AM157" t="str">
        <f>IF(YEAR(B157)=Settings!$B$5,"Correct Year","Wrong Year")</f>
        <v>Correct Year</v>
      </c>
      <c r="AN157">
        <f t="shared" si="32"/>
        <v>4</v>
      </c>
    </row>
    <row r="158" spans="1:40">
      <c r="A158" t="str">
        <f>Raw_Data!A158</f>
        <v>ORD-10157</v>
      </c>
      <c r="B158" s="13">
        <f>Raw_Data!B158</f>
        <v>45955</v>
      </c>
      <c r="C158" t="str">
        <f>Raw_Data!C158</f>
        <v>C1058</v>
      </c>
      <c r="D158" t="str">
        <f>Raw_Data!D158</f>
        <v>client147@example.com</v>
      </c>
      <c r="E158" t="str">
        <f>Raw_Data!E158</f>
        <v>P1008</v>
      </c>
      <c r="F158" t="str">
        <f>Raw_Data!F158</f>
        <v>Standing Desk</v>
      </c>
      <c r="G158" t="str">
        <f>Raw_Data!G158</f>
        <v>Furniture</v>
      </c>
      <c r="H158" t="str">
        <f>Raw_Data!H158</f>
        <v>North</v>
      </c>
      <c r="I158" t="str">
        <f>Raw_Data!I158</f>
        <v>Store</v>
      </c>
      <c r="J158" t="str">
        <f>Raw_Data!J158</f>
        <v>Ioana Pavel</v>
      </c>
      <c r="K158">
        <f>Raw_Data!K158</f>
        <v>9</v>
      </c>
      <c r="L158" s="12">
        <f>Raw_Data!L158</f>
        <v>1450</v>
      </c>
      <c r="M158" s="12">
        <f>Raw_Data!M158</f>
        <v>1030</v>
      </c>
      <c r="N158" s="14">
        <f>Raw_Data!N158</f>
        <v>0.2</v>
      </c>
      <c r="O158" t="str">
        <f>Raw_Data!O158</f>
        <v>Online Wallet</v>
      </c>
      <c r="P158" t="str">
        <f>Raw_Data!P158</f>
        <v>Completed</v>
      </c>
      <c r="Q158" s="12">
        <f t="shared" si="22"/>
        <v>13050</v>
      </c>
      <c r="R158" s="12">
        <f t="shared" si="23"/>
        <v>10440</v>
      </c>
      <c r="S158" s="12">
        <f t="shared" si="24"/>
        <v>9270</v>
      </c>
      <c r="T158" s="12">
        <f t="shared" si="25"/>
        <v>1170</v>
      </c>
      <c r="U158" s="11">
        <f t="shared" si="26"/>
        <v>0.11206896551724138</v>
      </c>
      <c r="V158" t="str">
        <f>IF(OR(A158="",COUNTIF($A$2:$A$301,A158)&gt;1,C158="",D158="",ISERROR(SEARCH("@",D158)),ISERROR(SEARCH(".",D158)),COUNTIF(Lookups!$A$2:$A$11,E158)=0,F158="",H158="",K158&lt;=0,L158&lt;0,M158&lt;0,N158&lt;0,N158&gt;0.5,COUNTIF(Lookups!$K$2:$K$4,P158)=0),"ERROR","VALID")</f>
        <v>VALID</v>
      </c>
      <c r="W158" s="2" t="str">
        <f>IF(A158="","Missing Order ID; ","")&amp;IF(COUNTIF($A$2:$A$301,A158)&gt;1,"Duplicate Order ID; ","")&amp;IF(C158="","Missing Customer ID; ","")&amp;IF(OR(D158="",ISERROR(SEARCH("@",D158)),ISERROR(SEARCH(".",D158))),"Invalid Email; ","")&amp;IF(COUNTIF(Lookups!$A$2:$A$11,E158)=0,"Unknown Product; ","")&amp;IF(F158="","Missing Product Name; ","")&amp;IF(H158="","Missing Region; ","")&amp;IF(K158&lt;=0,"Invalid Quantity; ","")&amp;IF(L158&lt;0,"Invalid Price; ","")&amp;IF(M158&lt;0,"Invalid Cost; ","")&amp;IF(OR(N158&lt;0,N158&gt;0.5),"Invalid Discount; ","")&amp;IF(COUNTIF(Lookups!$K$2:$K$4,P158)=0,"Invalid Status; ","")</f>
        <v/>
      </c>
      <c r="X158" s="15" t="str">
        <f t="shared" si="27"/>
        <v>2025-10</v>
      </c>
      <c r="Y158" t="str">
        <f t="shared" si="28"/>
        <v>Q4</v>
      </c>
      <c r="Z158" t="str">
        <f>IF(R158&gt;=Settings!$B$9,"High Value Customer",IF(R158&gt;=Settings!$B$10,"Medium Value Customer","Standard Customer"))</f>
        <v>High Value Customer</v>
      </c>
      <c r="AA158" t="str">
        <f>IF(R158&gt;=Settings!$B$9,"Large Order",IF(R158&gt;=Settings!$B$10,"Medium Order","Small Order"))</f>
        <v>Large Order</v>
      </c>
      <c r="AB158" t="str">
        <f>IF(N158=0,"No Discount",IF(N158&lt;=0.1,"Low Discount",IF(N158&lt;=Settings!$B$8,"Medium Discount","High Discount")))</f>
        <v>Medium Discount</v>
      </c>
      <c r="AC158" t="str">
        <f t="shared" si="29"/>
        <v>Profitable</v>
      </c>
      <c r="AD158" t="str">
        <f>IFERROR(VLOOKUP(E158,Lookups!$A$2:$E$11,2,FALSE),"Product Not Found")</f>
        <v>Standing Desk</v>
      </c>
      <c r="AE158" t="str">
        <f>IFERROR(VLOOKUP(E158,Lookups!$A$2:$E$11,3,FALSE),"Category Not Found")</f>
        <v>Furniture</v>
      </c>
      <c r="AF158" t="str">
        <f>IFERROR(IF(L158=VLOOKUP(E158,Lookups!$A$2:$E$11,4,FALSE),"Price OK","Price Mismatch"),"Product Missing")</f>
        <v>Price OK</v>
      </c>
      <c r="AG158" t="str">
        <f t="shared" si="30"/>
        <v>Valid Email</v>
      </c>
      <c r="AH158" t="str">
        <f t="shared" si="31"/>
        <v>READY FOR REPORTING</v>
      </c>
      <c r="AI158" t="str">
        <f>IF(AND(LEFT(A158,LEN(Settings!$B$13))=Settings!$B$13,LEN(A158)=9),"Valid Format","Invalid Format")</f>
        <v>Valid Format</v>
      </c>
      <c r="AJ158" t="str">
        <f>IF(LEFT(C158,LEN(Settings!$B$14))=Settings!$B$14,"Valid Format","Invalid Format")</f>
        <v>Valid Format</v>
      </c>
      <c r="AK158" t="str">
        <f>IF(COUNTIF(Master_Data!$G$5:$G$14,C158)=1,"Known Customer","Customer Not in Master")</f>
        <v>Customer Not in Master</v>
      </c>
      <c r="AL158" t="str">
        <f>IF(U158&gt;=Settings!$B$11,"Target Met","Below Target")</f>
        <v>Below Target</v>
      </c>
      <c r="AM158" t="str">
        <f>IF(YEAR(B158)=Settings!$B$5,"Correct Year","Wrong Year")</f>
        <v>Correct Year</v>
      </c>
      <c r="AN158">
        <f t="shared" si="32"/>
        <v>3</v>
      </c>
    </row>
    <row r="159" spans="1:40">
      <c r="A159" t="str">
        <f>Raw_Data!A159</f>
        <v>ORD-10158</v>
      </c>
      <c r="B159" s="13">
        <f>Raw_Data!B159</f>
        <v>45735</v>
      </c>
      <c r="C159" t="str">
        <f>Raw_Data!C159</f>
        <v>C1104</v>
      </c>
      <c r="D159" t="str">
        <f>Raw_Data!D159</f>
        <v>client88@example.com</v>
      </c>
      <c r="E159" t="str">
        <f>Raw_Data!E159</f>
        <v>P1009</v>
      </c>
      <c r="F159" t="str">
        <f>Raw_Data!F159</f>
        <v>Webcam</v>
      </c>
      <c r="G159" t="str">
        <f>Raw_Data!G159</f>
        <v>Electronics</v>
      </c>
      <c r="H159" t="str">
        <f>Raw_Data!H159</f>
        <v>Bucharest</v>
      </c>
      <c r="I159" t="str">
        <f>Raw_Data!I159</f>
        <v>Marketplace</v>
      </c>
      <c r="J159" t="str">
        <f>Raw_Data!J159</f>
        <v>Maria Ionescu</v>
      </c>
      <c r="K159">
        <f>Raw_Data!K159</f>
        <v>1</v>
      </c>
      <c r="L159" s="12">
        <f>Raw_Data!L159</f>
        <v>230</v>
      </c>
      <c r="M159" s="12">
        <f>Raw_Data!M159</f>
        <v>132</v>
      </c>
      <c r="N159" s="14">
        <f>Raw_Data!N159</f>
        <v>0.1</v>
      </c>
      <c r="O159" t="str">
        <f>Raw_Data!O159</f>
        <v>Card</v>
      </c>
      <c r="P159" t="str">
        <f>Raw_Data!P159</f>
        <v>Completed</v>
      </c>
      <c r="Q159" s="12">
        <f t="shared" si="22"/>
        <v>230</v>
      </c>
      <c r="R159" s="12">
        <f t="shared" si="23"/>
        <v>207</v>
      </c>
      <c r="S159" s="12">
        <f t="shared" si="24"/>
        <v>132</v>
      </c>
      <c r="T159" s="12">
        <f t="shared" si="25"/>
        <v>75</v>
      </c>
      <c r="U159" s="11">
        <f t="shared" si="26"/>
        <v>0.36231884057971014</v>
      </c>
      <c r="V159" t="str">
        <f>IF(OR(A159="",COUNTIF($A$2:$A$301,A159)&gt;1,C159="",D159="",ISERROR(SEARCH("@",D159)),ISERROR(SEARCH(".",D159)),COUNTIF(Lookups!$A$2:$A$11,E159)=0,F159="",H159="",K159&lt;=0,L159&lt;0,M159&lt;0,N159&lt;0,N159&gt;0.5,COUNTIF(Lookups!$K$2:$K$4,P159)=0),"ERROR","VALID")</f>
        <v>VALID</v>
      </c>
      <c r="W159" s="2" t="str">
        <f>IF(A159="","Missing Order ID; ","")&amp;IF(COUNTIF($A$2:$A$301,A159)&gt;1,"Duplicate Order ID; ","")&amp;IF(C159="","Missing Customer ID; ","")&amp;IF(OR(D159="",ISERROR(SEARCH("@",D159)),ISERROR(SEARCH(".",D159))),"Invalid Email; ","")&amp;IF(COUNTIF(Lookups!$A$2:$A$11,E159)=0,"Unknown Product; ","")&amp;IF(F159="","Missing Product Name; ","")&amp;IF(H159="","Missing Region; ","")&amp;IF(K159&lt;=0,"Invalid Quantity; ","")&amp;IF(L159&lt;0,"Invalid Price; ","")&amp;IF(M159&lt;0,"Invalid Cost; ","")&amp;IF(OR(N159&lt;0,N159&gt;0.5),"Invalid Discount; ","")&amp;IF(COUNTIF(Lookups!$K$2:$K$4,P159)=0,"Invalid Status; ","")</f>
        <v/>
      </c>
      <c r="X159" s="15" t="str">
        <f t="shared" si="27"/>
        <v>2025-03</v>
      </c>
      <c r="Y159" t="str">
        <f t="shared" si="28"/>
        <v>Q1</v>
      </c>
      <c r="Z159" t="str">
        <f>IF(R159&gt;=Settings!$B$9,"High Value Customer",IF(R159&gt;=Settings!$B$10,"Medium Value Customer","Standard Customer"))</f>
        <v>Standard Customer</v>
      </c>
      <c r="AA159" t="str">
        <f>IF(R159&gt;=Settings!$B$9,"Large Order",IF(R159&gt;=Settings!$B$10,"Medium Order","Small Order"))</f>
        <v>Small Order</v>
      </c>
      <c r="AB159" t="str">
        <f>IF(N159=0,"No Discount",IF(N159&lt;=0.1,"Low Discount",IF(N159&lt;=Settings!$B$8,"Medium Discount","High Discount")))</f>
        <v>Low Discount</v>
      </c>
      <c r="AC159" t="str">
        <f t="shared" si="29"/>
        <v>Profitable</v>
      </c>
      <c r="AD159" t="str">
        <f>IFERROR(VLOOKUP(E159,Lookups!$A$2:$E$11,2,FALSE),"Product Not Found")</f>
        <v>Webcam</v>
      </c>
      <c r="AE159" t="str">
        <f>IFERROR(VLOOKUP(E159,Lookups!$A$2:$E$11,3,FALSE),"Category Not Found")</f>
        <v>Electronics</v>
      </c>
      <c r="AF159" t="str">
        <f>IFERROR(IF(L159=VLOOKUP(E159,Lookups!$A$2:$E$11,4,FALSE),"Price OK","Price Mismatch"),"Product Missing")</f>
        <v>Price OK</v>
      </c>
      <c r="AG159" t="str">
        <f t="shared" si="30"/>
        <v>Valid Email</v>
      </c>
      <c r="AH159" t="str">
        <f t="shared" si="31"/>
        <v>READY FOR REPORTING</v>
      </c>
      <c r="AI159" t="str">
        <f>IF(AND(LEFT(A159,LEN(Settings!$B$13))=Settings!$B$13,LEN(A159)=9),"Valid Format","Invalid Format")</f>
        <v>Valid Format</v>
      </c>
      <c r="AJ159" t="str">
        <f>IF(LEFT(C159,LEN(Settings!$B$14))=Settings!$B$14,"Valid Format","Invalid Format")</f>
        <v>Valid Format</v>
      </c>
      <c r="AK159" t="str">
        <f>IF(COUNTIF(Master_Data!$G$5:$G$14,C159)=1,"Known Customer","Customer Not in Master")</f>
        <v>Customer Not in Master</v>
      </c>
      <c r="AL159" t="str">
        <f>IF(U159&gt;=Settings!$B$11,"Target Met","Below Target")</f>
        <v>Target Met</v>
      </c>
      <c r="AM159" t="str">
        <f>IF(YEAR(B159)=Settings!$B$5,"Correct Year","Wrong Year")</f>
        <v>Correct Year</v>
      </c>
      <c r="AN159">
        <f t="shared" si="32"/>
        <v>4</v>
      </c>
    </row>
    <row r="160" spans="1:40">
      <c r="A160" t="str">
        <f>Raw_Data!A160</f>
        <v>ORD-10159</v>
      </c>
      <c r="B160" s="13">
        <f>Raw_Data!B160</f>
        <v>46020</v>
      </c>
      <c r="C160" t="str">
        <f>Raw_Data!C160</f>
        <v>C1067</v>
      </c>
      <c r="D160" t="str">
        <f>Raw_Data!D160</f>
        <v>client157@example.com</v>
      </c>
      <c r="E160" t="str">
        <f>Raw_Data!E160</f>
        <v>P1004</v>
      </c>
      <c r="F160" t="str">
        <f>Raw_Data!F160</f>
        <v>USB-C Hub</v>
      </c>
      <c r="G160" t="str">
        <f>Raw_Data!G160</f>
        <v>Accessories</v>
      </c>
      <c r="H160" t="str">
        <f>Raw_Data!H160</f>
        <v>North</v>
      </c>
      <c r="I160" t="str">
        <f>Raw_Data!I160</f>
        <v>Store</v>
      </c>
      <c r="J160" t="str">
        <f>Raw_Data!J160</f>
        <v>Elena Stan</v>
      </c>
      <c r="K160">
        <f>Raw_Data!K160</f>
        <v>8</v>
      </c>
      <c r="L160" s="12">
        <f>Raw_Data!L160</f>
        <v>175</v>
      </c>
      <c r="M160" s="12">
        <f>Raw_Data!M160</f>
        <v>98</v>
      </c>
      <c r="N160" s="14">
        <f>Raw_Data!N160</f>
        <v>0.1</v>
      </c>
      <c r="O160" t="str">
        <f>Raw_Data!O160</f>
        <v>Cash</v>
      </c>
      <c r="P160" t="str">
        <f>Raw_Data!P160</f>
        <v>Returned</v>
      </c>
      <c r="Q160" s="12">
        <f t="shared" si="22"/>
        <v>1400</v>
      </c>
      <c r="R160" s="12">
        <f t="shared" si="23"/>
        <v>1260</v>
      </c>
      <c r="S160" s="12">
        <f t="shared" si="24"/>
        <v>784</v>
      </c>
      <c r="T160" s="12">
        <f t="shared" si="25"/>
        <v>476</v>
      </c>
      <c r="U160" s="11">
        <f t="shared" si="26"/>
        <v>0.37777777777777777</v>
      </c>
      <c r="V160" t="str">
        <f>IF(OR(A160="",COUNTIF($A$2:$A$301,A160)&gt;1,C160="",D160="",ISERROR(SEARCH("@",D160)),ISERROR(SEARCH(".",D160)),COUNTIF(Lookups!$A$2:$A$11,E160)=0,F160="",H160="",K160&lt;=0,L160&lt;0,M160&lt;0,N160&lt;0,N160&gt;0.5,COUNTIF(Lookups!$K$2:$K$4,P160)=0),"ERROR","VALID")</f>
        <v>VALID</v>
      </c>
      <c r="W160" s="2" t="str">
        <f>IF(A160="","Missing Order ID; ","")&amp;IF(COUNTIF($A$2:$A$301,A160)&gt;1,"Duplicate Order ID; ","")&amp;IF(C160="","Missing Customer ID; ","")&amp;IF(OR(D160="",ISERROR(SEARCH("@",D160)),ISERROR(SEARCH(".",D160))),"Invalid Email; ","")&amp;IF(COUNTIF(Lookups!$A$2:$A$11,E160)=0,"Unknown Product; ","")&amp;IF(F160="","Missing Product Name; ","")&amp;IF(H160="","Missing Region; ","")&amp;IF(K160&lt;=0,"Invalid Quantity; ","")&amp;IF(L160&lt;0,"Invalid Price; ","")&amp;IF(M160&lt;0,"Invalid Cost; ","")&amp;IF(OR(N160&lt;0,N160&gt;0.5),"Invalid Discount; ","")&amp;IF(COUNTIF(Lookups!$K$2:$K$4,P160)=0,"Invalid Status; ","")</f>
        <v/>
      </c>
      <c r="X160" s="15" t="str">
        <f t="shared" si="27"/>
        <v>2025-12</v>
      </c>
      <c r="Y160" t="str">
        <f t="shared" si="28"/>
        <v>Q4</v>
      </c>
      <c r="Z160" t="str">
        <f>IF(R160&gt;=Settings!$B$9,"High Value Customer",IF(R160&gt;=Settings!$B$10,"Medium Value Customer","Standard Customer"))</f>
        <v>Standard Customer</v>
      </c>
      <c r="AA160" t="str">
        <f>IF(R160&gt;=Settings!$B$9,"Large Order",IF(R160&gt;=Settings!$B$10,"Medium Order","Small Order"))</f>
        <v>Small Order</v>
      </c>
      <c r="AB160" t="str">
        <f>IF(N160=0,"No Discount",IF(N160&lt;=0.1,"Low Discount",IF(N160&lt;=Settings!$B$8,"Medium Discount","High Discount")))</f>
        <v>Low Discount</v>
      </c>
      <c r="AC160" t="str">
        <f t="shared" si="29"/>
        <v>Profitable</v>
      </c>
      <c r="AD160" t="str">
        <f>IFERROR(VLOOKUP(E160,Lookups!$A$2:$E$11,2,FALSE),"Product Not Found")</f>
        <v>USB-C Hub</v>
      </c>
      <c r="AE160" t="str">
        <f>IFERROR(VLOOKUP(E160,Lookups!$A$2:$E$11,3,FALSE),"Category Not Found")</f>
        <v>Accessories</v>
      </c>
      <c r="AF160" t="str">
        <f>IFERROR(IF(L160=VLOOKUP(E160,Lookups!$A$2:$E$11,4,FALSE),"Price OK","Price Mismatch"),"Product Missing")</f>
        <v>Price OK</v>
      </c>
      <c r="AG160" t="str">
        <f t="shared" si="30"/>
        <v>Valid Email</v>
      </c>
      <c r="AH160" t="str">
        <f t="shared" si="31"/>
        <v>READY FOR REPORTING</v>
      </c>
      <c r="AI160" t="str">
        <f>IF(AND(LEFT(A160,LEN(Settings!$B$13))=Settings!$B$13,LEN(A160)=9),"Valid Format","Invalid Format")</f>
        <v>Valid Format</v>
      </c>
      <c r="AJ160" t="str">
        <f>IF(LEFT(C160,LEN(Settings!$B$14))=Settings!$B$14,"Valid Format","Invalid Format")</f>
        <v>Valid Format</v>
      </c>
      <c r="AK160" t="str">
        <f>IF(COUNTIF(Master_Data!$G$5:$G$14,C160)=1,"Known Customer","Customer Not in Master")</f>
        <v>Customer Not in Master</v>
      </c>
      <c r="AL160" t="str">
        <f>IF(U160&gt;=Settings!$B$11,"Target Met","Below Target")</f>
        <v>Target Met</v>
      </c>
      <c r="AM160" t="str">
        <f>IF(YEAR(B160)=Settings!$B$5,"Correct Year","Wrong Year")</f>
        <v>Correct Year</v>
      </c>
      <c r="AN160">
        <f t="shared" si="32"/>
        <v>4</v>
      </c>
    </row>
    <row r="161" spans="1:40">
      <c r="A161" t="str">
        <f>Raw_Data!A161</f>
        <v>ORD-10160</v>
      </c>
      <c r="B161" s="13">
        <f>Raw_Data!B161</f>
        <v>45867</v>
      </c>
      <c r="C161" t="str">
        <f>Raw_Data!C161</f>
        <v>C1007</v>
      </c>
      <c r="D161" t="str">
        <f>Raw_Data!D161</f>
        <v>client162@example.com</v>
      </c>
      <c r="E161" t="str">
        <f>Raw_Data!E161</f>
        <v>P1007</v>
      </c>
      <c r="F161" t="str">
        <f>Raw_Data!F161</f>
        <v>Office Chair</v>
      </c>
      <c r="G161" t="str">
        <f>Raw_Data!G161</f>
        <v>Furniture</v>
      </c>
      <c r="H161" t="str">
        <f>Raw_Data!H161</f>
        <v>South</v>
      </c>
      <c r="I161" t="str">
        <f>Raw_Data!I161</f>
        <v>Online</v>
      </c>
      <c r="J161" t="str">
        <f>Raw_Data!J161</f>
        <v>Elena Stan</v>
      </c>
      <c r="K161">
        <f>Raw_Data!K161</f>
        <v>6</v>
      </c>
      <c r="L161" s="12">
        <f>Raw_Data!L161</f>
        <v>840</v>
      </c>
      <c r="M161" s="12">
        <f>Raw_Data!M161</f>
        <v>590</v>
      </c>
      <c r="N161" s="14">
        <f>Raw_Data!N161</f>
        <v>0.2</v>
      </c>
      <c r="O161" t="str">
        <f>Raw_Data!O161</f>
        <v>Card</v>
      </c>
      <c r="P161" t="str">
        <f>Raw_Data!P161</f>
        <v>Returned</v>
      </c>
      <c r="Q161" s="12">
        <f t="shared" si="22"/>
        <v>5040</v>
      </c>
      <c r="R161" s="12">
        <f t="shared" si="23"/>
        <v>4032</v>
      </c>
      <c r="S161" s="12">
        <f t="shared" si="24"/>
        <v>3540</v>
      </c>
      <c r="T161" s="12">
        <f t="shared" si="25"/>
        <v>492</v>
      </c>
      <c r="U161" s="11">
        <f t="shared" si="26"/>
        <v>0.12202380952380952</v>
      </c>
      <c r="V161" t="str">
        <f>IF(OR(A161="",COUNTIF($A$2:$A$301,A161)&gt;1,C161="",D161="",ISERROR(SEARCH("@",D161)),ISERROR(SEARCH(".",D161)),COUNTIF(Lookups!$A$2:$A$11,E161)=0,F161="",H161="",K161&lt;=0,L161&lt;0,M161&lt;0,N161&lt;0,N161&gt;0.5,COUNTIF(Lookups!$K$2:$K$4,P161)=0),"ERROR","VALID")</f>
        <v>VALID</v>
      </c>
      <c r="W161" s="2" t="str">
        <f>IF(A161="","Missing Order ID; ","")&amp;IF(COUNTIF($A$2:$A$301,A161)&gt;1,"Duplicate Order ID; ","")&amp;IF(C161="","Missing Customer ID; ","")&amp;IF(OR(D161="",ISERROR(SEARCH("@",D161)),ISERROR(SEARCH(".",D161))),"Invalid Email; ","")&amp;IF(COUNTIF(Lookups!$A$2:$A$11,E161)=0,"Unknown Product; ","")&amp;IF(F161="","Missing Product Name; ","")&amp;IF(H161="","Missing Region; ","")&amp;IF(K161&lt;=0,"Invalid Quantity; ","")&amp;IF(L161&lt;0,"Invalid Price; ","")&amp;IF(M161&lt;0,"Invalid Cost; ","")&amp;IF(OR(N161&lt;0,N161&gt;0.5),"Invalid Discount; ","")&amp;IF(COUNTIF(Lookups!$K$2:$K$4,P161)=0,"Invalid Status; ","")</f>
        <v/>
      </c>
      <c r="X161" s="15" t="str">
        <f t="shared" si="27"/>
        <v>2025-07</v>
      </c>
      <c r="Y161" t="str">
        <f t="shared" si="28"/>
        <v>Q3</v>
      </c>
      <c r="Z161" t="str">
        <f>IF(R161&gt;=Settings!$B$9,"High Value Customer",IF(R161&gt;=Settings!$B$10,"Medium Value Customer","Standard Customer"))</f>
        <v>Medium Value Customer</v>
      </c>
      <c r="AA161" t="str">
        <f>IF(R161&gt;=Settings!$B$9,"Large Order",IF(R161&gt;=Settings!$B$10,"Medium Order","Small Order"))</f>
        <v>Medium Order</v>
      </c>
      <c r="AB161" t="str">
        <f>IF(N161=0,"No Discount",IF(N161&lt;=0.1,"Low Discount",IF(N161&lt;=Settings!$B$8,"Medium Discount","High Discount")))</f>
        <v>Medium Discount</v>
      </c>
      <c r="AC161" t="str">
        <f t="shared" si="29"/>
        <v>Profitable</v>
      </c>
      <c r="AD161" t="str">
        <f>IFERROR(VLOOKUP(E161,Lookups!$A$2:$E$11,2,FALSE),"Product Not Found")</f>
        <v>Office Chair</v>
      </c>
      <c r="AE161" t="str">
        <f>IFERROR(VLOOKUP(E161,Lookups!$A$2:$E$11,3,FALSE),"Category Not Found")</f>
        <v>Furniture</v>
      </c>
      <c r="AF161" t="str">
        <f>IFERROR(IF(L161=VLOOKUP(E161,Lookups!$A$2:$E$11,4,FALSE),"Price OK","Price Mismatch"),"Product Missing")</f>
        <v>Price OK</v>
      </c>
      <c r="AG161" t="str">
        <f t="shared" si="30"/>
        <v>Valid Email</v>
      </c>
      <c r="AH161" t="str">
        <f t="shared" si="31"/>
        <v>READY FOR REPORTING</v>
      </c>
      <c r="AI161" t="str">
        <f>IF(AND(LEFT(A161,LEN(Settings!$B$13))=Settings!$B$13,LEN(A161)=9),"Valid Format","Invalid Format")</f>
        <v>Valid Format</v>
      </c>
      <c r="AJ161" t="str">
        <f>IF(LEFT(C161,LEN(Settings!$B$14))=Settings!$B$14,"Valid Format","Invalid Format")</f>
        <v>Valid Format</v>
      </c>
      <c r="AK161" t="str">
        <f>IF(COUNTIF(Master_Data!$G$5:$G$14,C161)=1,"Known Customer","Customer Not in Master")</f>
        <v>Known Customer</v>
      </c>
      <c r="AL161" t="str">
        <f>IF(U161&gt;=Settings!$B$11,"Target Met","Below Target")</f>
        <v>Below Target</v>
      </c>
      <c r="AM161" t="str">
        <f>IF(YEAR(B161)=Settings!$B$5,"Correct Year","Wrong Year")</f>
        <v>Correct Year</v>
      </c>
      <c r="AN161">
        <f t="shared" si="32"/>
        <v>4</v>
      </c>
    </row>
    <row r="162" spans="1:40">
      <c r="A162" t="str">
        <f>Raw_Data!A162</f>
        <v>ORD-10161</v>
      </c>
      <c r="B162" s="13">
        <f>Raw_Data!B162</f>
        <v>46005</v>
      </c>
      <c r="C162" t="str">
        <f>Raw_Data!C162</f>
        <v>C1093</v>
      </c>
      <c r="D162" t="str">
        <f>Raw_Data!D162</f>
        <v>client169@example.com</v>
      </c>
      <c r="E162" t="str">
        <f>Raw_Data!E162</f>
        <v>P1009</v>
      </c>
      <c r="F162" t="str">
        <f>Raw_Data!F162</f>
        <v>Webcam</v>
      </c>
      <c r="G162" t="str">
        <f>Raw_Data!G162</f>
        <v>Electronics</v>
      </c>
      <c r="H162" t="str">
        <f>Raw_Data!H162</f>
        <v>West</v>
      </c>
      <c r="I162" t="str">
        <f>Raw_Data!I162</f>
        <v>Online</v>
      </c>
      <c r="J162" t="str">
        <f>Raw_Data!J162</f>
        <v>Elena Stan</v>
      </c>
      <c r="K162">
        <f>Raw_Data!K162</f>
        <v>7</v>
      </c>
      <c r="L162" s="12">
        <f>Raw_Data!L162</f>
        <v>230</v>
      </c>
      <c r="M162" s="12">
        <f>Raw_Data!M162</f>
        <v>132</v>
      </c>
      <c r="N162" s="14">
        <f>Raw_Data!N162</f>
        <v>0.05</v>
      </c>
      <c r="O162" t="str">
        <f>Raw_Data!O162</f>
        <v>Card</v>
      </c>
      <c r="P162" t="str">
        <f>Raw_Data!P162</f>
        <v>Completed</v>
      </c>
      <c r="Q162" s="12">
        <f t="shared" si="22"/>
        <v>1610</v>
      </c>
      <c r="R162" s="12">
        <f t="shared" si="23"/>
        <v>1529.5</v>
      </c>
      <c r="S162" s="12">
        <f t="shared" si="24"/>
        <v>924</v>
      </c>
      <c r="T162" s="12">
        <f t="shared" si="25"/>
        <v>605.5</v>
      </c>
      <c r="U162" s="11">
        <f t="shared" si="26"/>
        <v>0.39588100686498856</v>
      </c>
      <c r="V162" t="str">
        <f>IF(OR(A162="",COUNTIF($A$2:$A$301,A162)&gt;1,C162="",D162="",ISERROR(SEARCH("@",D162)),ISERROR(SEARCH(".",D162)),COUNTIF(Lookups!$A$2:$A$11,E162)=0,F162="",H162="",K162&lt;=0,L162&lt;0,M162&lt;0,N162&lt;0,N162&gt;0.5,COUNTIF(Lookups!$K$2:$K$4,P162)=0),"ERROR","VALID")</f>
        <v>VALID</v>
      </c>
      <c r="W162" s="2" t="str">
        <f>IF(A162="","Missing Order ID; ","")&amp;IF(COUNTIF($A$2:$A$301,A162)&gt;1,"Duplicate Order ID; ","")&amp;IF(C162="","Missing Customer ID; ","")&amp;IF(OR(D162="",ISERROR(SEARCH("@",D162)),ISERROR(SEARCH(".",D162))),"Invalid Email; ","")&amp;IF(COUNTIF(Lookups!$A$2:$A$11,E162)=0,"Unknown Product; ","")&amp;IF(F162="","Missing Product Name; ","")&amp;IF(H162="","Missing Region; ","")&amp;IF(K162&lt;=0,"Invalid Quantity; ","")&amp;IF(L162&lt;0,"Invalid Price; ","")&amp;IF(M162&lt;0,"Invalid Cost; ","")&amp;IF(OR(N162&lt;0,N162&gt;0.5),"Invalid Discount; ","")&amp;IF(COUNTIF(Lookups!$K$2:$K$4,P162)=0,"Invalid Status; ","")</f>
        <v/>
      </c>
      <c r="X162" s="15" t="str">
        <f t="shared" si="27"/>
        <v>2025-12</v>
      </c>
      <c r="Y162" t="str">
        <f t="shared" si="28"/>
        <v>Q4</v>
      </c>
      <c r="Z162" t="str">
        <f>IF(R162&gt;=Settings!$B$9,"High Value Customer",IF(R162&gt;=Settings!$B$10,"Medium Value Customer","Standard Customer"))</f>
        <v>Standard Customer</v>
      </c>
      <c r="AA162" t="str">
        <f>IF(R162&gt;=Settings!$B$9,"Large Order",IF(R162&gt;=Settings!$B$10,"Medium Order","Small Order"))</f>
        <v>Small Order</v>
      </c>
      <c r="AB162" t="str">
        <f>IF(N162=0,"No Discount",IF(N162&lt;=0.1,"Low Discount",IF(N162&lt;=Settings!$B$8,"Medium Discount","High Discount")))</f>
        <v>Low Discount</v>
      </c>
      <c r="AC162" t="str">
        <f t="shared" si="29"/>
        <v>Profitable</v>
      </c>
      <c r="AD162" t="str">
        <f>IFERROR(VLOOKUP(E162,Lookups!$A$2:$E$11,2,FALSE),"Product Not Found")</f>
        <v>Webcam</v>
      </c>
      <c r="AE162" t="str">
        <f>IFERROR(VLOOKUP(E162,Lookups!$A$2:$E$11,3,FALSE),"Category Not Found")</f>
        <v>Electronics</v>
      </c>
      <c r="AF162" t="str">
        <f>IFERROR(IF(L162=VLOOKUP(E162,Lookups!$A$2:$E$11,4,FALSE),"Price OK","Price Mismatch"),"Product Missing")</f>
        <v>Price OK</v>
      </c>
      <c r="AG162" t="str">
        <f t="shared" si="30"/>
        <v>Valid Email</v>
      </c>
      <c r="AH162" t="str">
        <f t="shared" si="31"/>
        <v>READY FOR REPORTING</v>
      </c>
      <c r="AI162" t="str">
        <f>IF(AND(LEFT(A162,LEN(Settings!$B$13))=Settings!$B$13,LEN(A162)=9),"Valid Format","Invalid Format")</f>
        <v>Valid Format</v>
      </c>
      <c r="AJ162" t="str">
        <f>IF(LEFT(C162,LEN(Settings!$B$14))=Settings!$B$14,"Valid Format","Invalid Format")</f>
        <v>Valid Format</v>
      </c>
      <c r="AK162" t="str">
        <f>IF(COUNTIF(Master_Data!$G$5:$G$14,C162)=1,"Known Customer","Customer Not in Master")</f>
        <v>Customer Not in Master</v>
      </c>
      <c r="AL162" t="str">
        <f>IF(U162&gt;=Settings!$B$11,"Target Met","Below Target")</f>
        <v>Target Met</v>
      </c>
      <c r="AM162" t="str">
        <f>IF(YEAR(B162)=Settings!$B$5,"Correct Year","Wrong Year")</f>
        <v>Correct Year</v>
      </c>
      <c r="AN162">
        <f t="shared" si="32"/>
        <v>4</v>
      </c>
    </row>
    <row r="163" spans="1:40">
      <c r="A163" t="str">
        <f>Raw_Data!A163</f>
        <v>ORD-10162</v>
      </c>
      <c r="B163" s="13">
        <f>Raw_Data!B163</f>
        <v>45997</v>
      </c>
      <c r="C163" t="str">
        <f>Raw_Data!C163</f>
        <v>C1124</v>
      </c>
      <c r="D163" t="str">
        <f>Raw_Data!D163</f>
        <v>client168@example.com</v>
      </c>
      <c r="E163" t="str">
        <f>Raw_Data!E163</f>
        <v>P1010</v>
      </c>
      <c r="F163" t="str">
        <f>Raw_Data!F163</f>
        <v>Headset</v>
      </c>
      <c r="G163" t="str">
        <f>Raw_Data!G163</f>
        <v>Electronics</v>
      </c>
      <c r="H163" t="str">
        <f>Raw_Data!H163</f>
        <v>East</v>
      </c>
      <c r="I163" t="str">
        <f>Raw_Data!I163</f>
        <v>Online</v>
      </c>
      <c r="J163" t="str">
        <f>Raw_Data!J163</f>
        <v>Ioana Pavel</v>
      </c>
      <c r="K163">
        <f>Raw_Data!K163</f>
        <v>3</v>
      </c>
      <c r="L163" s="12">
        <f>Raw_Data!L163</f>
        <v>195</v>
      </c>
      <c r="M163" s="12">
        <f>Raw_Data!M163</f>
        <v>105</v>
      </c>
      <c r="N163" s="14">
        <f>Raw_Data!N163</f>
        <v>0.05</v>
      </c>
      <c r="O163" t="str">
        <f>Raw_Data!O163</f>
        <v>Card</v>
      </c>
      <c r="P163" t="str">
        <f>Raw_Data!P163</f>
        <v>Completed</v>
      </c>
      <c r="Q163" s="12">
        <f t="shared" si="22"/>
        <v>585</v>
      </c>
      <c r="R163" s="12">
        <f t="shared" si="23"/>
        <v>555.75</v>
      </c>
      <c r="S163" s="12">
        <f t="shared" si="24"/>
        <v>315</v>
      </c>
      <c r="T163" s="12">
        <f t="shared" si="25"/>
        <v>240.75</v>
      </c>
      <c r="U163" s="11">
        <f t="shared" si="26"/>
        <v>0.4331983805668016</v>
      </c>
      <c r="V163" t="str">
        <f>IF(OR(A163="",COUNTIF($A$2:$A$301,A163)&gt;1,C163="",D163="",ISERROR(SEARCH("@",D163)),ISERROR(SEARCH(".",D163)),COUNTIF(Lookups!$A$2:$A$11,E163)=0,F163="",H163="",K163&lt;=0,L163&lt;0,M163&lt;0,N163&lt;0,N163&gt;0.5,COUNTIF(Lookups!$K$2:$K$4,P163)=0),"ERROR","VALID")</f>
        <v>VALID</v>
      </c>
      <c r="W163" s="2" t="str">
        <f>IF(A163="","Missing Order ID; ","")&amp;IF(COUNTIF($A$2:$A$301,A163)&gt;1,"Duplicate Order ID; ","")&amp;IF(C163="","Missing Customer ID; ","")&amp;IF(OR(D163="",ISERROR(SEARCH("@",D163)),ISERROR(SEARCH(".",D163))),"Invalid Email; ","")&amp;IF(COUNTIF(Lookups!$A$2:$A$11,E163)=0,"Unknown Product; ","")&amp;IF(F163="","Missing Product Name; ","")&amp;IF(H163="","Missing Region; ","")&amp;IF(K163&lt;=0,"Invalid Quantity; ","")&amp;IF(L163&lt;0,"Invalid Price; ","")&amp;IF(M163&lt;0,"Invalid Cost; ","")&amp;IF(OR(N163&lt;0,N163&gt;0.5),"Invalid Discount; ","")&amp;IF(COUNTIF(Lookups!$K$2:$K$4,P163)=0,"Invalid Status; ","")</f>
        <v/>
      </c>
      <c r="X163" s="15" t="str">
        <f t="shared" si="27"/>
        <v>2025-12</v>
      </c>
      <c r="Y163" t="str">
        <f t="shared" si="28"/>
        <v>Q4</v>
      </c>
      <c r="Z163" t="str">
        <f>IF(R163&gt;=Settings!$B$9,"High Value Customer",IF(R163&gt;=Settings!$B$10,"Medium Value Customer","Standard Customer"))</f>
        <v>Standard Customer</v>
      </c>
      <c r="AA163" t="str">
        <f>IF(R163&gt;=Settings!$B$9,"Large Order",IF(R163&gt;=Settings!$B$10,"Medium Order","Small Order"))</f>
        <v>Small Order</v>
      </c>
      <c r="AB163" t="str">
        <f>IF(N163=0,"No Discount",IF(N163&lt;=0.1,"Low Discount",IF(N163&lt;=Settings!$B$8,"Medium Discount","High Discount")))</f>
        <v>Low Discount</v>
      </c>
      <c r="AC163" t="str">
        <f t="shared" si="29"/>
        <v>Profitable</v>
      </c>
      <c r="AD163" t="str">
        <f>IFERROR(VLOOKUP(E163,Lookups!$A$2:$E$11,2,FALSE),"Product Not Found")</f>
        <v>Headset</v>
      </c>
      <c r="AE163" t="str">
        <f>IFERROR(VLOOKUP(E163,Lookups!$A$2:$E$11,3,FALSE),"Category Not Found")</f>
        <v>Electronics</v>
      </c>
      <c r="AF163" t="str">
        <f>IFERROR(IF(L163=VLOOKUP(E163,Lookups!$A$2:$E$11,4,FALSE),"Price OK","Price Mismatch"),"Product Missing")</f>
        <v>Price OK</v>
      </c>
      <c r="AG163" t="str">
        <f t="shared" si="30"/>
        <v>Valid Email</v>
      </c>
      <c r="AH163" t="str">
        <f t="shared" si="31"/>
        <v>READY FOR REPORTING</v>
      </c>
      <c r="AI163" t="str">
        <f>IF(AND(LEFT(A163,LEN(Settings!$B$13))=Settings!$B$13,LEN(A163)=9),"Valid Format","Invalid Format")</f>
        <v>Valid Format</v>
      </c>
      <c r="AJ163" t="str">
        <f>IF(LEFT(C163,LEN(Settings!$B$14))=Settings!$B$14,"Valid Format","Invalid Format")</f>
        <v>Valid Format</v>
      </c>
      <c r="AK163" t="str">
        <f>IF(COUNTIF(Master_Data!$G$5:$G$14,C163)=1,"Known Customer","Customer Not in Master")</f>
        <v>Customer Not in Master</v>
      </c>
      <c r="AL163" t="str">
        <f>IF(U163&gt;=Settings!$B$11,"Target Met","Below Target")</f>
        <v>Target Met</v>
      </c>
      <c r="AM163" t="str">
        <f>IF(YEAR(B163)=Settings!$B$5,"Correct Year","Wrong Year")</f>
        <v>Correct Year</v>
      </c>
      <c r="AN163">
        <f t="shared" si="32"/>
        <v>4</v>
      </c>
    </row>
    <row r="164" spans="1:40">
      <c r="A164" t="str">
        <f>Raw_Data!A164</f>
        <v>ORD-10163</v>
      </c>
      <c r="B164" s="13">
        <f>Raw_Data!B164</f>
        <v>45944</v>
      </c>
      <c r="C164" t="str">
        <f>Raw_Data!C164</f>
        <v>C1105</v>
      </c>
      <c r="D164" t="str">
        <f>Raw_Data!D164</f>
        <v>client33@example.com</v>
      </c>
      <c r="E164" t="str">
        <f>Raw_Data!E164</f>
        <v>P1005</v>
      </c>
      <c r="F164" t="str">
        <f>Raw_Data!F164</f>
        <v>24-inch Monitor</v>
      </c>
      <c r="G164" t="str">
        <f>Raw_Data!G164</f>
        <v>Electronics</v>
      </c>
      <c r="H164" t="str">
        <f>Raw_Data!H164</f>
        <v>West</v>
      </c>
      <c r="I164" t="str">
        <f>Raw_Data!I164</f>
        <v>Online</v>
      </c>
      <c r="J164" t="str">
        <f>Raw_Data!J164</f>
        <v>Mihai Radu</v>
      </c>
      <c r="K164">
        <f>Raw_Data!K164</f>
        <v>7</v>
      </c>
      <c r="L164" s="12">
        <f>Raw_Data!L164</f>
        <v>720</v>
      </c>
      <c r="M164" s="12">
        <f>Raw_Data!M164</f>
        <v>510</v>
      </c>
      <c r="N164" s="14">
        <f>Raw_Data!N164</f>
        <v>0.2</v>
      </c>
      <c r="O164" t="str">
        <f>Raw_Data!O164</f>
        <v>Cash</v>
      </c>
      <c r="P164" t="str">
        <f>Raw_Data!P164</f>
        <v>Completed</v>
      </c>
      <c r="Q164" s="12">
        <f t="shared" si="22"/>
        <v>5040</v>
      </c>
      <c r="R164" s="12">
        <f t="shared" si="23"/>
        <v>4032</v>
      </c>
      <c r="S164" s="12">
        <f t="shared" si="24"/>
        <v>3570</v>
      </c>
      <c r="T164" s="12">
        <f t="shared" si="25"/>
        <v>462</v>
      </c>
      <c r="U164" s="11">
        <f t="shared" si="26"/>
        <v>0.11458333333333333</v>
      </c>
      <c r="V164" t="str">
        <f>IF(OR(A164="",COUNTIF($A$2:$A$301,A164)&gt;1,C164="",D164="",ISERROR(SEARCH("@",D164)),ISERROR(SEARCH(".",D164)),COUNTIF(Lookups!$A$2:$A$11,E164)=0,F164="",H164="",K164&lt;=0,L164&lt;0,M164&lt;0,N164&lt;0,N164&gt;0.5,COUNTIF(Lookups!$K$2:$K$4,P164)=0),"ERROR","VALID")</f>
        <v>VALID</v>
      </c>
      <c r="W164" s="2" t="str">
        <f>IF(A164="","Missing Order ID; ","")&amp;IF(COUNTIF($A$2:$A$301,A164)&gt;1,"Duplicate Order ID; ","")&amp;IF(C164="","Missing Customer ID; ","")&amp;IF(OR(D164="",ISERROR(SEARCH("@",D164)),ISERROR(SEARCH(".",D164))),"Invalid Email; ","")&amp;IF(COUNTIF(Lookups!$A$2:$A$11,E164)=0,"Unknown Product; ","")&amp;IF(F164="","Missing Product Name; ","")&amp;IF(H164="","Missing Region; ","")&amp;IF(K164&lt;=0,"Invalid Quantity; ","")&amp;IF(L164&lt;0,"Invalid Price; ","")&amp;IF(M164&lt;0,"Invalid Cost; ","")&amp;IF(OR(N164&lt;0,N164&gt;0.5),"Invalid Discount; ","")&amp;IF(COUNTIF(Lookups!$K$2:$K$4,P164)=0,"Invalid Status; ","")</f>
        <v/>
      </c>
      <c r="X164" s="15" t="str">
        <f t="shared" si="27"/>
        <v>2025-10</v>
      </c>
      <c r="Y164" t="str">
        <f t="shared" si="28"/>
        <v>Q4</v>
      </c>
      <c r="Z164" t="str">
        <f>IF(R164&gt;=Settings!$B$9,"High Value Customer",IF(R164&gt;=Settings!$B$10,"Medium Value Customer","Standard Customer"))</f>
        <v>Medium Value Customer</v>
      </c>
      <c r="AA164" t="str">
        <f>IF(R164&gt;=Settings!$B$9,"Large Order",IF(R164&gt;=Settings!$B$10,"Medium Order","Small Order"))</f>
        <v>Medium Order</v>
      </c>
      <c r="AB164" t="str">
        <f>IF(N164=0,"No Discount",IF(N164&lt;=0.1,"Low Discount",IF(N164&lt;=Settings!$B$8,"Medium Discount","High Discount")))</f>
        <v>Medium Discount</v>
      </c>
      <c r="AC164" t="str">
        <f t="shared" si="29"/>
        <v>Profitable</v>
      </c>
      <c r="AD164" t="str">
        <f>IFERROR(VLOOKUP(E164,Lookups!$A$2:$E$11,2,FALSE),"Product Not Found")</f>
        <v>24-inch Monitor</v>
      </c>
      <c r="AE164" t="str">
        <f>IFERROR(VLOOKUP(E164,Lookups!$A$2:$E$11,3,FALSE),"Category Not Found")</f>
        <v>Electronics</v>
      </c>
      <c r="AF164" t="str">
        <f>IFERROR(IF(L164=VLOOKUP(E164,Lookups!$A$2:$E$11,4,FALSE),"Price OK","Price Mismatch"),"Product Missing")</f>
        <v>Price OK</v>
      </c>
      <c r="AG164" t="str">
        <f t="shared" si="30"/>
        <v>Valid Email</v>
      </c>
      <c r="AH164" t="str">
        <f t="shared" si="31"/>
        <v>READY FOR REPORTING</v>
      </c>
      <c r="AI164" t="str">
        <f>IF(AND(LEFT(A164,LEN(Settings!$B$13))=Settings!$B$13,LEN(A164)=9),"Valid Format","Invalid Format")</f>
        <v>Valid Format</v>
      </c>
      <c r="AJ164" t="str">
        <f>IF(LEFT(C164,LEN(Settings!$B$14))=Settings!$B$14,"Valid Format","Invalid Format")</f>
        <v>Valid Format</v>
      </c>
      <c r="AK164" t="str">
        <f>IF(COUNTIF(Master_Data!$G$5:$G$14,C164)=1,"Known Customer","Customer Not in Master")</f>
        <v>Customer Not in Master</v>
      </c>
      <c r="AL164" t="str">
        <f>IF(U164&gt;=Settings!$B$11,"Target Met","Below Target")</f>
        <v>Below Target</v>
      </c>
      <c r="AM164" t="str">
        <f>IF(YEAR(B164)=Settings!$B$5,"Correct Year","Wrong Year")</f>
        <v>Correct Year</v>
      </c>
      <c r="AN164">
        <f t="shared" si="32"/>
        <v>3</v>
      </c>
    </row>
    <row r="165" spans="1:40">
      <c r="A165" t="str">
        <f>Raw_Data!A165</f>
        <v>ORD-10164</v>
      </c>
      <c r="B165" s="13">
        <f>Raw_Data!B165</f>
        <v>45843</v>
      </c>
      <c r="C165" t="str">
        <f>Raw_Data!C165</f>
        <v>C1044</v>
      </c>
      <c r="D165" t="str">
        <f>Raw_Data!D165</f>
        <v>client125@example.com</v>
      </c>
      <c r="E165" t="str">
        <f>Raw_Data!E165</f>
        <v>P1001</v>
      </c>
      <c r="F165" t="str">
        <f>Raw_Data!F165</f>
        <v>Laptop Stand</v>
      </c>
      <c r="G165" t="str">
        <f>Raw_Data!G165</f>
        <v>Accessories</v>
      </c>
      <c r="H165" t="str">
        <f>Raw_Data!H165</f>
        <v>North</v>
      </c>
      <c r="I165" t="str">
        <f>Raw_Data!I165</f>
        <v>Online</v>
      </c>
      <c r="J165" t="str">
        <f>Raw_Data!J165</f>
        <v>Maria Ionescu</v>
      </c>
      <c r="K165">
        <f>Raw_Data!K165</f>
        <v>5</v>
      </c>
      <c r="L165" s="12">
        <f>Raw_Data!L165</f>
        <v>95</v>
      </c>
      <c r="M165" s="12">
        <f>Raw_Data!M165</f>
        <v>52</v>
      </c>
      <c r="N165" s="14">
        <f>Raw_Data!N165</f>
        <v>0</v>
      </c>
      <c r="O165" t="str">
        <f>Raw_Data!O165</f>
        <v>Bank Transfer</v>
      </c>
      <c r="P165" t="str">
        <f>Raw_Data!P165</f>
        <v>Completed</v>
      </c>
      <c r="Q165" s="12">
        <f t="shared" si="22"/>
        <v>475</v>
      </c>
      <c r="R165" s="12">
        <f t="shared" si="23"/>
        <v>475</v>
      </c>
      <c r="S165" s="12">
        <f t="shared" si="24"/>
        <v>260</v>
      </c>
      <c r="T165" s="12">
        <f t="shared" si="25"/>
        <v>215</v>
      </c>
      <c r="U165" s="11">
        <f t="shared" si="26"/>
        <v>0.45263157894736844</v>
      </c>
      <c r="V165" t="str">
        <f>IF(OR(A165="",COUNTIF($A$2:$A$301,A165)&gt;1,C165="",D165="",ISERROR(SEARCH("@",D165)),ISERROR(SEARCH(".",D165)),COUNTIF(Lookups!$A$2:$A$11,E165)=0,F165="",H165="",K165&lt;=0,L165&lt;0,M165&lt;0,N165&lt;0,N165&gt;0.5,COUNTIF(Lookups!$K$2:$K$4,P165)=0),"ERROR","VALID")</f>
        <v>VALID</v>
      </c>
      <c r="W165" s="2" t="str">
        <f>IF(A165="","Missing Order ID; ","")&amp;IF(COUNTIF($A$2:$A$301,A165)&gt;1,"Duplicate Order ID; ","")&amp;IF(C165="","Missing Customer ID; ","")&amp;IF(OR(D165="",ISERROR(SEARCH("@",D165)),ISERROR(SEARCH(".",D165))),"Invalid Email; ","")&amp;IF(COUNTIF(Lookups!$A$2:$A$11,E165)=0,"Unknown Product; ","")&amp;IF(F165="","Missing Product Name; ","")&amp;IF(H165="","Missing Region; ","")&amp;IF(K165&lt;=0,"Invalid Quantity; ","")&amp;IF(L165&lt;0,"Invalid Price; ","")&amp;IF(M165&lt;0,"Invalid Cost; ","")&amp;IF(OR(N165&lt;0,N165&gt;0.5),"Invalid Discount; ","")&amp;IF(COUNTIF(Lookups!$K$2:$K$4,P165)=0,"Invalid Status; ","")</f>
        <v/>
      </c>
      <c r="X165" s="15" t="str">
        <f t="shared" si="27"/>
        <v>2025-07</v>
      </c>
      <c r="Y165" t="str">
        <f t="shared" si="28"/>
        <v>Q3</v>
      </c>
      <c r="Z165" t="str">
        <f>IF(R165&gt;=Settings!$B$9,"High Value Customer",IF(R165&gt;=Settings!$B$10,"Medium Value Customer","Standard Customer"))</f>
        <v>Standard Customer</v>
      </c>
      <c r="AA165" t="str">
        <f>IF(R165&gt;=Settings!$B$9,"Large Order",IF(R165&gt;=Settings!$B$10,"Medium Order","Small Order"))</f>
        <v>Small Order</v>
      </c>
      <c r="AB165" t="str">
        <f>IF(N165=0,"No Discount",IF(N165&lt;=0.1,"Low Discount",IF(N165&lt;=Settings!$B$8,"Medium Discount","High Discount")))</f>
        <v>No Discount</v>
      </c>
      <c r="AC165" t="str">
        <f t="shared" si="29"/>
        <v>Profitable</v>
      </c>
      <c r="AD165" t="str">
        <f>IFERROR(VLOOKUP(E165,Lookups!$A$2:$E$11,2,FALSE),"Product Not Found")</f>
        <v>Laptop Stand</v>
      </c>
      <c r="AE165" t="str">
        <f>IFERROR(VLOOKUP(E165,Lookups!$A$2:$E$11,3,FALSE),"Category Not Found")</f>
        <v>Accessories</v>
      </c>
      <c r="AF165" t="str">
        <f>IFERROR(IF(L165=VLOOKUP(E165,Lookups!$A$2:$E$11,4,FALSE),"Price OK","Price Mismatch"),"Product Missing")</f>
        <v>Price OK</v>
      </c>
      <c r="AG165" t="str">
        <f t="shared" si="30"/>
        <v>Valid Email</v>
      </c>
      <c r="AH165" t="str">
        <f t="shared" si="31"/>
        <v>READY FOR REPORTING</v>
      </c>
      <c r="AI165" t="str">
        <f>IF(AND(LEFT(A165,LEN(Settings!$B$13))=Settings!$B$13,LEN(A165)=9),"Valid Format","Invalid Format")</f>
        <v>Valid Format</v>
      </c>
      <c r="AJ165" t="str">
        <f>IF(LEFT(C165,LEN(Settings!$B$14))=Settings!$B$14,"Valid Format","Invalid Format")</f>
        <v>Valid Format</v>
      </c>
      <c r="AK165" t="str">
        <f>IF(COUNTIF(Master_Data!$G$5:$G$14,C165)=1,"Known Customer","Customer Not in Master")</f>
        <v>Customer Not in Master</v>
      </c>
      <c r="AL165" t="str">
        <f>IF(U165&gt;=Settings!$B$11,"Target Met","Below Target")</f>
        <v>Target Met</v>
      </c>
      <c r="AM165" t="str">
        <f>IF(YEAR(B165)=Settings!$B$5,"Correct Year","Wrong Year")</f>
        <v>Correct Year</v>
      </c>
      <c r="AN165">
        <f t="shared" si="32"/>
        <v>4</v>
      </c>
    </row>
    <row r="166" spans="1:40">
      <c r="A166" t="str">
        <f>Raw_Data!A166</f>
        <v>ORD-10165</v>
      </c>
      <c r="B166" s="13">
        <f>Raw_Data!B166</f>
        <v>45809</v>
      </c>
      <c r="C166" t="str">
        <f>Raw_Data!C166</f>
        <v>C1107</v>
      </c>
      <c r="D166" t="str">
        <f>Raw_Data!D166</f>
        <v>client135@example.com</v>
      </c>
      <c r="E166" t="str">
        <f>Raw_Data!E166</f>
        <v>P1002</v>
      </c>
      <c r="F166" t="str">
        <f>Raw_Data!F166</f>
        <v>Wireless Mouse</v>
      </c>
      <c r="G166" t="str">
        <f>Raw_Data!G166</f>
        <v>Accessories</v>
      </c>
      <c r="H166" t="str">
        <f>Raw_Data!H166</f>
        <v>Bucharest</v>
      </c>
      <c r="I166" t="str">
        <f>Raw_Data!I166</f>
        <v>Marketplace</v>
      </c>
      <c r="J166" t="str">
        <f>Raw_Data!J166</f>
        <v>Elena Stan</v>
      </c>
      <c r="K166">
        <f>Raw_Data!K166</f>
        <v>2</v>
      </c>
      <c r="L166" s="12">
        <f>Raw_Data!L166</f>
        <v>85</v>
      </c>
      <c r="M166" s="12">
        <f>Raw_Data!M166</f>
        <v>44</v>
      </c>
      <c r="N166" s="14">
        <f>Raw_Data!N166</f>
        <v>0.15</v>
      </c>
      <c r="O166" t="str">
        <f>Raw_Data!O166</f>
        <v>Bank Transfer</v>
      </c>
      <c r="P166" t="str">
        <f>Raw_Data!P166</f>
        <v>Returned</v>
      </c>
      <c r="Q166" s="12">
        <f t="shared" si="22"/>
        <v>170</v>
      </c>
      <c r="R166" s="12">
        <f t="shared" si="23"/>
        <v>144.5</v>
      </c>
      <c r="S166" s="12">
        <f t="shared" si="24"/>
        <v>88</v>
      </c>
      <c r="T166" s="12">
        <f t="shared" si="25"/>
        <v>56.5</v>
      </c>
      <c r="U166" s="11">
        <f t="shared" si="26"/>
        <v>0.39100346020761245</v>
      </c>
      <c r="V166" t="str">
        <f>IF(OR(A166="",COUNTIF($A$2:$A$301,A166)&gt;1,C166="",D166="",ISERROR(SEARCH("@",D166)),ISERROR(SEARCH(".",D166)),COUNTIF(Lookups!$A$2:$A$11,E166)=0,F166="",H166="",K166&lt;=0,L166&lt;0,M166&lt;0,N166&lt;0,N166&gt;0.5,COUNTIF(Lookups!$K$2:$K$4,P166)=0),"ERROR","VALID")</f>
        <v>VALID</v>
      </c>
      <c r="W166" s="2" t="str">
        <f>IF(A166="","Missing Order ID; ","")&amp;IF(COUNTIF($A$2:$A$301,A166)&gt;1,"Duplicate Order ID; ","")&amp;IF(C166="","Missing Customer ID; ","")&amp;IF(OR(D166="",ISERROR(SEARCH("@",D166)),ISERROR(SEARCH(".",D166))),"Invalid Email; ","")&amp;IF(COUNTIF(Lookups!$A$2:$A$11,E166)=0,"Unknown Product; ","")&amp;IF(F166="","Missing Product Name; ","")&amp;IF(H166="","Missing Region; ","")&amp;IF(K166&lt;=0,"Invalid Quantity; ","")&amp;IF(L166&lt;0,"Invalid Price; ","")&amp;IF(M166&lt;0,"Invalid Cost; ","")&amp;IF(OR(N166&lt;0,N166&gt;0.5),"Invalid Discount; ","")&amp;IF(COUNTIF(Lookups!$K$2:$K$4,P166)=0,"Invalid Status; ","")</f>
        <v/>
      </c>
      <c r="X166" s="15" t="str">
        <f t="shared" si="27"/>
        <v>2025-06</v>
      </c>
      <c r="Y166" t="str">
        <f t="shared" si="28"/>
        <v>Q2</v>
      </c>
      <c r="Z166" t="str">
        <f>IF(R166&gt;=Settings!$B$9,"High Value Customer",IF(R166&gt;=Settings!$B$10,"Medium Value Customer","Standard Customer"))</f>
        <v>Standard Customer</v>
      </c>
      <c r="AA166" t="str">
        <f>IF(R166&gt;=Settings!$B$9,"Large Order",IF(R166&gt;=Settings!$B$10,"Medium Order","Small Order"))</f>
        <v>Small Order</v>
      </c>
      <c r="AB166" t="str">
        <f>IF(N166=0,"No Discount",IF(N166&lt;=0.1,"Low Discount",IF(N166&lt;=Settings!$B$8,"Medium Discount","High Discount")))</f>
        <v>Medium Discount</v>
      </c>
      <c r="AC166" t="str">
        <f t="shared" si="29"/>
        <v>Profitable</v>
      </c>
      <c r="AD166" t="str">
        <f>IFERROR(VLOOKUP(E166,Lookups!$A$2:$E$11,2,FALSE),"Product Not Found")</f>
        <v>Wireless Mouse</v>
      </c>
      <c r="AE166" t="str">
        <f>IFERROR(VLOOKUP(E166,Lookups!$A$2:$E$11,3,FALSE),"Category Not Found")</f>
        <v>Accessories</v>
      </c>
      <c r="AF166" t="str">
        <f>IFERROR(IF(L166=VLOOKUP(E166,Lookups!$A$2:$E$11,4,FALSE),"Price OK","Price Mismatch"),"Product Missing")</f>
        <v>Price OK</v>
      </c>
      <c r="AG166" t="str">
        <f t="shared" si="30"/>
        <v>Valid Email</v>
      </c>
      <c r="AH166" t="str">
        <f t="shared" si="31"/>
        <v>READY FOR REPORTING</v>
      </c>
      <c r="AI166" t="str">
        <f>IF(AND(LEFT(A166,LEN(Settings!$B$13))=Settings!$B$13,LEN(A166)=9),"Valid Format","Invalid Format")</f>
        <v>Valid Format</v>
      </c>
      <c r="AJ166" t="str">
        <f>IF(LEFT(C166,LEN(Settings!$B$14))=Settings!$B$14,"Valid Format","Invalid Format")</f>
        <v>Valid Format</v>
      </c>
      <c r="AK166" t="str">
        <f>IF(COUNTIF(Master_Data!$G$5:$G$14,C166)=1,"Known Customer","Customer Not in Master")</f>
        <v>Customer Not in Master</v>
      </c>
      <c r="AL166" t="str">
        <f>IF(U166&gt;=Settings!$B$11,"Target Met","Below Target")</f>
        <v>Target Met</v>
      </c>
      <c r="AM166" t="str">
        <f>IF(YEAR(B166)=Settings!$B$5,"Correct Year","Wrong Year")</f>
        <v>Correct Year</v>
      </c>
      <c r="AN166">
        <f t="shared" si="32"/>
        <v>4</v>
      </c>
    </row>
    <row r="167" spans="1:40">
      <c r="A167" t="str">
        <f>Raw_Data!A167</f>
        <v>ORD-10166</v>
      </c>
      <c r="B167" s="13">
        <f>Raw_Data!B167</f>
        <v>45850</v>
      </c>
      <c r="C167" t="str">
        <f>Raw_Data!C167</f>
        <v>C1107</v>
      </c>
      <c r="D167" t="str">
        <f>Raw_Data!D167</f>
        <v>client178@example.com</v>
      </c>
      <c r="E167" t="str">
        <f>Raw_Data!E167</f>
        <v>P1010</v>
      </c>
      <c r="F167" t="str">
        <f>Raw_Data!F167</f>
        <v>Headset</v>
      </c>
      <c r="G167" t="str">
        <f>Raw_Data!G167</f>
        <v>Electronics</v>
      </c>
      <c r="H167" t="str">
        <f>Raw_Data!H167</f>
        <v>West</v>
      </c>
      <c r="I167" t="str">
        <f>Raw_Data!I167</f>
        <v>Online</v>
      </c>
      <c r="J167" t="str">
        <f>Raw_Data!J167</f>
        <v>Mihai Radu</v>
      </c>
      <c r="K167">
        <f>Raw_Data!K167</f>
        <v>3</v>
      </c>
      <c r="L167" s="12">
        <f>Raw_Data!L167</f>
        <v>195</v>
      </c>
      <c r="M167" s="12">
        <f>Raw_Data!M167</f>
        <v>105</v>
      </c>
      <c r="N167" s="14">
        <f>Raw_Data!N167</f>
        <v>0</v>
      </c>
      <c r="O167" t="str">
        <f>Raw_Data!O167</f>
        <v>Card</v>
      </c>
      <c r="P167" t="str">
        <f>Raw_Data!P167</f>
        <v>Completed</v>
      </c>
      <c r="Q167" s="12">
        <f t="shared" si="22"/>
        <v>585</v>
      </c>
      <c r="R167" s="12">
        <f t="shared" si="23"/>
        <v>585</v>
      </c>
      <c r="S167" s="12">
        <f t="shared" si="24"/>
        <v>315</v>
      </c>
      <c r="T167" s="12">
        <f t="shared" si="25"/>
        <v>270</v>
      </c>
      <c r="U167" s="11">
        <f t="shared" si="26"/>
        <v>0.46153846153846156</v>
      </c>
      <c r="V167" t="str">
        <f>IF(OR(A167="",COUNTIF($A$2:$A$301,A167)&gt;1,C167="",D167="",ISERROR(SEARCH("@",D167)),ISERROR(SEARCH(".",D167)),COUNTIF(Lookups!$A$2:$A$11,E167)=0,F167="",H167="",K167&lt;=0,L167&lt;0,M167&lt;0,N167&lt;0,N167&gt;0.5,COUNTIF(Lookups!$K$2:$K$4,P167)=0),"ERROR","VALID")</f>
        <v>VALID</v>
      </c>
      <c r="W167" s="2" t="str">
        <f>IF(A167="","Missing Order ID; ","")&amp;IF(COUNTIF($A$2:$A$301,A167)&gt;1,"Duplicate Order ID; ","")&amp;IF(C167="","Missing Customer ID; ","")&amp;IF(OR(D167="",ISERROR(SEARCH("@",D167)),ISERROR(SEARCH(".",D167))),"Invalid Email; ","")&amp;IF(COUNTIF(Lookups!$A$2:$A$11,E167)=0,"Unknown Product; ","")&amp;IF(F167="","Missing Product Name; ","")&amp;IF(H167="","Missing Region; ","")&amp;IF(K167&lt;=0,"Invalid Quantity; ","")&amp;IF(L167&lt;0,"Invalid Price; ","")&amp;IF(M167&lt;0,"Invalid Cost; ","")&amp;IF(OR(N167&lt;0,N167&gt;0.5),"Invalid Discount; ","")&amp;IF(COUNTIF(Lookups!$K$2:$K$4,P167)=0,"Invalid Status; ","")</f>
        <v/>
      </c>
      <c r="X167" s="15" t="str">
        <f t="shared" si="27"/>
        <v>2025-07</v>
      </c>
      <c r="Y167" t="str">
        <f t="shared" si="28"/>
        <v>Q3</v>
      </c>
      <c r="Z167" t="str">
        <f>IF(R167&gt;=Settings!$B$9,"High Value Customer",IF(R167&gt;=Settings!$B$10,"Medium Value Customer","Standard Customer"))</f>
        <v>Standard Customer</v>
      </c>
      <c r="AA167" t="str">
        <f>IF(R167&gt;=Settings!$B$9,"Large Order",IF(R167&gt;=Settings!$B$10,"Medium Order","Small Order"))</f>
        <v>Small Order</v>
      </c>
      <c r="AB167" t="str">
        <f>IF(N167=0,"No Discount",IF(N167&lt;=0.1,"Low Discount",IF(N167&lt;=Settings!$B$8,"Medium Discount","High Discount")))</f>
        <v>No Discount</v>
      </c>
      <c r="AC167" t="str">
        <f t="shared" si="29"/>
        <v>Profitable</v>
      </c>
      <c r="AD167" t="str">
        <f>IFERROR(VLOOKUP(E167,Lookups!$A$2:$E$11,2,FALSE),"Product Not Found")</f>
        <v>Headset</v>
      </c>
      <c r="AE167" t="str">
        <f>IFERROR(VLOOKUP(E167,Lookups!$A$2:$E$11,3,FALSE),"Category Not Found")</f>
        <v>Electronics</v>
      </c>
      <c r="AF167" t="str">
        <f>IFERROR(IF(L167=VLOOKUP(E167,Lookups!$A$2:$E$11,4,FALSE),"Price OK","Price Mismatch"),"Product Missing")</f>
        <v>Price OK</v>
      </c>
      <c r="AG167" t="str">
        <f t="shared" si="30"/>
        <v>Valid Email</v>
      </c>
      <c r="AH167" t="str">
        <f t="shared" si="31"/>
        <v>READY FOR REPORTING</v>
      </c>
      <c r="AI167" t="str">
        <f>IF(AND(LEFT(A167,LEN(Settings!$B$13))=Settings!$B$13,LEN(A167)=9),"Valid Format","Invalid Format")</f>
        <v>Valid Format</v>
      </c>
      <c r="AJ167" t="str">
        <f>IF(LEFT(C167,LEN(Settings!$B$14))=Settings!$B$14,"Valid Format","Invalid Format")</f>
        <v>Valid Format</v>
      </c>
      <c r="AK167" t="str">
        <f>IF(COUNTIF(Master_Data!$G$5:$G$14,C167)=1,"Known Customer","Customer Not in Master")</f>
        <v>Customer Not in Master</v>
      </c>
      <c r="AL167" t="str">
        <f>IF(U167&gt;=Settings!$B$11,"Target Met","Below Target")</f>
        <v>Target Met</v>
      </c>
      <c r="AM167" t="str">
        <f>IF(YEAR(B167)=Settings!$B$5,"Correct Year","Wrong Year")</f>
        <v>Correct Year</v>
      </c>
      <c r="AN167">
        <f t="shared" si="32"/>
        <v>4</v>
      </c>
    </row>
    <row r="168" spans="1:40">
      <c r="A168" t="str">
        <f>Raw_Data!A168</f>
        <v>ORD-10167</v>
      </c>
      <c r="B168" s="13">
        <f>Raw_Data!B168</f>
        <v>45844</v>
      </c>
      <c r="C168" t="str">
        <f>Raw_Data!C168</f>
        <v>C1125</v>
      </c>
      <c r="D168" t="str">
        <f>Raw_Data!D168</f>
        <v>client114@example.com</v>
      </c>
      <c r="E168" t="str">
        <f>Raw_Data!E168</f>
        <v>P1007</v>
      </c>
      <c r="F168" t="str">
        <f>Raw_Data!F168</f>
        <v>Office Chair</v>
      </c>
      <c r="G168" t="str">
        <f>Raw_Data!G168</f>
        <v>Furniture</v>
      </c>
      <c r="H168" t="str">
        <f>Raw_Data!H168</f>
        <v>West</v>
      </c>
      <c r="I168" t="str">
        <f>Raw_Data!I168</f>
        <v>Store</v>
      </c>
      <c r="J168" t="str">
        <f>Raw_Data!J168</f>
        <v>Mihai Radu</v>
      </c>
      <c r="K168">
        <f>Raw_Data!K168</f>
        <v>11</v>
      </c>
      <c r="L168" s="12">
        <f>Raw_Data!L168</f>
        <v>840</v>
      </c>
      <c r="M168" s="12">
        <f>Raw_Data!M168</f>
        <v>590</v>
      </c>
      <c r="N168" s="14">
        <f>Raw_Data!N168</f>
        <v>0.2</v>
      </c>
      <c r="O168" t="str">
        <f>Raw_Data!O168</f>
        <v>Bank Transfer</v>
      </c>
      <c r="P168" t="str">
        <f>Raw_Data!P168</f>
        <v>Completed</v>
      </c>
      <c r="Q168" s="12">
        <f t="shared" si="22"/>
        <v>9240</v>
      </c>
      <c r="R168" s="12">
        <f t="shared" si="23"/>
        <v>7392</v>
      </c>
      <c r="S168" s="12">
        <f t="shared" si="24"/>
        <v>6490</v>
      </c>
      <c r="T168" s="12">
        <f t="shared" si="25"/>
        <v>902</v>
      </c>
      <c r="U168" s="11">
        <f t="shared" si="26"/>
        <v>0.12202380952380952</v>
      </c>
      <c r="V168" t="str">
        <f>IF(OR(A168="",COUNTIF($A$2:$A$301,A168)&gt;1,C168="",D168="",ISERROR(SEARCH("@",D168)),ISERROR(SEARCH(".",D168)),COUNTIF(Lookups!$A$2:$A$11,E168)=0,F168="",H168="",K168&lt;=0,L168&lt;0,M168&lt;0,N168&lt;0,N168&gt;0.5,COUNTIF(Lookups!$K$2:$K$4,P168)=0),"ERROR","VALID")</f>
        <v>VALID</v>
      </c>
      <c r="W168" s="2" t="str">
        <f>IF(A168="","Missing Order ID; ","")&amp;IF(COUNTIF($A$2:$A$301,A168)&gt;1,"Duplicate Order ID; ","")&amp;IF(C168="","Missing Customer ID; ","")&amp;IF(OR(D168="",ISERROR(SEARCH("@",D168)),ISERROR(SEARCH(".",D168))),"Invalid Email; ","")&amp;IF(COUNTIF(Lookups!$A$2:$A$11,E168)=0,"Unknown Product; ","")&amp;IF(F168="","Missing Product Name; ","")&amp;IF(H168="","Missing Region; ","")&amp;IF(K168&lt;=0,"Invalid Quantity; ","")&amp;IF(L168&lt;0,"Invalid Price; ","")&amp;IF(M168&lt;0,"Invalid Cost; ","")&amp;IF(OR(N168&lt;0,N168&gt;0.5),"Invalid Discount; ","")&amp;IF(COUNTIF(Lookups!$K$2:$K$4,P168)=0,"Invalid Status; ","")</f>
        <v/>
      </c>
      <c r="X168" s="15" t="str">
        <f t="shared" si="27"/>
        <v>2025-07</v>
      </c>
      <c r="Y168" t="str">
        <f t="shared" si="28"/>
        <v>Q3</v>
      </c>
      <c r="Z168" t="str">
        <f>IF(R168&gt;=Settings!$B$9,"High Value Customer",IF(R168&gt;=Settings!$B$10,"Medium Value Customer","Standard Customer"))</f>
        <v>High Value Customer</v>
      </c>
      <c r="AA168" t="str">
        <f>IF(R168&gt;=Settings!$B$9,"Large Order",IF(R168&gt;=Settings!$B$10,"Medium Order","Small Order"))</f>
        <v>Large Order</v>
      </c>
      <c r="AB168" t="str">
        <f>IF(N168=0,"No Discount",IF(N168&lt;=0.1,"Low Discount",IF(N168&lt;=Settings!$B$8,"Medium Discount","High Discount")))</f>
        <v>Medium Discount</v>
      </c>
      <c r="AC168" t="str">
        <f t="shared" si="29"/>
        <v>Profitable</v>
      </c>
      <c r="AD168" t="str">
        <f>IFERROR(VLOOKUP(E168,Lookups!$A$2:$E$11,2,FALSE),"Product Not Found")</f>
        <v>Office Chair</v>
      </c>
      <c r="AE168" t="str">
        <f>IFERROR(VLOOKUP(E168,Lookups!$A$2:$E$11,3,FALSE),"Category Not Found")</f>
        <v>Furniture</v>
      </c>
      <c r="AF168" t="str">
        <f>IFERROR(IF(L168=VLOOKUP(E168,Lookups!$A$2:$E$11,4,FALSE),"Price OK","Price Mismatch"),"Product Missing")</f>
        <v>Price OK</v>
      </c>
      <c r="AG168" t="str">
        <f t="shared" si="30"/>
        <v>Valid Email</v>
      </c>
      <c r="AH168" t="str">
        <f t="shared" si="31"/>
        <v>READY FOR REPORTING</v>
      </c>
      <c r="AI168" t="str">
        <f>IF(AND(LEFT(A168,LEN(Settings!$B$13))=Settings!$B$13,LEN(A168)=9),"Valid Format","Invalid Format")</f>
        <v>Valid Format</v>
      </c>
      <c r="AJ168" t="str">
        <f>IF(LEFT(C168,LEN(Settings!$B$14))=Settings!$B$14,"Valid Format","Invalid Format")</f>
        <v>Valid Format</v>
      </c>
      <c r="AK168" t="str">
        <f>IF(COUNTIF(Master_Data!$G$5:$G$14,C168)=1,"Known Customer","Customer Not in Master")</f>
        <v>Customer Not in Master</v>
      </c>
      <c r="AL168" t="str">
        <f>IF(U168&gt;=Settings!$B$11,"Target Met","Below Target")</f>
        <v>Below Target</v>
      </c>
      <c r="AM168" t="str">
        <f>IF(YEAR(B168)=Settings!$B$5,"Correct Year","Wrong Year")</f>
        <v>Correct Year</v>
      </c>
      <c r="AN168">
        <f t="shared" si="32"/>
        <v>3</v>
      </c>
    </row>
    <row r="169" spans="1:40">
      <c r="A169" t="str">
        <f>Raw_Data!A169</f>
        <v>ORD-10168</v>
      </c>
      <c r="B169" s="13">
        <f>Raw_Data!B169</f>
        <v>45780</v>
      </c>
      <c r="C169" t="str">
        <f>Raw_Data!C169</f>
        <v>C1048</v>
      </c>
      <c r="D169" t="str">
        <f>Raw_Data!D169</f>
        <v>client174@example.com</v>
      </c>
      <c r="E169" t="str">
        <f>Raw_Data!E169</f>
        <v>P1009</v>
      </c>
      <c r="F169" t="str">
        <f>Raw_Data!F169</f>
        <v>Webcam</v>
      </c>
      <c r="G169" t="str">
        <f>Raw_Data!G169</f>
        <v>Electronics</v>
      </c>
      <c r="H169" t="str">
        <f>Raw_Data!H169</f>
        <v>West</v>
      </c>
      <c r="I169" t="str">
        <f>Raw_Data!I169</f>
        <v>Store</v>
      </c>
      <c r="J169" t="str">
        <f>Raw_Data!J169</f>
        <v>Mihai Radu</v>
      </c>
      <c r="K169">
        <f>Raw_Data!K169</f>
        <v>5</v>
      </c>
      <c r="L169" s="12">
        <f>Raw_Data!L169</f>
        <v>230</v>
      </c>
      <c r="M169" s="12">
        <f>Raw_Data!M169</f>
        <v>132</v>
      </c>
      <c r="N169" s="14">
        <f>Raw_Data!N169</f>
        <v>0.1</v>
      </c>
      <c r="O169" t="str">
        <f>Raw_Data!O169</f>
        <v>Cash</v>
      </c>
      <c r="P169" t="str">
        <f>Raw_Data!P169</f>
        <v>Pending</v>
      </c>
      <c r="Q169" s="12">
        <f t="shared" si="22"/>
        <v>1150</v>
      </c>
      <c r="R169" s="12">
        <f t="shared" si="23"/>
        <v>1035</v>
      </c>
      <c r="S169" s="12">
        <f t="shared" si="24"/>
        <v>660</v>
      </c>
      <c r="T169" s="12">
        <f t="shared" si="25"/>
        <v>375</v>
      </c>
      <c r="U169" s="11">
        <f t="shared" si="26"/>
        <v>0.36231884057971014</v>
      </c>
      <c r="V169" t="str">
        <f>IF(OR(A169="",COUNTIF($A$2:$A$301,A169)&gt;1,C169="",D169="",ISERROR(SEARCH("@",D169)),ISERROR(SEARCH(".",D169)),COUNTIF(Lookups!$A$2:$A$11,E169)=0,F169="",H169="",K169&lt;=0,L169&lt;0,M169&lt;0,N169&lt;0,N169&gt;0.5,COUNTIF(Lookups!$K$2:$K$4,P169)=0),"ERROR","VALID")</f>
        <v>ERROR</v>
      </c>
      <c r="W169" s="2" t="str">
        <f>IF(A169="","Missing Order ID; ","")&amp;IF(COUNTIF($A$2:$A$301,A169)&gt;1,"Duplicate Order ID; ","")&amp;IF(C169="","Missing Customer ID; ","")&amp;IF(OR(D169="",ISERROR(SEARCH("@",D169)),ISERROR(SEARCH(".",D169))),"Invalid Email; ","")&amp;IF(COUNTIF(Lookups!$A$2:$A$11,E169)=0,"Unknown Product; ","")&amp;IF(F169="","Missing Product Name; ","")&amp;IF(H169="","Missing Region; ","")&amp;IF(K169&lt;=0,"Invalid Quantity; ","")&amp;IF(L169&lt;0,"Invalid Price; ","")&amp;IF(M169&lt;0,"Invalid Cost; ","")&amp;IF(OR(N169&lt;0,N169&gt;0.5),"Invalid Discount; ","")&amp;IF(COUNTIF(Lookups!$K$2:$K$4,P169)=0,"Invalid Status; ","")</f>
        <v xml:space="preserve">Invalid Status; </v>
      </c>
      <c r="X169" s="15" t="str">
        <f t="shared" si="27"/>
        <v>2025-05</v>
      </c>
      <c r="Y169" t="str">
        <f t="shared" si="28"/>
        <v>Q2</v>
      </c>
      <c r="Z169" t="str">
        <f>IF(R169&gt;=Settings!$B$9,"High Value Customer",IF(R169&gt;=Settings!$B$10,"Medium Value Customer","Standard Customer"))</f>
        <v>Standard Customer</v>
      </c>
      <c r="AA169" t="str">
        <f>IF(R169&gt;=Settings!$B$9,"Large Order",IF(R169&gt;=Settings!$B$10,"Medium Order","Small Order"))</f>
        <v>Small Order</v>
      </c>
      <c r="AB169" t="str">
        <f>IF(N169=0,"No Discount",IF(N169&lt;=0.1,"Low Discount",IF(N169&lt;=Settings!$B$8,"Medium Discount","High Discount")))</f>
        <v>Low Discount</v>
      </c>
      <c r="AC169" t="str">
        <f t="shared" si="29"/>
        <v>Profitable</v>
      </c>
      <c r="AD169" t="str">
        <f>IFERROR(VLOOKUP(E169,Lookups!$A$2:$E$11,2,FALSE),"Product Not Found")</f>
        <v>Webcam</v>
      </c>
      <c r="AE169" t="str">
        <f>IFERROR(VLOOKUP(E169,Lookups!$A$2:$E$11,3,FALSE),"Category Not Found")</f>
        <v>Electronics</v>
      </c>
      <c r="AF169" t="str">
        <f>IFERROR(IF(L169=VLOOKUP(E169,Lookups!$A$2:$E$11,4,FALSE),"Price OK","Price Mismatch"),"Product Missing")</f>
        <v>Price OK</v>
      </c>
      <c r="AG169" t="str">
        <f t="shared" si="30"/>
        <v>Valid Email</v>
      </c>
      <c r="AH169" t="str">
        <f t="shared" si="31"/>
        <v>REVIEW REQUIRED</v>
      </c>
      <c r="AI169" t="str">
        <f>IF(AND(LEFT(A169,LEN(Settings!$B$13))=Settings!$B$13,LEN(A169)=9),"Valid Format","Invalid Format")</f>
        <v>Valid Format</v>
      </c>
      <c r="AJ169" t="str">
        <f>IF(LEFT(C169,LEN(Settings!$B$14))=Settings!$B$14,"Valid Format","Invalid Format")</f>
        <v>Valid Format</v>
      </c>
      <c r="AK169" t="str">
        <f>IF(COUNTIF(Master_Data!$G$5:$G$14,C169)=1,"Known Customer","Customer Not in Master")</f>
        <v>Customer Not in Master</v>
      </c>
      <c r="AL169" t="str">
        <f>IF(U169&gt;=Settings!$B$11,"Target Met","Below Target")</f>
        <v>Target Met</v>
      </c>
      <c r="AM169" t="str">
        <f>IF(YEAR(B169)=Settings!$B$5,"Correct Year","Wrong Year")</f>
        <v>Correct Year</v>
      </c>
      <c r="AN169">
        <f t="shared" si="32"/>
        <v>4</v>
      </c>
    </row>
    <row r="170" spans="1:40">
      <c r="A170" t="str">
        <f>Raw_Data!A170</f>
        <v>ORD-10169</v>
      </c>
      <c r="B170" s="13">
        <f>Raw_Data!B170</f>
        <v>45915</v>
      </c>
      <c r="C170" t="str">
        <f>Raw_Data!C170</f>
        <v>C1105</v>
      </c>
      <c r="D170" t="str">
        <f>Raw_Data!D170</f>
        <v>client52@example.com</v>
      </c>
      <c r="E170" t="str">
        <f>Raw_Data!E170</f>
        <v>P1007</v>
      </c>
      <c r="F170" t="str">
        <f>Raw_Data!F170</f>
        <v>Office Chair</v>
      </c>
      <c r="G170" t="str">
        <f>Raw_Data!G170</f>
        <v>Furniture</v>
      </c>
      <c r="H170" t="str">
        <f>Raw_Data!H170</f>
        <v>West</v>
      </c>
      <c r="I170" t="str">
        <f>Raw_Data!I170</f>
        <v>Online</v>
      </c>
      <c r="J170" t="str">
        <f>Raw_Data!J170</f>
        <v>Elena Stan</v>
      </c>
      <c r="K170">
        <f>Raw_Data!K170</f>
        <v>9</v>
      </c>
      <c r="L170" s="12">
        <f>Raw_Data!L170</f>
        <v>840</v>
      </c>
      <c r="M170" s="12">
        <f>Raw_Data!M170</f>
        <v>590</v>
      </c>
      <c r="N170" s="14">
        <f>Raw_Data!N170</f>
        <v>0.1</v>
      </c>
      <c r="O170" t="str">
        <f>Raw_Data!O170</f>
        <v>Card</v>
      </c>
      <c r="P170" t="str">
        <f>Raw_Data!P170</f>
        <v>Completed</v>
      </c>
      <c r="Q170" s="12">
        <f t="shared" si="22"/>
        <v>7560</v>
      </c>
      <c r="R170" s="12">
        <f t="shared" si="23"/>
        <v>6804</v>
      </c>
      <c r="S170" s="12">
        <f t="shared" si="24"/>
        <v>5310</v>
      </c>
      <c r="T170" s="12">
        <f t="shared" si="25"/>
        <v>1494</v>
      </c>
      <c r="U170" s="11">
        <f t="shared" si="26"/>
        <v>0.21957671957671956</v>
      </c>
      <c r="V170" t="str">
        <f>IF(OR(A170="",COUNTIF($A$2:$A$301,A170)&gt;1,C170="",D170="",ISERROR(SEARCH("@",D170)),ISERROR(SEARCH(".",D170)),COUNTIF(Lookups!$A$2:$A$11,E170)=0,F170="",H170="",K170&lt;=0,L170&lt;0,M170&lt;0,N170&lt;0,N170&gt;0.5,COUNTIF(Lookups!$K$2:$K$4,P170)=0),"ERROR","VALID")</f>
        <v>VALID</v>
      </c>
      <c r="W170" s="2" t="str">
        <f>IF(A170="","Missing Order ID; ","")&amp;IF(COUNTIF($A$2:$A$301,A170)&gt;1,"Duplicate Order ID; ","")&amp;IF(C170="","Missing Customer ID; ","")&amp;IF(OR(D170="",ISERROR(SEARCH("@",D170)),ISERROR(SEARCH(".",D170))),"Invalid Email; ","")&amp;IF(COUNTIF(Lookups!$A$2:$A$11,E170)=0,"Unknown Product; ","")&amp;IF(F170="","Missing Product Name; ","")&amp;IF(H170="","Missing Region; ","")&amp;IF(K170&lt;=0,"Invalid Quantity; ","")&amp;IF(L170&lt;0,"Invalid Price; ","")&amp;IF(M170&lt;0,"Invalid Cost; ","")&amp;IF(OR(N170&lt;0,N170&gt;0.5),"Invalid Discount; ","")&amp;IF(COUNTIF(Lookups!$K$2:$K$4,P170)=0,"Invalid Status; ","")</f>
        <v/>
      </c>
      <c r="X170" s="15" t="str">
        <f t="shared" si="27"/>
        <v>2025-09</v>
      </c>
      <c r="Y170" t="str">
        <f t="shared" si="28"/>
        <v>Q3</v>
      </c>
      <c r="Z170" t="str">
        <f>IF(R170&gt;=Settings!$B$9,"High Value Customer",IF(R170&gt;=Settings!$B$10,"Medium Value Customer","Standard Customer"))</f>
        <v>High Value Customer</v>
      </c>
      <c r="AA170" t="str">
        <f>IF(R170&gt;=Settings!$B$9,"Large Order",IF(R170&gt;=Settings!$B$10,"Medium Order","Small Order"))</f>
        <v>Large Order</v>
      </c>
      <c r="AB170" t="str">
        <f>IF(N170=0,"No Discount",IF(N170&lt;=0.1,"Low Discount",IF(N170&lt;=Settings!$B$8,"Medium Discount","High Discount")))</f>
        <v>Low Discount</v>
      </c>
      <c r="AC170" t="str">
        <f t="shared" si="29"/>
        <v>Profitable</v>
      </c>
      <c r="AD170" t="str">
        <f>IFERROR(VLOOKUP(E170,Lookups!$A$2:$E$11,2,FALSE),"Product Not Found")</f>
        <v>Office Chair</v>
      </c>
      <c r="AE170" t="str">
        <f>IFERROR(VLOOKUP(E170,Lookups!$A$2:$E$11,3,FALSE),"Category Not Found")</f>
        <v>Furniture</v>
      </c>
      <c r="AF170" t="str">
        <f>IFERROR(IF(L170=VLOOKUP(E170,Lookups!$A$2:$E$11,4,FALSE),"Price OK","Price Mismatch"),"Product Missing")</f>
        <v>Price OK</v>
      </c>
      <c r="AG170" t="str">
        <f t="shared" si="30"/>
        <v>Valid Email</v>
      </c>
      <c r="AH170" t="str">
        <f t="shared" si="31"/>
        <v>READY FOR REPORTING</v>
      </c>
      <c r="AI170" t="str">
        <f>IF(AND(LEFT(A170,LEN(Settings!$B$13))=Settings!$B$13,LEN(A170)=9),"Valid Format","Invalid Format")</f>
        <v>Valid Format</v>
      </c>
      <c r="AJ170" t="str">
        <f>IF(LEFT(C170,LEN(Settings!$B$14))=Settings!$B$14,"Valid Format","Invalid Format")</f>
        <v>Valid Format</v>
      </c>
      <c r="AK170" t="str">
        <f>IF(COUNTIF(Master_Data!$G$5:$G$14,C170)=1,"Known Customer","Customer Not in Master")</f>
        <v>Customer Not in Master</v>
      </c>
      <c r="AL170" t="str">
        <f>IF(U170&gt;=Settings!$B$11,"Target Met","Below Target")</f>
        <v>Below Target</v>
      </c>
      <c r="AM170" t="str">
        <f>IF(YEAR(B170)=Settings!$B$5,"Correct Year","Wrong Year")</f>
        <v>Correct Year</v>
      </c>
      <c r="AN170">
        <f t="shared" si="32"/>
        <v>3</v>
      </c>
    </row>
    <row r="171" spans="1:40">
      <c r="A171" t="str">
        <f>Raw_Data!A171</f>
        <v>ORD-10170</v>
      </c>
      <c r="B171" s="13">
        <f>Raw_Data!B171</f>
        <v>45848</v>
      </c>
      <c r="C171" t="str">
        <f>Raw_Data!C171</f>
        <v>C1109</v>
      </c>
      <c r="D171" t="str">
        <f>Raw_Data!D171</f>
        <v>client133@example.com</v>
      </c>
      <c r="E171" t="str">
        <f>Raw_Data!E171</f>
        <v>P1008</v>
      </c>
      <c r="F171" t="str">
        <f>Raw_Data!F171</f>
        <v>Standing Desk</v>
      </c>
      <c r="G171" t="str">
        <f>Raw_Data!G171</f>
        <v>Furniture</v>
      </c>
      <c r="H171" t="str">
        <f>Raw_Data!H171</f>
        <v>Bucharest</v>
      </c>
      <c r="I171" t="str">
        <f>Raw_Data!I171</f>
        <v>Store</v>
      </c>
      <c r="J171" t="str">
        <f>Raw_Data!J171</f>
        <v>Andrei Pop</v>
      </c>
      <c r="K171">
        <f>Raw_Data!K171</f>
        <v>9</v>
      </c>
      <c r="L171" s="12">
        <f>Raw_Data!L171</f>
        <v>1450</v>
      </c>
      <c r="M171" s="12">
        <f>Raw_Data!M171</f>
        <v>1030</v>
      </c>
      <c r="N171" s="14">
        <f>Raw_Data!N171</f>
        <v>0</v>
      </c>
      <c r="O171" t="str">
        <f>Raw_Data!O171</f>
        <v>Bank Transfer</v>
      </c>
      <c r="P171" t="str">
        <f>Raw_Data!P171</f>
        <v>Cancelled</v>
      </c>
      <c r="Q171" s="12">
        <f t="shared" si="22"/>
        <v>13050</v>
      </c>
      <c r="R171" s="12">
        <f t="shared" si="23"/>
        <v>13050</v>
      </c>
      <c r="S171" s="12">
        <f t="shared" si="24"/>
        <v>9270</v>
      </c>
      <c r="T171" s="12">
        <f t="shared" si="25"/>
        <v>3780</v>
      </c>
      <c r="U171" s="11">
        <f t="shared" si="26"/>
        <v>0.28965517241379313</v>
      </c>
      <c r="V171" t="str">
        <f>IF(OR(A171="",COUNTIF($A$2:$A$301,A171)&gt;1,C171="",D171="",ISERROR(SEARCH("@",D171)),ISERROR(SEARCH(".",D171)),COUNTIF(Lookups!$A$2:$A$11,E171)=0,F171="",H171="",K171&lt;=0,L171&lt;0,M171&lt;0,N171&lt;0,N171&gt;0.5,COUNTIF(Lookups!$K$2:$K$4,P171)=0),"ERROR","VALID")</f>
        <v>VALID</v>
      </c>
      <c r="W171" s="2" t="str">
        <f>IF(A171="","Missing Order ID; ","")&amp;IF(COUNTIF($A$2:$A$301,A171)&gt;1,"Duplicate Order ID; ","")&amp;IF(C171="","Missing Customer ID; ","")&amp;IF(OR(D171="",ISERROR(SEARCH("@",D171)),ISERROR(SEARCH(".",D171))),"Invalid Email; ","")&amp;IF(COUNTIF(Lookups!$A$2:$A$11,E171)=0,"Unknown Product; ","")&amp;IF(F171="","Missing Product Name; ","")&amp;IF(H171="","Missing Region; ","")&amp;IF(K171&lt;=0,"Invalid Quantity; ","")&amp;IF(L171&lt;0,"Invalid Price; ","")&amp;IF(M171&lt;0,"Invalid Cost; ","")&amp;IF(OR(N171&lt;0,N171&gt;0.5),"Invalid Discount; ","")&amp;IF(COUNTIF(Lookups!$K$2:$K$4,P171)=0,"Invalid Status; ","")</f>
        <v/>
      </c>
      <c r="X171" s="15" t="str">
        <f t="shared" si="27"/>
        <v>2025-07</v>
      </c>
      <c r="Y171" t="str">
        <f t="shared" si="28"/>
        <v>Q3</v>
      </c>
      <c r="Z171" t="str">
        <f>IF(R171&gt;=Settings!$B$9,"High Value Customer",IF(R171&gt;=Settings!$B$10,"Medium Value Customer","Standard Customer"))</f>
        <v>High Value Customer</v>
      </c>
      <c r="AA171" t="str">
        <f>IF(R171&gt;=Settings!$B$9,"Large Order",IF(R171&gt;=Settings!$B$10,"Medium Order","Small Order"))</f>
        <v>Large Order</v>
      </c>
      <c r="AB171" t="str">
        <f>IF(N171=0,"No Discount",IF(N171&lt;=0.1,"Low Discount",IF(N171&lt;=Settings!$B$8,"Medium Discount","High Discount")))</f>
        <v>No Discount</v>
      </c>
      <c r="AC171" t="str">
        <f t="shared" si="29"/>
        <v>Profitable</v>
      </c>
      <c r="AD171" t="str">
        <f>IFERROR(VLOOKUP(E171,Lookups!$A$2:$E$11,2,FALSE),"Product Not Found")</f>
        <v>Standing Desk</v>
      </c>
      <c r="AE171" t="str">
        <f>IFERROR(VLOOKUP(E171,Lookups!$A$2:$E$11,3,FALSE),"Category Not Found")</f>
        <v>Furniture</v>
      </c>
      <c r="AF171" t="str">
        <f>IFERROR(IF(L171=VLOOKUP(E171,Lookups!$A$2:$E$11,4,FALSE),"Price OK","Price Mismatch"),"Product Missing")</f>
        <v>Price OK</v>
      </c>
      <c r="AG171" t="str">
        <f t="shared" si="30"/>
        <v>Valid Email</v>
      </c>
      <c r="AH171" t="str">
        <f t="shared" si="31"/>
        <v>READY FOR REPORTING</v>
      </c>
      <c r="AI171" t="str">
        <f>IF(AND(LEFT(A171,LEN(Settings!$B$13))=Settings!$B$13,LEN(A171)=9),"Valid Format","Invalid Format")</f>
        <v>Valid Format</v>
      </c>
      <c r="AJ171" t="str">
        <f>IF(LEFT(C171,LEN(Settings!$B$14))=Settings!$B$14,"Valid Format","Invalid Format")</f>
        <v>Valid Format</v>
      </c>
      <c r="AK171" t="str">
        <f>IF(COUNTIF(Master_Data!$G$5:$G$14,C171)=1,"Known Customer","Customer Not in Master")</f>
        <v>Customer Not in Master</v>
      </c>
      <c r="AL171" t="str">
        <f>IF(U171&gt;=Settings!$B$11,"Target Met","Below Target")</f>
        <v>Target Met</v>
      </c>
      <c r="AM171" t="str">
        <f>IF(YEAR(B171)=Settings!$B$5,"Correct Year","Wrong Year")</f>
        <v>Correct Year</v>
      </c>
      <c r="AN171">
        <f t="shared" si="32"/>
        <v>4</v>
      </c>
    </row>
    <row r="172" spans="1:40">
      <c r="A172" t="str">
        <f>Raw_Data!A172</f>
        <v>ORD-10171</v>
      </c>
      <c r="B172" s="13">
        <f>Raw_Data!B172</f>
        <v>45888</v>
      </c>
      <c r="C172" t="str">
        <f>Raw_Data!C172</f>
        <v>C1012</v>
      </c>
      <c r="D172" t="str">
        <f>Raw_Data!D172</f>
        <v>client57@example.com</v>
      </c>
      <c r="E172" t="str">
        <f>Raw_Data!E172</f>
        <v>P1005</v>
      </c>
      <c r="F172" t="str">
        <f>Raw_Data!F172</f>
        <v>24-inch Monitor</v>
      </c>
      <c r="G172" t="str">
        <f>Raw_Data!G172</f>
        <v>Electronics</v>
      </c>
      <c r="H172" t="str">
        <f>Raw_Data!H172</f>
        <v>East</v>
      </c>
      <c r="I172" t="str">
        <f>Raw_Data!I172</f>
        <v>Store</v>
      </c>
      <c r="J172" t="str">
        <f>Raw_Data!J172</f>
        <v>Andrei Pop</v>
      </c>
      <c r="K172">
        <f>Raw_Data!K172</f>
        <v>9</v>
      </c>
      <c r="L172" s="12">
        <f>Raw_Data!L172</f>
        <v>720</v>
      </c>
      <c r="M172" s="12">
        <f>Raw_Data!M172</f>
        <v>510</v>
      </c>
      <c r="N172" s="14">
        <f>Raw_Data!N172</f>
        <v>0</v>
      </c>
      <c r="O172" t="str">
        <f>Raw_Data!O172</f>
        <v>Online Wallet</v>
      </c>
      <c r="P172" t="str">
        <f>Raw_Data!P172</f>
        <v>Completed</v>
      </c>
      <c r="Q172" s="12">
        <f t="shared" si="22"/>
        <v>6480</v>
      </c>
      <c r="R172" s="12">
        <f t="shared" si="23"/>
        <v>6480</v>
      </c>
      <c r="S172" s="12">
        <f t="shared" si="24"/>
        <v>4590</v>
      </c>
      <c r="T172" s="12">
        <f t="shared" si="25"/>
        <v>1890</v>
      </c>
      <c r="U172" s="11">
        <f t="shared" si="26"/>
        <v>0.29166666666666669</v>
      </c>
      <c r="V172" t="str">
        <f>IF(OR(A172="",COUNTIF($A$2:$A$301,A172)&gt;1,C172="",D172="",ISERROR(SEARCH("@",D172)),ISERROR(SEARCH(".",D172)),COUNTIF(Lookups!$A$2:$A$11,E172)=0,F172="",H172="",K172&lt;=0,L172&lt;0,M172&lt;0,N172&lt;0,N172&gt;0.5,COUNTIF(Lookups!$K$2:$K$4,P172)=0),"ERROR","VALID")</f>
        <v>VALID</v>
      </c>
      <c r="W172" s="2" t="str">
        <f>IF(A172="","Missing Order ID; ","")&amp;IF(COUNTIF($A$2:$A$301,A172)&gt;1,"Duplicate Order ID; ","")&amp;IF(C172="","Missing Customer ID; ","")&amp;IF(OR(D172="",ISERROR(SEARCH("@",D172)),ISERROR(SEARCH(".",D172))),"Invalid Email; ","")&amp;IF(COUNTIF(Lookups!$A$2:$A$11,E172)=0,"Unknown Product; ","")&amp;IF(F172="","Missing Product Name; ","")&amp;IF(H172="","Missing Region; ","")&amp;IF(K172&lt;=0,"Invalid Quantity; ","")&amp;IF(L172&lt;0,"Invalid Price; ","")&amp;IF(M172&lt;0,"Invalid Cost; ","")&amp;IF(OR(N172&lt;0,N172&gt;0.5),"Invalid Discount; ","")&amp;IF(COUNTIF(Lookups!$K$2:$K$4,P172)=0,"Invalid Status; ","")</f>
        <v/>
      </c>
      <c r="X172" s="15" t="str">
        <f t="shared" si="27"/>
        <v>2025-08</v>
      </c>
      <c r="Y172" t="str">
        <f t="shared" si="28"/>
        <v>Q3</v>
      </c>
      <c r="Z172" t="str">
        <f>IF(R172&gt;=Settings!$B$9,"High Value Customer",IF(R172&gt;=Settings!$B$10,"Medium Value Customer","Standard Customer"))</f>
        <v>High Value Customer</v>
      </c>
      <c r="AA172" t="str">
        <f>IF(R172&gt;=Settings!$B$9,"Large Order",IF(R172&gt;=Settings!$B$10,"Medium Order","Small Order"))</f>
        <v>Large Order</v>
      </c>
      <c r="AB172" t="str">
        <f>IF(N172=0,"No Discount",IF(N172&lt;=0.1,"Low Discount",IF(N172&lt;=Settings!$B$8,"Medium Discount","High Discount")))</f>
        <v>No Discount</v>
      </c>
      <c r="AC172" t="str">
        <f t="shared" si="29"/>
        <v>Profitable</v>
      </c>
      <c r="AD172" t="str">
        <f>IFERROR(VLOOKUP(E172,Lookups!$A$2:$E$11,2,FALSE),"Product Not Found")</f>
        <v>24-inch Monitor</v>
      </c>
      <c r="AE172" t="str">
        <f>IFERROR(VLOOKUP(E172,Lookups!$A$2:$E$11,3,FALSE),"Category Not Found")</f>
        <v>Electronics</v>
      </c>
      <c r="AF172" t="str">
        <f>IFERROR(IF(L172=VLOOKUP(E172,Lookups!$A$2:$E$11,4,FALSE),"Price OK","Price Mismatch"),"Product Missing")</f>
        <v>Price OK</v>
      </c>
      <c r="AG172" t="str">
        <f t="shared" si="30"/>
        <v>Valid Email</v>
      </c>
      <c r="AH172" t="str">
        <f t="shared" si="31"/>
        <v>READY FOR REPORTING</v>
      </c>
      <c r="AI172" t="str">
        <f>IF(AND(LEFT(A172,LEN(Settings!$B$13))=Settings!$B$13,LEN(A172)=9),"Valid Format","Invalid Format")</f>
        <v>Valid Format</v>
      </c>
      <c r="AJ172" t="str">
        <f>IF(LEFT(C172,LEN(Settings!$B$14))=Settings!$B$14,"Valid Format","Invalid Format")</f>
        <v>Valid Format</v>
      </c>
      <c r="AK172" t="str">
        <f>IF(COUNTIF(Master_Data!$G$5:$G$14,C172)=1,"Known Customer","Customer Not in Master")</f>
        <v>Customer Not in Master</v>
      </c>
      <c r="AL172" t="str">
        <f>IF(U172&gt;=Settings!$B$11,"Target Met","Below Target")</f>
        <v>Target Met</v>
      </c>
      <c r="AM172" t="str">
        <f>IF(YEAR(B172)=Settings!$B$5,"Correct Year","Wrong Year")</f>
        <v>Correct Year</v>
      </c>
      <c r="AN172">
        <f t="shared" si="32"/>
        <v>4</v>
      </c>
    </row>
    <row r="173" spans="1:40">
      <c r="A173" t="str">
        <f>Raw_Data!A173</f>
        <v>ORD-10172</v>
      </c>
      <c r="B173" s="13">
        <f>Raw_Data!B173</f>
        <v>45860</v>
      </c>
      <c r="C173" t="str">
        <f>Raw_Data!C173</f>
        <v>C1050</v>
      </c>
      <c r="D173" t="str">
        <f>Raw_Data!D173</f>
        <v>client21@example.com</v>
      </c>
      <c r="E173" t="str">
        <f>Raw_Data!E173</f>
        <v>P1001</v>
      </c>
      <c r="F173" t="str">
        <f>Raw_Data!F173</f>
        <v>Laptop Stand</v>
      </c>
      <c r="G173" t="str">
        <f>Raw_Data!G173</f>
        <v>Accessories</v>
      </c>
      <c r="H173" t="str">
        <f>Raw_Data!H173</f>
        <v>South</v>
      </c>
      <c r="I173" t="str">
        <f>Raw_Data!I173</f>
        <v>Online</v>
      </c>
      <c r="J173" t="str">
        <f>Raw_Data!J173</f>
        <v>Andrei Pop</v>
      </c>
      <c r="K173">
        <f>Raw_Data!K173</f>
        <v>9</v>
      </c>
      <c r="L173" s="12">
        <f>Raw_Data!L173</f>
        <v>95</v>
      </c>
      <c r="M173" s="12">
        <f>Raw_Data!M173</f>
        <v>52</v>
      </c>
      <c r="N173" s="14">
        <f>Raw_Data!N173</f>
        <v>0.05</v>
      </c>
      <c r="O173" t="str">
        <f>Raw_Data!O173</f>
        <v>Cash</v>
      </c>
      <c r="P173" t="str">
        <f>Raw_Data!P173</f>
        <v>Completed</v>
      </c>
      <c r="Q173" s="12">
        <f t="shared" si="22"/>
        <v>855</v>
      </c>
      <c r="R173" s="12">
        <f t="shared" si="23"/>
        <v>812.25</v>
      </c>
      <c r="S173" s="12">
        <f t="shared" si="24"/>
        <v>468</v>
      </c>
      <c r="T173" s="12">
        <f t="shared" si="25"/>
        <v>344.25</v>
      </c>
      <c r="U173" s="11">
        <f t="shared" si="26"/>
        <v>0.42382271468144045</v>
      </c>
      <c r="V173" t="str">
        <f>IF(OR(A173="",COUNTIF($A$2:$A$301,A173)&gt;1,C173="",D173="",ISERROR(SEARCH("@",D173)),ISERROR(SEARCH(".",D173)),COUNTIF(Lookups!$A$2:$A$11,E173)=0,F173="",H173="",K173&lt;=0,L173&lt;0,M173&lt;0,N173&lt;0,N173&gt;0.5,COUNTIF(Lookups!$K$2:$K$4,P173)=0),"ERROR","VALID")</f>
        <v>VALID</v>
      </c>
      <c r="W173" s="2" t="str">
        <f>IF(A173="","Missing Order ID; ","")&amp;IF(COUNTIF($A$2:$A$301,A173)&gt;1,"Duplicate Order ID; ","")&amp;IF(C173="","Missing Customer ID; ","")&amp;IF(OR(D173="",ISERROR(SEARCH("@",D173)),ISERROR(SEARCH(".",D173))),"Invalid Email; ","")&amp;IF(COUNTIF(Lookups!$A$2:$A$11,E173)=0,"Unknown Product; ","")&amp;IF(F173="","Missing Product Name; ","")&amp;IF(H173="","Missing Region; ","")&amp;IF(K173&lt;=0,"Invalid Quantity; ","")&amp;IF(L173&lt;0,"Invalid Price; ","")&amp;IF(M173&lt;0,"Invalid Cost; ","")&amp;IF(OR(N173&lt;0,N173&gt;0.5),"Invalid Discount; ","")&amp;IF(COUNTIF(Lookups!$K$2:$K$4,P173)=0,"Invalid Status; ","")</f>
        <v/>
      </c>
      <c r="X173" s="15" t="str">
        <f t="shared" si="27"/>
        <v>2025-07</v>
      </c>
      <c r="Y173" t="str">
        <f t="shared" si="28"/>
        <v>Q3</v>
      </c>
      <c r="Z173" t="str">
        <f>IF(R173&gt;=Settings!$B$9,"High Value Customer",IF(R173&gt;=Settings!$B$10,"Medium Value Customer","Standard Customer"))</f>
        <v>Standard Customer</v>
      </c>
      <c r="AA173" t="str">
        <f>IF(R173&gt;=Settings!$B$9,"Large Order",IF(R173&gt;=Settings!$B$10,"Medium Order","Small Order"))</f>
        <v>Small Order</v>
      </c>
      <c r="AB173" t="str">
        <f>IF(N173=0,"No Discount",IF(N173&lt;=0.1,"Low Discount",IF(N173&lt;=Settings!$B$8,"Medium Discount","High Discount")))</f>
        <v>Low Discount</v>
      </c>
      <c r="AC173" t="str">
        <f t="shared" si="29"/>
        <v>Profitable</v>
      </c>
      <c r="AD173" t="str">
        <f>IFERROR(VLOOKUP(E173,Lookups!$A$2:$E$11,2,FALSE),"Product Not Found")</f>
        <v>Laptop Stand</v>
      </c>
      <c r="AE173" t="str">
        <f>IFERROR(VLOOKUP(E173,Lookups!$A$2:$E$11,3,FALSE),"Category Not Found")</f>
        <v>Accessories</v>
      </c>
      <c r="AF173" t="str">
        <f>IFERROR(IF(L173=VLOOKUP(E173,Lookups!$A$2:$E$11,4,FALSE),"Price OK","Price Mismatch"),"Product Missing")</f>
        <v>Price OK</v>
      </c>
      <c r="AG173" t="str">
        <f t="shared" si="30"/>
        <v>Valid Email</v>
      </c>
      <c r="AH173" t="str">
        <f t="shared" si="31"/>
        <v>READY FOR REPORTING</v>
      </c>
      <c r="AI173" t="str">
        <f>IF(AND(LEFT(A173,LEN(Settings!$B$13))=Settings!$B$13,LEN(A173)=9),"Valid Format","Invalid Format")</f>
        <v>Valid Format</v>
      </c>
      <c r="AJ173" t="str">
        <f>IF(LEFT(C173,LEN(Settings!$B$14))=Settings!$B$14,"Valid Format","Invalid Format")</f>
        <v>Valid Format</v>
      </c>
      <c r="AK173" t="str">
        <f>IF(COUNTIF(Master_Data!$G$5:$G$14,C173)=1,"Known Customer","Customer Not in Master")</f>
        <v>Customer Not in Master</v>
      </c>
      <c r="AL173" t="str">
        <f>IF(U173&gt;=Settings!$B$11,"Target Met","Below Target")</f>
        <v>Target Met</v>
      </c>
      <c r="AM173" t="str">
        <f>IF(YEAR(B173)=Settings!$B$5,"Correct Year","Wrong Year")</f>
        <v>Correct Year</v>
      </c>
      <c r="AN173">
        <f t="shared" si="32"/>
        <v>4</v>
      </c>
    </row>
    <row r="174" spans="1:40">
      <c r="A174" t="str">
        <f>Raw_Data!A174</f>
        <v>ORD-10173</v>
      </c>
      <c r="B174" s="13">
        <f>Raw_Data!B174</f>
        <v>45990</v>
      </c>
      <c r="C174" t="str">
        <f>Raw_Data!C174</f>
        <v>C1005</v>
      </c>
      <c r="D174" t="str">
        <f>Raw_Data!D174</f>
        <v>client74@example.com</v>
      </c>
      <c r="E174" t="str">
        <f>Raw_Data!E174</f>
        <v>P1002</v>
      </c>
      <c r="F174" t="str">
        <f>Raw_Data!F174</f>
        <v>Wireless Mouse</v>
      </c>
      <c r="G174" t="str">
        <f>Raw_Data!G174</f>
        <v>Accessories</v>
      </c>
      <c r="H174" t="str">
        <f>Raw_Data!H174</f>
        <v>East</v>
      </c>
      <c r="I174" t="str">
        <f>Raw_Data!I174</f>
        <v>Marketplace</v>
      </c>
      <c r="J174" t="str">
        <f>Raw_Data!J174</f>
        <v>Maria Ionescu</v>
      </c>
      <c r="K174">
        <f>Raw_Data!K174</f>
        <v>6</v>
      </c>
      <c r="L174" s="12">
        <f>Raw_Data!L174</f>
        <v>85</v>
      </c>
      <c r="M174" s="12">
        <f>Raw_Data!M174</f>
        <v>44</v>
      </c>
      <c r="N174" s="14">
        <f>Raw_Data!N174</f>
        <v>0</v>
      </c>
      <c r="O174" t="str">
        <f>Raw_Data!O174</f>
        <v>Online Wallet</v>
      </c>
      <c r="P174" t="str">
        <f>Raw_Data!P174</f>
        <v>Completed</v>
      </c>
      <c r="Q174" s="12">
        <f t="shared" si="22"/>
        <v>510</v>
      </c>
      <c r="R174" s="12">
        <f t="shared" si="23"/>
        <v>510</v>
      </c>
      <c r="S174" s="12">
        <f t="shared" si="24"/>
        <v>264</v>
      </c>
      <c r="T174" s="12">
        <f t="shared" si="25"/>
        <v>246</v>
      </c>
      <c r="U174" s="11">
        <f t="shared" si="26"/>
        <v>0.4823529411764706</v>
      </c>
      <c r="V174" t="str">
        <f>IF(OR(A174="",COUNTIF($A$2:$A$301,A174)&gt;1,C174="",D174="",ISERROR(SEARCH("@",D174)),ISERROR(SEARCH(".",D174)),COUNTIF(Lookups!$A$2:$A$11,E174)=0,F174="",H174="",K174&lt;=0,L174&lt;0,M174&lt;0,N174&lt;0,N174&gt;0.5,COUNTIF(Lookups!$K$2:$K$4,P174)=0),"ERROR","VALID")</f>
        <v>VALID</v>
      </c>
      <c r="W174" s="2" t="str">
        <f>IF(A174="","Missing Order ID; ","")&amp;IF(COUNTIF($A$2:$A$301,A174)&gt;1,"Duplicate Order ID; ","")&amp;IF(C174="","Missing Customer ID; ","")&amp;IF(OR(D174="",ISERROR(SEARCH("@",D174)),ISERROR(SEARCH(".",D174))),"Invalid Email; ","")&amp;IF(COUNTIF(Lookups!$A$2:$A$11,E174)=0,"Unknown Product; ","")&amp;IF(F174="","Missing Product Name; ","")&amp;IF(H174="","Missing Region; ","")&amp;IF(K174&lt;=0,"Invalid Quantity; ","")&amp;IF(L174&lt;0,"Invalid Price; ","")&amp;IF(M174&lt;0,"Invalid Cost; ","")&amp;IF(OR(N174&lt;0,N174&gt;0.5),"Invalid Discount; ","")&amp;IF(COUNTIF(Lookups!$K$2:$K$4,P174)=0,"Invalid Status; ","")</f>
        <v/>
      </c>
      <c r="X174" s="15" t="str">
        <f t="shared" si="27"/>
        <v>2025-11</v>
      </c>
      <c r="Y174" t="str">
        <f t="shared" si="28"/>
        <v>Q4</v>
      </c>
      <c r="Z174" t="str">
        <f>IF(R174&gt;=Settings!$B$9,"High Value Customer",IF(R174&gt;=Settings!$B$10,"Medium Value Customer","Standard Customer"))</f>
        <v>Standard Customer</v>
      </c>
      <c r="AA174" t="str">
        <f>IF(R174&gt;=Settings!$B$9,"Large Order",IF(R174&gt;=Settings!$B$10,"Medium Order","Small Order"))</f>
        <v>Small Order</v>
      </c>
      <c r="AB174" t="str">
        <f>IF(N174=0,"No Discount",IF(N174&lt;=0.1,"Low Discount",IF(N174&lt;=Settings!$B$8,"Medium Discount","High Discount")))</f>
        <v>No Discount</v>
      </c>
      <c r="AC174" t="str">
        <f t="shared" si="29"/>
        <v>Profitable</v>
      </c>
      <c r="AD174" t="str">
        <f>IFERROR(VLOOKUP(E174,Lookups!$A$2:$E$11,2,FALSE),"Product Not Found")</f>
        <v>Wireless Mouse</v>
      </c>
      <c r="AE174" t="str">
        <f>IFERROR(VLOOKUP(E174,Lookups!$A$2:$E$11,3,FALSE),"Category Not Found")</f>
        <v>Accessories</v>
      </c>
      <c r="AF174" t="str">
        <f>IFERROR(IF(L174=VLOOKUP(E174,Lookups!$A$2:$E$11,4,FALSE),"Price OK","Price Mismatch"),"Product Missing")</f>
        <v>Price OK</v>
      </c>
      <c r="AG174" t="str">
        <f t="shared" si="30"/>
        <v>Valid Email</v>
      </c>
      <c r="AH174" t="str">
        <f t="shared" si="31"/>
        <v>READY FOR REPORTING</v>
      </c>
      <c r="AI174" t="str">
        <f>IF(AND(LEFT(A174,LEN(Settings!$B$13))=Settings!$B$13,LEN(A174)=9),"Valid Format","Invalid Format")</f>
        <v>Valid Format</v>
      </c>
      <c r="AJ174" t="str">
        <f>IF(LEFT(C174,LEN(Settings!$B$14))=Settings!$B$14,"Valid Format","Invalid Format")</f>
        <v>Valid Format</v>
      </c>
      <c r="AK174" t="str">
        <f>IF(COUNTIF(Master_Data!$G$5:$G$14,C174)=1,"Known Customer","Customer Not in Master")</f>
        <v>Known Customer</v>
      </c>
      <c r="AL174" t="str">
        <f>IF(U174&gt;=Settings!$B$11,"Target Met","Below Target")</f>
        <v>Target Met</v>
      </c>
      <c r="AM174" t="str">
        <f>IF(YEAR(B174)=Settings!$B$5,"Correct Year","Wrong Year")</f>
        <v>Correct Year</v>
      </c>
      <c r="AN174">
        <f t="shared" si="32"/>
        <v>5</v>
      </c>
    </row>
    <row r="175" spans="1:40">
      <c r="A175" t="str">
        <f>Raw_Data!A175</f>
        <v>ORD-10174</v>
      </c>
      <c r="B175" s="13">
        <f>Raw_Data!B175</f>
        <v>45973</v>
      </c>
      <c r="C175" t="str">
        <f>Raw_Data!C175</f>
        <v>C1033</v>
      </c>
      <c r="D175" t="str">
        <f>Raw_Data!D175</f>
        <v>client56@example.com</v>
      </c>
      <c r="E175" t="str">
        <f>Raw_Data!E175</f>
        <v>P1008</v>
      </c>
      <c r="F175" t="str">
        <f>Raw_Data!F175</f>
        <v>Standing Desk</v>
      </c>
      <c r="G175" t="str">
        <f>Raw_Data!G175</f>
        <v>Furniture</v>
      </c>
      <c r="H175" t="str">
        <f>Raw_Data!H175</f>
        <v>North</v>
      </c>
      <c r="I175" t="str">
        <f>Raw_Data!I175</f>
        <v>Marketplace</v>
      </c>
      <c r="J175" t="str">
        <f>Raw_Data!J175</f>
        <v>Ioana Pavel</v>
      </c>
      <c r="K175">
        <f>Raw_Data!K175</f>
        <v>1</v>
      </c>
      <c r="L175" s="12">
        <f>Raw_Data!L175</f>
        <v>1450</v>
      </c>
      <c r="M175" s="12">
        <f>Raw_Data!M175</f>
        <v>1030</v>
      </c>
      <c r="N175" s="14">
        <f>Raw_Data!N175</f>
        <v>0</v>
      </c>
      <c r="O175" t="str">
        <f>Raw_Data!O175</f>
        <v>Online Wallet</v>
      </c>
      <c r="P175" t="str">
        <f>Raw_Data!P175</f>
        <v>Completed</v>
      </c>
      <c r="Q175" s="12">
        <f t="shared" si="22"/>
        <v>1450</v>
      </c>
      <c r="R175" s="12">
        <f t="shared" si="23"/>
        <v>1450</v>
      </c>
      <c r="S175" s="12">
        <f t="shared" si="24"/>
        <v>1030</v>
      </c>
      <c r="T175" s="12">
        <f t="shared" si="25"/>
        <v>420</v>
      </c>
      <c r="U175" s="11">
        <f t="shared" si="26"/>
        <v>0.28965517241379313</v>
      </c>
      <c r="V175" t="str">
        <f>IF(OR(A175="",COUNTIF($A$2:$A$301,A175)&gt;1,C175="",D175="",ISERROR(SEARCH("@",D175)),ISERROR(SEARCH(".",D175)),COUNTIF(Lookups!$A$2:$A$11,E175)=0,F175="",H175="",K175&lt;=0,L175&lt;0,M175&lt;0,N175&lt;0,N175&gt;0.5,COUNTIF(Lookups!$K$2:$K$4,P175)=0),"ERROR","VALID")</f>
        <v>VALID</v>
      </c>
      <c r="W175" s="2" t="str">
        <f>IF(A175="","Missing Order ID; ","")&amp;IF(COUNTIF($A$2:$A$301,A175)&gt;1,"Duplicate Order ID; ","")&amp;IF(C175="","Missing Customer ID; ","")&amp;IF(OR(D175="",ISERROR(SEARCH("@",D175)),ISERROR(SEARCH(".",D175))),"Invalid Email; ","")&amp;IF(COUNTIF(Lookups!$A$2:$A$11,E175)=0,"Unknown Product; ","")&amp;IF(F175="","Missing Product Name; ","")&amp;IF(H175="","Missing Region; ","")&amp;IF(K175&lt;=0,"Invalid Quantity; ","")&amp;IF(L175&lt;0,"Invalid Price; ","")&amp;IF(M175&lt;0,"Invalid Cost; ","")&amp;IF(OR(N175&lt;0,N175&gt;0.5),"Invalid Discount; ","")&amp;IF(COUNTIF(Lookups!$K$2:$K$4,P175)=0,"Invalid Status; ","")</f>
        <v/>
      </c>
      <c r="X175" s="15" t="str">
        <f t="shared" si="27"/>
        <v>2025-11</v>
      </c>
      <c r="Y175" t="str">
        <f t="shared" si="28"/>
        <v>Q4</v>
      </c>
      <c r="Z175" t="str">
        <f>IF(R175&gt;=Settings!$B$9,"High Value Customer",IF(R175&gt;=Settings!$B$10,"Medium Value Customer","Standard Customer"))</f>
        <v>Standard Customer</v>
      </c>
      <c r="AA175" t="str">
        <f>IF(R175&gt;=Settings!$B$9,"Large Order",IF(R175&gt;=Settings!$B$10,"Medium Order","Small Order"))</f>
        <v>Small Order</v>
      </c>
      <c r="AB175" t="str">
        <f>IF(N175=0,"No Discount",IF(N175&lt;=0.1,"Low Discount",IF(N175&lt;=Settings!$B$8,"Medium Discount","High Discount")))</f>
        <v>No Discount</v>
      </c>
      <c r="AC175" t="str">
        <f t="shared" si="29"/>
        <v>Profitable</v>
      </c>
      <c r="AD175" t="str">
        <f>IFERROR(VLOOKUP(E175,Lookups!$A$2:$E$11,2,FALSE),"Product Not Found")</f>
        <v>Standing Desk</v>
      </c>
      <c r="AE175" t="str">
        <f>IFERROR(VLOOKUP(E175,Lookups!$A$2:$E$11,3,FALSE),"Category Not Found")</f>
        <v>Furniture</v>
      </c>
      <c r="AF175" t="str">
        <f>IFERROR(IF(L175=VLOOKUP(E175,Lookups!$A$2:$E$11,4,FALSE),"Price OK","Price Mismatch"),"Product Missing")</f>
        <v>Price OK</v>
      </c>
      <c r="AG175" t="str">
        <f t="shared" si="30"/>
        <v>Valid Email</v>
      </c>
      <c r="AH175" t="str">
        <f t="shared" si="31"/>
        <v>READY FOR REPORTING</v>
      </c>
      <c r="AI175" t="str">
        <f>IF(AND(LEFT(A175,LEN(Settings!$B$13))=Settings!$B$13,LEN(A175)=9),"Valid Format","Invalid Format")</f>
        <v>Valid Format</v>
      </c>
      <c r="AJ175" t="str">
        <f>IF(LEFT(C175,LEN(Settings!$B$14))=Settings!$B$14,"Valid Format","Invalid Format")</f>
        <v>Valid Format</v>
      </c>
      <c r="AK175" t="str">
        <f>IF(COUNTIF(Master_Data!$G$5:$G$14,C175)=1,"Known Customer","Customer Not in Master")</f>
        <v>Customer Not in Master</v>
      </c>
      <c r="AL175" t="str">
        <f>IF(U175&gt;=Settings!$B$11,"Target Met","Below Target")</f>
        <v>Target Met</v>
      </c>
      <c r="AM175" t="str">
        <f>IF(YEAR(B175)=Settings!$B$5,"Correct Year","Wrong Year")</f>
        <v>Correct Year</v>
      </c>
      <c r="AN175">
        <f t="shared" si="32"/>
        <v>4</v>
      </c>
    </row>
    <row r="176" spans="1:40">
      <c r="A176" t="str">
        <f>Raw_Data!A176</f>
        <v>ORD-10175</v>
      </c>
      <c r="B176" s="13">
        <f>Raw_Data!B176</f>
        <v>45805</v>
      </c>
      <c r="C176" t="str">
        <f>Raw_Data!C176</f>
        <v>C1007</v>
      </c>
      <c r="D176" t="str">
        <f>Raw_Data!D176</f>
        <v>client62@example.com</v>
      </c>
      <c r="E176" t="str">
        <f>Raw_Data!E176</f>
        <v>P1002</v>
      </c>
      <c r="F176" t="str">
        <f>Raw_Data!F176</f>
        <v>Wireless Mouse</v>
      </c>
      <c r="G176" t="str">
        <f>Raw_Data!G176</f>
        <v>Accessories</v>
      </c>
      <c r="H176" t="str">
        <f>Raw_Data!H176</f>
        <v>East</v>
      </c>
      <c r="I176" t="str">
        <f>Raw_Data!I176</f>
        <v>Marketplace</v>
      </c>
      <c r="J176" t="str">
        <f>Raw_Data!J176</f>
        <v>Ioana Pavel</v>
      </c>
      <c r="K176">
        <f>Raw_Data!K176</f>
        <v>4</v>
      </c>
      <c r="L176" s="12">
        <f>Raw_Data!L176</f>
        <v>85</v>
      </c>
      <c r="M176" s="12">
        <f>Raw_Data!M176</f>
        <v>44</v>
      </c>
      <c r="N176" s="14">
        <f>Raw_Data!N176</f>
        <v>0.05</v>
      </c>
      <c r="O176" t="str">
        <f>Raw_Data!O176</f>
        <v>Online Wallet</v>
      </c>
      <c r="P176" t="str">
        <f>Raw_Data!P176</f>
        <v>Completed</v>
      </c>
      <c r="Q176" s="12">
        <f t="shared" si="22"/>
        <v>340</v>
      </c>
      <c r="R176" s="12">
        <f t="shared" si="23"/>
        <v>323</v>
      </c>
      <c r="S176" s="12">
        <f t="shared" si="24"/>
        <v>176</v>
      </c>
      <c r="T176" s="12">
        <f t="shared" si="25"/>
        <v>147</v>
      </c>
      <c r="U176" s="11">
        <f t="shared" si="26"/>
        <v>0.45510835913312692</v>
      </c>
      <c r="V176" t="str">
        <f>IF(OR(A176="",COUNTIF($A$2:$A$301,A176)&gt;1,C176="",D176="",ISERROR(SEARCH("@",D176)),ISERROR(SEARCH(".",D176)),COUNTIF(Lookups!$A$2:$A$11,E176)=0,F176="",H176="",K176&lt;=0,L176&lt;0,M176&lt;0,N176&lt;0,N176&gt;0.5,COUNTIF(Lookups!$K$2:$K$4,P176)=0),"ERROR","VALID")</f>
        <v>VALID</v>
      </c>
      <c r="W176" s="2" t="str">
        <f>IF(A176="","Missing Order ID; ","")&amp;IF(COUNTIF($A$2:$A$301,A176)&gt;1,"Duplicate Order ID; ","")&amp;IF(C176="","Missing Customer ID; ","")&amp;IF(OR(D176="",ISERROR(SEARCH("@",D176)),ISERROR(SEARCH(".",D176))),"Invalid Email; ","")&amp;IF(COUNTIF(Lookups!$A$2:$A$11,E176)=0,"Unknown Product; ","")&amp;IF(F176="","Missing Product Name; ","")&amp;IF(H176="","Missing Region; ","")&amp;IF(K176&lt;=0,"Invalid Quantity; ","")&amp;IF(L176&lt;0,"Invalid Price; ","")&amp;IF(M176&lt;0,"Invalid Cost; ","")&amp;IF(OR(N176&lt;0,N176&gt;0.5),"Invalid Discount; ","")&amp;IF(COUNTIF(Lookups!$K$2:$K$4,P176)=0,"Invalid Status; ","")</f>
        <v/>
      </c>
      <c r="X176" s="15" t="str">
        <f t="shared" si="27"/>
        <v>2025-05</v>
      </c>
      <c r="Y176" t="str">
        <f t="shared" si="28"/>
        <v>Q2</v>
      </c>
      <c r="Z176" t="str">
        <f>IF(R176&gt;=Settings!$B$9,"High Value Customer",IF(R176&gt;=Settings!$B$10,"Medium Value Customer","Standard Customer"))</f>
        <v>Standard Customer</v>
      </c>
      <c r="AA176" t="str">
        <f>IF(R176&gt;=Settings!$B$9,"Large Order",IF(R176&gt;=Settings!$B$10,"Medium Order","Small Order"))</f>
        <v>Small Order</v>
      </c>
      <c r="AB176" t="str">
        <f>IF(N176=0,"No Discount",IF(N176&lt;=0.1,"Low Discount",IF(N176&lt;=Settings!$B$8,"Medium Discount","High Discount")))</f>
        <v>Low Discount</v>
      </c>
      <c r="AC176" t="str">
        <f t="shared" si="29"/>
        <v>Profitable</v>
      </c>
      <c r="AD176" t="str">
        <f>IFERROR(VLOOKUP(E176,Lookups!$A$2:$E$11,2,FALSE),"Product Not Found")</f>
        <v>Wireless Mouse</v>
      </c>
      <c r="AE176" t="str">
        <f>IFERROR(VLOOKUP(E176,Lookups!$A$2:$E$11,3,FALSE),"Category Not Found")</f>
        <v>Accessories</v>
      </c>
      <c r="AF176" t="str">
        <f>IFERROR(IF(L176=VLOOKUP(E176,Lookups!$A$2:$E$11,4,FALSE),"Price OK","Price Mismatch"),"Product Missing")</f>
        <v>Price OK</v>
      </c>
      <c r="AG176" t="str">
        <f t="shared" si="30"/>
        <v>Valid Email</v>
      </c>
      <c r="AH176" t="str">
        <f t="shared" si="31"/>
        <v>READY FOR REPORTING</v>
      </c>
      <c r="AI176" t="str">
        <f>IF(AND(LEFT(A176,LEN(Settings!$B$13))=Settings!$B$13,LEN(A176)=9),"Valid Format","Invalid Format")</f>
        <v>Valid Format</v>
      </c>
      <c r="AJ176" t="str">
        <f>IF(LEFT(C176,LEN(Settings!$B$14))=Settings!$B$14,"Valid Format","Invalid Format")</f>
        <v>Valid Format</v>
      </c>
      <c r="AK176" t="str">
        <f>IF(COUNTIF(Master_Data!$G$5:$G$14,C176)=1,"Known Customer","Customer Not in Master")</f>
        <v>Known Customer</v>
      </c>
      <c r="AL176" t="str">
        <f>IF(U176&gt;=Settings!$B$11,"Target Met","Below Target")</f>
        <v>Target Met</v>
      </c>
      <c r="AM176" t="str">
        <f>IF(YEAR(B176)=Settings!$B$5,"Correct Year","Wrong Year")</f>
        <v>Correct Year</v>
      </c>
      <c r="AN176">
        <f t="shared" si="32"/>
        <v>5</v>
      </c>
    </row>
    <row r="177" spans="1:40">
      <c r="A177" t="str">
        <f>Raw_Data!A177</f>
        <v>ORD-10176</v>
      </c>
      <c r="B177" s="13">
        <f>Raw_Data!B177</f>
        <v>45714</v>
      </c>
      <c r="C177" t="str">
        <f>Raw_Data!C177</f>
        <v>C1003</v>
      </c>
      <c r="D177" t="str">
        <f>Raw_Data!D177</f>
        <v>client162@example.com</v>
      </c>
      <c r="E177" t="str">
        <f>Raw_Data!E177</f>
        <v>P1002</v>
      </c>
      <c r="F177" t="str">
        <f>Raw_Data!F177</f>
        <v>Wireless Mouse</v>
      </c>
      <c r="G177" t="str">
        <f>Raw_Data!G177</f>
        <v>Accessories</v>
      </c>
      <c r="H177" t="str">
        <f>Raw_Data!H177</f>
        <v>West</v>
      </c>
      <c r="I177" t="str">
        <f>Raw_Data!I177</f>
        <v>Marketplace</v>
      </c>
      <c r="J177" t="str">
        <f>Raw_Data!J177</f>
        <v>Maria Ionescu</v>
      </c>
      <c r="K177">
        <f>Raw_Data!K177</f>
        <v>8</v>
      </c>
      <c r="L177" s="12">
        <f>Raw_Data!L177</f>
        <v>85</v>
      </c>
      <c r="M177" s="12">
        <f>Raw_Data!M177</f>
        <v>44</v>
      </c>
      <c r="N177" s="14">
        <f>Raw_Data!N177</f>
        <v>0.15</v>
      </c>
      <c r="O177" t="str">
        <f>Raw_Data!O177</f>
        <v>Bank Transfer</v>
      </c>
      <c r="P177" t="str">
        <f>Raw_Data!P177</f>
        <v>Returned</v>
      </c>
      <c r="Q177" s="12">
        <f t="shared" si="22"/>
        <v>680</v>
      </c>
      <c r="R177" s="12">
        <f t="shared" si="23"/>
        <v>578</v>
      </c>
      <c r="S177" s="12">
        <f t="shared" si="24"/>
        <v>352</v>
      </c>
      <c r="T177" s="12">
        <f t="shared" si="25"/>
        <v>226</v>
      </c>
      <c r="U177" s="11">
        <f t="shared" si="26"/>
        <v>0.39100346020761245</v>
      </c>
      <c r="V177" t="str">
        <f>IF(OR(A177="",COUNTIF($A$2:$A$301,A177)&gt;1,C177="",D177="",ISERROR(SEARCH("@",D177)),ISERROR(SEARCH(".",D177)),COUNTIF(Lookups!$A$2:$A$11,E177)=0,F177="",H177="",K177&lt;=0,L177&lt;0,M177&lt;0,N177&lt;0,N177&gt;0.5,COUNTIF(Lookups!$K$2:$K$4,P177)=0),"ERROR","VALID")</f>
        <v>VALID</v>
      </c>
      <c r="W177" s="2" t="str">
        <f>IF(A177="","Missing Order ID; ","")&amp;IF(COUNTIF($A$2:$A$301,A177)&gt;1,"Duplicate Order ID; ","")&amp;IF(C177="","Missing Customer ID; ","")&amp;IF(OR(D177="",ISERROR(SEARCH("@",D177)),ISERROR(SEARCH(".",D177))),"Invalid Email; ","")&amp;IF(COUNTIF(Lookups!$A$2:$A$11,E177)=0,"Unknown Product; ","")&amp;IF(F177="","Missing Product Name; ","")&amp;IF(H177="","Missing Region; ","")&amp;IF(K177&lt;=0,"Invalid Quantity; ","")&amp;IF(L177&lt;0,"Invalid Price; ","")&amp;IF(M177&lt;0,"Invalid Cost; ","")&amp;IF(OR(N177&lt;0,N177&gt;0.5),"Invalid Discount; ","")&amp;IF(COUNTIF(Lookups!$K$2:$K$4,P177)=0,"Invalid Status; ","")</f>
        <v/>
      </c>
      <c r="X177" s="15" t="str">
        <f t="shared" si="27"/>
        <v>2025-02</v>
      </c>
      <c r="Y177" t="str">
        <f t="shared" si="28"/>
        <v>Q1</v>
      </c>
      <c r="Z177" t="str">
        <f>IF(R177&gt;=Settings!$B$9,"High Value Customer",IF(R177&gt;=Settings!$B$10,"Medium Value Customer","Standard Customer"))</f>
        <v>Standard Customer</v>
      </c>
      <c r="AA177" t="str">
        <f>IF(R177&gt;=Settings!$B$9,"Large Order",IF(R177&gt;=Settings!$B$10,"Medium Order","Small Order"))</f>
        <v>Small Order</v>
      </c>
      <c r="AB177" t="str">
        <f>IF(N177=0,"No Discount",IF(N177&lt;=0.1,"Low Discount",IF(N177&lt;=Settings!$B$8,"Medium Discount","High Discount")))</f>
        <v>Medium Discount</v>
      </c>
      <c r="AC177" t="str">
        <f t="shared" si="29"/>
        <v>Profitable</v>
      </c>
      <c r="AD177" t="str">
        <f>IFERROR(VLOOKUP(E177,Lookups!$A$2:$E$11,2,FALSE),"Product Not Found")</f>
        <v>Wireless Mouse</v>
      </c>
      <c r="AE177" t="str">
        <f>IFERROR(VLOOKUP(E177,Lookups!$A$2:$E$11,3,FALSE),"Category Not Found")</f>
        <v>Accessories</v>
      </c>
      <c r="AF177" t="str">
        <f>IFERROR(IF(L177=VLOOKUP(E177,Lookups!$A$2:$E$11,4,FALSE),"Price OK","Price Mismatch"),"Product Missing")</f>
        <v>Price OK</v>
      </c>
      <c r="AG177" t="str">
        <f t="shared" si="30"/>
        <v>Valid Email</v>
      </c>
      <c r="AH177" t="str">
        <f t="shared" si="31"/>
        <v>READY FOR REPORTING</v>
      </c>
      <c r="AI177" t="str">
        <f>IF(AND(LEFT(A177,LEN(Settings!$B$13))=Settings!$B$13,LEN(A177)=9),"Valid Format","Invalid Format")</f>
        <v>Valid Format</v>
      </c>
      <c r="AJ177" t="str">
        <f>IF(LEFT(C177,LEN(Settings!$B$14))=Settings!$B$14,"Valid Format","Invalid Format")</f>
        <v>Valid Format</v>
      </c>
      <c r="AK177" t="str">
        <f>IF(COUNTIF(Master_Data!$G$5:$G$14,C177)=1,"Known Customer","Customer Not in Master")</f>
        <v>Known Customer</v>
      </c>
      <c r="AL177" t="str">
        <f>IF(U177&gt;=Settings!$B$11,"Target Met","Below Target")</f>
        <v>Target Met</v>
      </c>
      <c r="AM177" t="str">
        <f>IF(YEAR(B177)=Settings!$B$5,"Correct Year","Wrong Year")</f>
        <v>Correct Year</v>
      </c>
      <c r="AN177">
        <f t="shared" si="32"/>
        <v>5</v>
      </c>
    </row>
    <row r="178" spans="1:40">
      <c r="A178" t="str">
        <f>Raw_Data!A178</f>
        <v>ORD-10177</v>
      </c>
      <c r="B178" s="13">
        <f>Raw_Data!B178</f>
        <v>45877</v>
      </c>
      <c r="C178" t="str">
        <f>Raw_Data!C178</f>
        <v>C1031</v>
      </c>
      <c r="D178" t="str">
        <f>Raw_Data!D178</f>
        <v>client147@example.com</v>
      </c>
      <c r="E178" t="str">
        <f>Raw_Data!E178</f>
        <v>P1005</v>
      </c>
      <c r="F178" t="str">
        <f>Raw_Data!F178</f>
        <v>24-inch Monitor</v>
      </c>
      <c r="G178" t="str">
        <f>Raw_Data!G178</f>
        <v>Electronics</v>
      </c>
      <c r="H178" t="str">
        <f>Raw_Data!H178</f>
        <v>East</v>
      </c>
      <c r="I178" t="str">
        <f>Raw_Data!I178</f>
        <v>Online</v>
      </c>
      <c r="J178" t="str">
        <f>Raw_Data!J178</f>
        <v>Andrei Pop</v>
      </c>
      <c r="K178">
        <f>Raw_Data!K178</f>
        <v>1</v>
      </c>
      <c r="L178" s="12">
        <f>Raw_Data!L178</f>
        <v>720</v>
      </c>
      <c r="M178" s="12">
        <f>Raw_Data!M178</f>
        <v>510</v>
      </c>
      <c r="N178" s="14">
        <f>Raw_Data!N178</f>
        <v>0.15</v>
      </c>
      <c r="O178" t="str">
        <f>Raw_Data!O178</f>
        <v>Cash</v>
      </c>
      <c r="P178" t="str">
        <f>Raw_Data!P178</f>
        <v>Completed</v>
      </c>
      <c r="Q178" s="12">
        <f t="shared" si="22"/>
        <v>720</v>
      </c>
      <c r="R178" s="12">
        <f t="shared" si="23"/>
        <v>612</v>
      </c>
      <c r="S178" s="12">
        <f t="shared" si="24"/>
        <v>510</v>
      </c>
      <c r="T178" s="12">
        <f t="shared" si="25"/>
        <v>102</v>
      </c>
      <c r="U178" s="11">
        <f t="shared" si="26"/>
        <v>0.16666666666666666</v>
      </c>
      <c r="V178" t="str">
        <f>IF(OR(A178="",COUNTIF($A$2:$A$301,A178)&gt;1,C178="",D178="",ISERROR(SEARCH("@",D178)),ISERROR(SEARCH(".",D178)),COUNTIF(Lookups!$A$2:$A$11,E178)=0,F178="",H178="",K178&lt;=0,L178&lt;0,M178&lt;0,N178&lt;0,N178&gt;0.5,COUNTIF(Lookups!$K$2:$K$4,P178)=0),"ERROR","VALID")</f>
        <v>VALID</v>
      </c>
      <c r="W178" s="2" t="str">
        <f>IF(A178="","Missing Order ID; ","")&amp;IF(COUNTIF($A$2:$A$301,A178)&gt;1,"Duplicate Order ID; ","")&amp;IF(C178="","Missing Customer ID; ","")&amp;IF(OR(D178="",ISERROR(SEARCH("@",D178)),ISERROR(SEARCH(".",D178))),"Invalid Email; ","")&amp;IF(COUNTIF(Lookups!$A$2:$A$11,E178)=0,"Unknown Product; ","")&amp;IF(F178="","Missing Product Name; ","")&amp;IF(H178="","Missing Region; ","")&amp;IF(K178&lt;=0,"Invalid Quantity; ","")&amp;IF(L178&lt;0,"Invalid Price; ","")&amp;IF(M178&lt;0,"Invalid Cost; ","")&amp;IF(OR(N178&lt;0,N178&gt;0.5),"Invalid Discount; ","")&amp;IF(COUNTIF(Lookups!$K$2:$K$4,P178)=0,"Invalid Status; ","")</f>
        <v/>
      </c>
      <c r="X178" s="15" t="str">
        <f t="shared" si="27"/>
        <v>2025-08</v>
      </c>
      <c r="Y178" t="str">
        <f t="shared" si="28"/>
        <v>Q3</v>
      </c>
      <c r="Z178" t="str">
        <f>IF(R178&gt;=Settings!$B$9,"High Value Customer",IF(R178&gt;=Settings!$B$10,"Medium Value Customer","Standard Customer"))</f>
        <v>Standard Customer</v>
      </c>
      <c r="AA178" t="str">
        <f>IF(R178&gt;=Settings!$B$9,"Large Order",IF(R178&gt;=Settings!$B$10,"Medium Order","Small Order"))</f>
        <v>Small Order</v>
      </c>
      <c r="AB178" t="str">
        <f>IF(N178=0,"No Discount",IF(N178&lt;=0.1,"Low Discount",IF(N178&lt;=Settings!$B$8,"Medium Discount","High Discount")))</f>
        <v>Medium Discount</v>
      </c>
      <c r="AC178" t="str">
        <f t="shared" si="29"/>
        <v>Profitable</v>
      </c>
      <c r="AD178" t="str">
        <f>IFERROR(VLOOKUP(E178,Lookups!$A$2:$E$11,2,FALSE),"Product Not Found")</f>
        <v>24-inch Monitor</v>
      </c>
      <c r="AE178" t="str">
        <f>IFERROR(VLOOKUP(E178,Lookups!$A$2:$E$11,3,FALSE),"Category Not Found")</f>
        <v>Electronics</v>
      </c>
      <c r="AF178" t="str">
        <f>IFERROR(IF(L178=VLOOKUP(E178,Lookups!$A$2:$E$11,4,FALSE),"Price OK","Price Mismatch"),"Product Missing")</f>
        <v>Price OK</v>
      </c>
      <c r="AG178" t="str">
        <f t="shared" si="30"/>
        <v>Valid Email</v>
      </c>
      <c r="AH178" t="str">
        <f t="shared" si="31"/>
        <v>READY FOR REPORTING</v>
      </c>
      <c r="AI178" t="str">
        <f>IF(AND(LEFT(A178,LEN(Settings!$B$13))=Settings!$B$13,LEN(A178)=9),"Valid Format","Invalid Format")</f>
        <v>Valid Format</v>
      </c>
      <c r="AJ178" t="str">
        <f>IF(LEFT(C178,LEN(Settings!$B$14))=Settings!$B$14,"Valid Format","Invalid Format")</f>
        <v>Valid Format</v>
      </c>
      <c r="AK178" t="str">
        <f>IF(COUNTIF(Master_Data!$G$5:$G$14,C178)=1,"Known Customer","Customer Not in Master")</f>
        <v>Customer Not in Master</v>
      </c>
      <c r="AL178" t="str">
        <f>IF(U178&gt;=Settings!$B$11,"Target Met","Below Target")</f>
        <v>Below Target</v>
      </c>
      <c r="AM178" t="str">
        <f>IF(YEAR(B178)=Settings!$B$5,"Correct Year","Wrong Year")</f>
        <v>Correct Year</v>
      </c>
      <c r="AN178">
        <f t="shared" si="32"/>
        <v>3</v>
      </c>
    </row>
    <row r="179" spans="1:40">
      <c r="A179" t="str">
        <f>Raw_Data!A179</f>
        <v>ORD-10178</v>
      </c>
      <c r="B179" s="13">
        <f>Raw_Data!B179</f>
        <v>45927</v>
      </c>
      <c r="C179" t="str">
        <f>Raw_Data!C179</f>
        <v>C1071</v>
      </c>
      <c r="D179" t="str">
        <f>Raw_Data!D179</f>
        <v>client6@example.com</v>
      </c>
      <c r="E179" t="str">
        <f>Raw_Data!E179</f>
        <v>P1002</v>
      </c>
      <c r="F179" t="str">
        <f>Raw_Data!F179</f>
        <v>Wireless Mouse</v>
      </c>
      <c r="G179" t="str">
        <f>Raw_Data!G179</f>
        <v>Accessories</v>
      </c>
      <c r="H179" t="str">
        <f>Raw_Data!H179</f>
        <v>East</v>
      </c>
      <c r="I179" t="str">
        <f>Raw_Data!I179</f>
        <v>Store</v>
      </c>
      <c r="J179" t="str">
        <f>Raw_Data!J179</f>
        <v>Andrei Pop</v>
      </c>
      <c r="K179">
        <f>Raw_Data!K179</f>
        <v>9</v>
      </c>
      <c r="L179" s="12">
        <f>Raw_Data!L179</f>
        <v>85</v>
      </c>
      <c r="M179" s="12">
        <f>Raw_Data!M179</f>
        <v>44</v>
      </c>
      <c r="N179" s="14">
        <f>Raw_Data!N179</f>
        <v>0.15</v>
      </c>
      <c r="O179" t="str">
        <f>Raw_Data!O179</f>
        <v>Online Wallet</v>
      </c>
      <c r="P179" t="str">
        <f>Raw_Data!P179</f>
        <v>Returned</v>
      </c>
      <c r="Q179" s="12">
        <f t="shared" si="22"/>
        <v>765</v>
      </c>
      <c r="R179" s="12">
        <f t="shared" si="23"/>
        <v>650.25</v>
      </c>
      <c r="S179" s="12">
        <f t="shared" si="24"/>
        <v>396</v>
      </c>
      <c r="T179" s="12">
        <f t="shared" si="25"/>
        <v>254.25</v>
      </c>
      <c r="U179" s="11">
        <f t="shared" si="26"/>
        <v>0.39100346020761245</v>
      </c>
      <c r="V179" t="str">
        <f>IF(OR(A179="",COUNTIF($A$2:$A$301,A179)&gt;1,C179="",D179="",ISERROR(SEARCH("@",D179)),ISERROR(SEARCH(".",D179)),COUNTIF(Lookups!$A$2:$A$11,E179)=0,F179="",H179="",K179&lt;=0,L179&lt;0,M179&lt;0,N179&lt;0,N179&gt;0.5,COUNTIF(Lookups!$K$2:$K$4,P179)=0),"ERROR","VALID")</f>
        <v>VALID</v>
      </c>
      <c r="W179" s="2" t="str">
        <f>IF(A179="","Missing Order ID; ","")&amp;IF(COUNTIF($A$2:$A$301,A179)&gt;1,"Duplicate Order ID; ","")&amp;IF(C179="","Missing Customer ID; ","")&amp;IF(OR(D179="",ISERROR(SEARCH("@",D179)),ISERROR(SEARCH(".",D179))),"Invalid Email; ","")&amp;IF(COUNTIF(Lookups!$A$2:$A$11,E179)=0,"Unknown Product; ","")&amp;IF(F179="","Missing Product Name; ","")&amp;IF(H179="","Missing Region; ","")&amp;IF(K179&lt;=0,"Invalid Quantity; ","")&amp;IF(L179&lt;0,"Invalid Price; ","")&amp;IF(M179&lt;0,"Invalid Cost; ","")&amp;IF(OR(N179&lt;0,N179&gt;0.5),"Invalid Discount; ","")&amp;IF(COUNTIF(Lookups!$K$2:$K$4,P179)=0,"Invalid Status; ","")</f>
        <v/>
      </c>
      <c r="X179" s="15" t="str">
        <f t="shared" si="27"/>
        <v>2025-09</v>
      </c>
      <c r="Y179" t="str">
        <f t="shared" si="28"/>
        <v>Q3</v>
      </c>
      <c r="Z179" t="str">
        <f>IF(R179&gt;=Settings!$B$9,"High Value Customer",IF(R179&gt;=Settings!$B$10,"Medium Value Customer","Standard Customer"))</f>
        <v>Standard Customer</v>
      </c>
      <c r="AA179" t="str">
        <f>IF(R179&gt;=Settings!$B$9,"Large Order",IF(R179&gt;=Settings!$B$10,"Medium Order","Small Order"))</f>
        <v>Small Order</v>
      </c>
      <c r="AB179" t="str">
        <f>IF(N179=0,"No Discount",IF(N179&lt;=0.1,"Low Discount",IF(N179&lt;=Settings!$B$8,"Medium Discount","High Discount")))</f>
        <v>Medium Discount</v>
      </c>
      <c r="AC179" t="str">
        <f t="shared" si="29"/>
        <v>Profitable</v>
      </c>
      <c r="AD179" t="str">
        <f>IFERROR(VLOOKUP(E179,Lookups!$A$2:$E$11,2,FALSE),"Product Not Found")</f>
        <v>Wireless Mouse</v>
      </c>
      <c r="AE179" t="str">
        <f>IFERROR(VLOOKUP(E179,Lookups!$A$2:$E$11,3,FALSE),"Category Not Found")</f>
        <v>Accessories</v>
      </c>
      <c r="AF179" t="str">
        <f>IFERROR(IF(L179=VLOOKUP(E179,Lookups!$A$2:$E$11,4,FALSE),"Price OK","Price Mismatch"),"Product Missing")</f>
        <v>Price OK</v>
      </c>
      <c r="AG179" t="str">
        <f t="shared" si="30"/>
        <v>Valid Email</v>
      </c>
      <c r="AH179" t="str">
        <f t="shared" si="31"/>
        <v>READY FOR REPORTING</v>
      </c>
      <c r="AI179" t="str">
        <f>IF(AND(LEFT(A179,LEN(Settings!$B$13))=Settings!$B$13,LEN(A179)=9),"Valid Format","Invalid Format")</f>
        <v>Valid Format</v>
      </c>
      <c r="AJ179" t="str">
        <f>IF(LEFT(C179,LEN(Settings!$B$14))=Settings!$B$14,"Valid Format","Invalid Format")</f>
        <v>Valid Format</v>
      </c>
      <c r="AK179" t="str">
        <f>IF(COUNTIF(Master_Data!$G$5:$G$14,C179)=1,"Known Customer","Customer Not in Master")</f>
        <v>Customer Not in Master</v>
      </c>
      <c r="AL179" t="str">
        <f>IF(U179&gt;=Settings!$B$11,"Target Met","Below Target")</f>
        <v>Target Met</v>
      </c>
      <c r="AM179" t="str">
        <f>IF(YEAR(B179)=Settings!$B$5,"Correct Year","Wrong Year")</f>
        <v>Correct Year</v>
      </c>
      <c r="AN179">
        <f t="shared" si="32"/>
        <v>4</v>
      </c>
    </row>
    <row r="180" spans="1:40">
      <c r="A180" t="str">
        <f>Raw_Data!A180</f>
        <v>ORD-10179</v>
      </c>
      <c r="B180" s="13">
        <f>Raw_Data!B180</f>
        <v>45787</v>
      </c>
      <c r="C180" t="str">
        <f>Raw_Data!C180</f>
        <v>C1101</v>
      </c>
      <c r="D180" t="str">
        <f>Raw_Data!D180</f>
        <v>client18@example.com</v>
      </c>
      <c r="E180" t="str">
        <f>Raw_Data!E180</f>
        <v>P1006</v>
      </c>
      <c r="F180" t="str">
        <f>Raw_Data!F180</f>
        <v>27-inch Monitor</v>
      </c>
      <c r="G180" t="str">
        <f>Raw_Data!G180</f>
        <v>Electronics</v>
      </c>
      <c r="H180" t="str">
        <f>Raw_Data!H180</f>
        <v>South</v>
      </c>
      <c r="I180" t="str">
        <f>Raw_Data!I180</f>
        <v>Online</v>
      </c>
      <c r="J180" t="str">
        <f>Raw_Data!J180</f>
        <v>Andrei Pop</v>
      </c>
      <c r="K180">
        <f>Raw_Data!K180</f>
        <v>12</v>
      </c>
      <c r="L180" s="12">
        <f>Raw_Data!L180</f>
        <v>1090</v>
      </c>
      <c r="M180" s="12">
        <f>Raw_Data!M180</f>
        <v>790</v>
      </c>
      <c r="N180" s="14">
        <f>Raw_Data!N180</f>
        <v>0</v>
      </c>
      <c r="O180" t="str">
        <f>Raw_Data!O180</f>
        <v>Cash</v>
      </c>
      <c r="P180" t="str">
        <f>Raw_Data!P180</f>
        <v>Completed</v>
      </c>
      <c r="Q180" s="12">
        <f t="shared" si="22"/>
        <v>13080</v>
      </c>
      <c r="R180" s="12">
        <f t="shared" si="23"/>
        <v>13080</v>
      </c>
      <c r="S180" s="12">
        <f t="shared" si="24"/>
        <v>9480</v>
      </c>
      <c r="T180" s="12">
        <f t="shared" si="25"/>
        <v>3600</v>
      </c>
      <c r="U180" s="11">
        <f t="shared" si="26"/>
        <v>0.27522935779816515</v>
      </c>
      <c r="V180" t="str">
        <f>IF(OR(A180="",COUNTIF($A$2:$A$301,A180)&gt;1,C180="",D180="",ISERROR(SEARCH("@",D180)),ISERROR(SEARCH(".",D180)),COUNTIF(Lookups!$A$2:$A$11,E180)=0,F180="",H180="",K180&lt;=0,L180&lt;0,M180&lt;0,N180&lt;0,N180&gt;0.5,COUNTIF(Lookups!$K$2:$K$4,P180)=0),"ERROR","VALID")</f>
        <v>VALID</v>
      </c>
      <c r="W180" s="2" t="str">
        <f>IF(A180="","Missing Order ID; ","")&amp;IF(COUNTIF($A$2:$A$301,A180)&gt;1,"Duplicate Order ID; ","")&amp;IF(C180="","Missing Customer ID; ","")&amp;IF(OR(D180="",ISERROR(SEARCH("@",D180)),ISERROR(SEARCH(".",D180))),"Invalid Email; ","")&amp;IF(COUNTIF(Lookups!$A$2:$A$11,E180)=0,"Unknown Product; ","")&amp;IF(F180="","Missing Product Name; ","")&amp;IF(H180="","Missing Region; ","")&amp;IF(K180&lt;=0,"Invalid Quantity; ","")&amp;IF(L180&lt;0,"Invalid Price; ","")&amp;IF(M180&lt;0,"Invalid Cost; ","")&amp;IF(OR(N180&lt;0,N180&gt;0.5),"Invalid Discount; ","")&amp;IF(COUNTIF(Lookups!$K$2:$K$4,P180)=0,"Invalid Status; ","")</f>
        <v/>
      </c>
      <c r="X180" s="15" t="str">
        <f t="shared" si="27"/>
        <v>2025-05</v>
      </c>
      <c r="Y180" t="str">
        <f t="shared" si="28"/>
        <v>Q2</v>
      </c>
      <c r="Z180" t="str">
        <f>IF(R180&gt;=Settings!$B$9,"High Value Customer",IF(R180&gt;=Settings!$B$10,"Medium Value Customer","Standard Customer"))</f>
        <v>High Value Customer</v>
      </c>
      <c r="AA180" t="str">
        <f>IF(R180&gt;=Settings!$B$9,"Large Order",IF(R180&gt;=Settings!$B$10,"Medium Order","Small Order"))</f>
        <v>Large Order</v>
      </c>
      <c r="AB180" t="str">
        <f>IF(N180=0,"No Discount",IF(N180&lt;=0.1,"Low Discount",IF(N180&lt;=Settings!$B$8,"Medium Discount","High Discount")))</f>
        <v>No Discount</v>
      </c>
      <c r="AC180" t="str">
        <f t="shared" si="29"/>
        <v>Profitable</v>
      </c>
      <c r="AD180" t="str">
        <f>IFERROR(VLOOKUP(E180,Lookups!$A$2:$E$11,2,FALSE),"Product Not Found")</f>
        <v>27-inch Monitor</v>
      </c>
      <c r="AE180" t="str">
        <f>IFERROR(VLOOKUP(E180,Lookups!$A$2:$E$11,3,FALSE),"Category Not Found")</f>
        <v>Electronics</v>
      </c>
      <c r="AF180" t="str">
        <f>IFERROR(IF(L180=VLOOKUP(E180,Lookups!$A$2:$E$11,4,FALSE),"Price OK","Price Mismatch"),"Product Missing")</f>
        <v>Price OK</v>
      </c>
      <c r="AG180" t="str">
        <f t="shared" si="30"/>
        <v>Valid Email</v>
      </c>
      <c r="AH180" t="str">
        <f t="shared" si="31"/>
        <v>READY FOR REPORTING</v>
      </c>
      <c r="AI180" t="str">
        <f>IF(AND(LEFT(A180,LEN(Settings!$B$13))=Settings!$B$13,LEN(A180)=9),"Valid Format","Invalid Format")</f>
        <v>Valid Format</v>
      </c>
      <c r="AJ180" t="str">
        <f>IF(LEFT(C180,LEN(Settings!$B$14))=Settings!$B$14,"Valid Format","Invalid Format")</f>
        <v>Valid Format</v>
      </c>
      <c r="AK180" t="str">
        <f>IF(COUNTIF(Master_Data!$G$5:$G$14,C180)=1,"Known Customer","Customer Not in Master")</f>
        <v>Customer Not in Master</v>
      </c>
      <c r="AL180" t="str">
        <f>IF(U180&gt;=Settings!$B$11,"Target Met","Below Target")</f>
        <v>Target Met</v>
      </c>
      <c r="AM180" t="str">
        <f>IF(YEAR(B180)=Settings!$B$5,"Correct Year","Wrong Year")</f>
        <v>Correct Year</v>
      </c>
      <c r="AN180">
        <f t="shared" si="32"/>
        <v>4</v>
      </c>
    </row>
    <row r="181" spans="1:40">
      <c r="A181" t="str">
        <f>Raw_Data!A181</f>
        <v>ORD-10180</v>
      </c>
      <c r="B181" s="13">
        <f>Raw_Data!B181</f>
        <v>45680</v>
      </c>
      <c r="C181" t="str">
        <f>Raw_Data!C181</f>
        <v>C1105</v>
      </c>
      <c r="D181" t="str">
        <f>Raw_Data!D181</f>
        <v>client165@example.com</v>
      </c>
      <c r="E181" t="str">
        <f>Raw_Data!E181</f>
        <v>P1003</v>
      </c>
      <c r="F181" t="str">
        <f>Raw_Data!F181</f>
        <v>Mechanical Keyboard</v>
      </c>
      <c r="G181" t="str">
        <f>Raw_Data!G181</f>
        <v>Accessories</v>
      </c>
      <c r="H181" t="str">
        <f>Raw_Data!H181</f>
        <v>North</v>
      </c>
      <c r="I181" t="str">
        <f>Raw_Data!I181</f>
        <v>Marketplace</v>
      </c>
      <c r="J181" t="str">
        <f>Raw_Data!J181</f>
        <v>Mihai Radu</v>
      </c>
      <c r="K181">
        <f>Raw_Data!K181</f>
        <v>6</v>
      </c>
      <c r="L181" s="12">
        <f>Raw_Data!L181</f>
        <v>265</v>
      </c>
      <c r="M181" s="12">
        <f>Raw_Data!M181</f>
        <v>155</v>
      </c>
      <c r="N181" s="14">
        <f>Raw_Data!N181</f>
        <v>0.15</v>
      </c>
      <c r="O181" t="str">
        <f>Raw_Data!O181</f>
        <v>Online Wallet</v>
      </c>
      <c r="P181" t="str">
        <f>Raw_Data!P181</f>
        <v>Completed</v>
      </c>
      <c r="Q181" s="12">
        <f t="shared" si="22"/>
        <v>1590</v>
      </c>
      <c r="R181" s="12">
        <f t="shared" si="23"/>
        <v>1351.5</v>
      </c>
      <c r="S181" s="12">
        <f t="shared" si="24"/>
        <v>930</v>
      </c>
      <c r="T181" s="12">
        <f t="shared" si="25"/>
        <v>421.5</v>
      </c>
      <c r="U181" s="11">
        <f t="shared" si="26"/>
        <v>0.31187569367369589</v>
      </c>
      <c r="V181" t="str">
        <f>IF(OR(A181="",COUNTIF($A$2:$A$301,A181)&gt;1,C181="",D181="",ISERROR(SEARCH("@",D181)),ISERROR(SEARCH(".",D181)),COUNTIF(Lookups!$A$2:$A$11,E181)=0,F181="",H181="",K181&lt;=0,L181&lt;0,M181&lt;0,N181&lt;0,N181&gt;0.5,COUNTIF(Lookups!$K$2:$K$4,P181)=0),"ERROR","VALID")</f>
        <v>VALID</v>
      </c>
      <c r="W181" s="2" t="str">
        <f>IF(A181="","Missing Order ID; ","")&amp;IF(COUNTIF($A$2:$A$301,A181)&gt;1,"Duplicate Order ID; ","")&amp;IF(C181="","Missing Customer ID; ","")&amp;IF(OR(D181="",ISERROR(SEARCH("@",D181)),ISERROR(SEARCH(".",D181))),"Invalid Email; ","")&amp;IF(COUNTIF(Lookups!$A$2:$A$11,E181)=0,"Unknown Product; ","")&amp;IF(F181="","Missing Product Name; ","")&amp;IF(H181="","Missing Region; ","")&amp;IF(K181&lt;=0,"Invalid Quantity; ","")&amp;IF(L181&lt;0,"Invalid Price; ","")&amp;IF(M181&lt;0,"Invalid Cost; ","")&amp;IF(OR(N181&lt;0,N181&gt;0.5),"Invalid Discount; ","")&amp;IF(COUNTIF(Lookups!$K$2:$K$4,P181)=0,"Invalid Status; ","")</f>
        <v/>
      </c>
      <c r="X181" s="15" t="str">
        <f t="shared" si="27"/>
        <v>2025-01</v>
      </c>
      <c r="Y181" t="str">
        <f t="shared" si="28"/>
        <v>Q1</v>
      </c>
      <c r="Z181" t="str">
        <f>IF(R181&gt;=Settings!$B$9,"High Value Customer",IF(R181&gt;=Settings!$B$10,"Medium Value Customer","Standard Customer"))</f>
        <v>Standard Customer</v>
      </c>
      <c r="AA181" t="str">
        <f>IF(R181&gt;=Settings!$B$9,"Large Order",IF(R181&gt;=Settings!$B$10,"Medium Order","Small Order"))</f>
        <v>Small Order</v>
      </c>
      <c r="AB181" t="str">
        <f>IF(N181=0,"No Discount",IF(N181&lt;=0.1,"Low Discount",IF(N181&lt;=Settings!$B$8,"Medium Discount","High Discount")))</f>
        <v>Medium Discount</v>
      </c>
      <c r="AC181" t="str">
        <f t="shared" si="29"/>
        <v>Profitable</v>
      </c>
      <c r="AD181" t="str">
        <f>IFERROR(VLOOKUP(E181,Lookups!$A$2:$E$11,2,FALSE),"Product Not Found")</f>
        <v>Mechanical Keyboard</v>
      </c>
      <c r="AE181" t="str">
        <f>IFERROR(VLOOKUP(E181,Lookups!$A$2:$E$11,3,FALSE),"Category Not Found")</f>
        <v>Accessories</v>
      </c>
      <c r="AF181" t="str">
        <f>IFERROR(IF(L181=VLOOKUP(E181,Lookups!$A$2:$E$11,4,FALSE),"Price OK","Price Mismatch"),"Product Missing")</f>
        <v>Price OK</v>
      </c>
      <c r="AG181" t="str">
        <f t="shared" si="30"/>
        <v>Valid Email</v>
      </c>
      <c r="AH181" t="str">
        <f t="shared" si="31"/>
        <v>READY FOR REPORTING</v>
      </c>
      <c r="AI181" t="str">
        <f>IF(AND(LEFT(A181,LEN(Settings!$B$13))=Settings!$B$13,LEN(A181)=9),"Valid Format","Invalid Format")</f>
        <v>Valid Format</v>
      </c>
      <c r="AJ181" t="str">
        <f>IF(LEFT(C181,LEN(Settings!$B$14))=Settings!$B$14,"Valid Format","Invalid Format")</f>
        <v>Valid Format</v>
      </c>
      <c r="AK181" t="str">
        <f>IF(COUNTIF(Master_Data!$G$5:$G$14,C181)=1,"Known Customer","Customer Not in Master")</f>
        <v>Customer Not in Master</v>
      </c>
      <c r="AL181" t="str">
        <f>IF(U181&gt;=Settings!$B$11,"Target Met","Below Target")</f>
        <v>Target Met</v>
      </c>
      <c r="AM181" t="str">
        <f>IF(YEAR(B181)=Settings!$B$5,"Correct Year","Wrong Year")</f>
        <v>Correct Year</v>
      </c>
      <c r="AN181">
        <f t="shared" si="32"/>
        <v>4</v>
      </c>
    </row>
    <row r="182" spans="1:40">
      <c r="A182" t="str">
        <f>Raw_Data!A182</f>
        <v>ORD-10181</v>
      </c>
      <c r="B182" s="13">
        <f>Raw_Data!B182</f>
        <v>45727</v>
      </c>
      <c r="C182" t="str">
        <f>Raw_Data!C182</f>
        <v>C1005</v>
      </c>
      <c r="D182" t="str">
        <f>Raw_Data!D182</f>
        <v>client76@example.com</v>
      </c>
      <c r="E182" t="str">
        <f>Raw_Data!E182</f>
        <v>P1003</v>
      </c>
      <c r="F182" t="str">
        <f>Raw_Data!F182</f>
        <v>Mechanical Keyboard</v>
      </c>
      <c r="G182" t="str">
        <f>Raw_Data!G182</f>
        <v>Accessories</v>
      </c>
      <c r="H182" t="str">
        <f>Raw_Data!H182</f>
        <v>North</v>
      </c>
      <c r="I182" t="str">
        <f>Raw_Data!I182</f>
        <v>Online</v>
      </c>
      <c r="J182" t="str">
        <f>Raw_Data!J182</f>
        <v>Maria Ionescu</v>
      </c>
      <c r="K182">
        <f>Raw_Data!K182</f>
        <v>2</v>
      </c>
      <c r="L182" s="12">
        <f>Raw_Data!L182</f>
        <v>265</v>
      </c>
      <c r="M182" s="12">
        <f>Raw_Data!M182</f>
        <v>155</v>
      </c>
      <c r="N182" s="14">
        <f>Raw_Data!N182</f>
        <v>0.2</v>
      </c>
      <c r="O182" t="str">
        <f>Raw_Data!O182</f>
        <v>Card</v>
      </c>
      <c r="P182" t="str">
        <f>Raw_Data!P182</f>
        <v>Completed</v>
      </c>
      <c r="Q182" s="12">
        <f t="shared" si="22"/>
        <v>530</v>
      </c>
      <c r="R182" s="12">
        <f t="shared" si="23"/>
        <v>424</v>
      </c>
      <c r="S182" s="12">
        <f t="shared" si="24"/>
        <v>310</v>
      </c>
      <c r="T182" s="12">
        <f t="shared" si="25"/>
        <v>114</v>
      </c>
      <c r="U182" s="11">
        <f t="shared" si="26"/>
        <v>0.26886792452830188</v>
      </c>
      <c r="V182" t="str">
        <f>IF(OR(A182="",COUNTIF($A$2:$A$301,A182)&gt;1,C182="",D182="",ISERROR(SEARCH("@",D182)),ISERROR(SEARCH(".",D182)),COUNTIF(Lookups!$A$2:$A$11,E182)=0,F182="",H182="",K182&lt;=0,L182&lt;0,M182&lt;0,N182&lt;0,N182&gt;0.5,COUNTIF(Lookups!$K$2:$K$4,P182)=0),"ERROR","VALID")</f>
        <v>VALID</v>
      </c>
      <c r="W182" s="2" t="str">
        <f>IF(A182="","Missing Order ID; ","")&amp;IF(COUNTIF($A$2:$A$301,A182)&gt;1,"Duplicate Order ID; ","")&amp;IF(C182="","Missing Customer ID; ","")&amp;IF(OR(D182="",ISERROR(SEARCH("@",D182)),ISERROR(SEARCH(".",D182))),"Invalid Email; ","")&amp;IF(COUNTIF(Lookups!$A$2:$A$11,E182)=0,"Unknown Product; ","")&amp;IF(F182="","Missing Product Name; ","")&amp;IF(H182="","Missing Region; ","")&amp;IF(K182&lt;=0,"Invalid Quantity; ","")&amp;IF(L182&lt;0,"Invalid Price; ","")&amp;IF(M182&lt;0,"Invalid Cost; ","")&amp;IF(OR(N182&lt;0,N182&gt;0.5),"Invalid Discount; ","")&amp;IF(COUNTIF(Lookups!$K$2:$K$4,P182)=0,"Invalid Status; ","")</f>
        <v/>
      </c>
      <c r="X182" s="15" t="str">
        <f t="shared" si="27"/>
        <v>2025-03</v>
      </c>
      <c r="Y182" t="str">
        <f t="shared" si="28"/>
        <v>Q1</v>
      </c>
      <c r="Z182" t="str">
        <f>IF(R182&gt;=Settings!$B$9,"High Value Customer",IF(R182&gt;=Settings!$B$10,"Medium Value Customer","Standard Customer"))</f>
        <v>Standard Customer</v>
      </c>
      <c r="AA182" t="str">
        <f>IF(R182&gt;=Settings!$B$9,"Large Order",IF(R182&gt;=Settings!$B$10,"Medium Order","Small Order"))</f>
        <v>Small Order</v>
      </c>
      <c r="AB182" t="str">
        <f>IF(N182=0,"No Discount",IF(N182&lt;=0.1,"Low Discount",IF(N182&lt;=Settings!$B$8,"Medium Discount","High Discount")))</f>
        <v>Medium Discount</v>
      </c>
      <c r="AC182" t="str">
        <f t="shared" si="29"/>
        <v>Profitable</v>
      </c>
      <c r="AD182" t="str">
        <f>IFERROR(VLOOKUP(E182,Lookups!$A$2:$E$11,2,FALSE),"Product Not Found")</f>
        <v>Mechanical Keyboard</v>
      </c>
      <c r="AE182" t="str">
        <f>IFERROR(VLOOKUP(E182,Lookups!$A$2:$E$11,3,FALSE),"Category Not Found")</f>
        <v>Accessories</v>
      </c>
      <c r="AF182" t="str">
        <f>IFERROR(IF(L182=VLOOKUP(E182,Lookups!$A$2:$E$11,4,FALSE),"Price OK","Price Mismatch"),"Product Missing")</f>
        <v>Price OK</v>
      </c>
      <c r="AG182" t="str">
        <f t="shared" si="30"/>
        <v>Valid Email</v>
      </c>
      <c r="AH182" t="str">
        <f t="shared" si="31"/>
        <v>READY FOR REPORTING</v>
      </c>
      <c r="AI182" t="str">
        <f>IF(AND(LEFT(A182,LEN(Settings!$B$13))=Settings!$B$13,LEN(A182)=9),"Valid Format","Invalid Format")</f>
        <v>Valid Format</v>
      </c>
      <c r="AJ182" t="str">
        <f>IF(LEFT(C182,LEN(Settings!$B$14))=Settings!$B$14,"Valid Format","Invalid Format")</f>
        <v>Valid Format</v>
      </c>
      <c r="AK182" t="str">
        <f>IF(COUNTIF(Master_Data!$G$5:$G$14,C182)=1,"Known Customer","Customer Not in Master")</f>
        <v>Known Customer</v>
      </c>
      <c r="AL182" t="str">
        <f>IF(U182&gt;=Settings!$B$11,"Target Met","Below Target")</f>
        <v>Target Met</v>
      </c>
      <c r="AM182" t="str">
        <f>IF(YEAR(B182)=Settings!$B$5,"Correct Year","Wrong Year")</f>
        <v>Correct Year</v>
      </c>
      <c r="AN182">
        <f t="shared" si="32"/>
        <v>5</v>
      </c>
    </row>
    <row r="183" spans="1:40">
      <c r="A183" t="str">
        <f>Raw_Data!A183</f>
        <v>ORD-10182</v>
      </c>
      <c r="B183" s="13">
        <f>Raw_Data!B183</f>
        <v>45816</v>
      </c>
      <c r="C183" t="str">
        <f>Raw_Data!C183</f>
        <v>C1061</v>
      </c>
      <c r="D183" t="str">
        <f>Raw_Data!D183</f>
        <v>client65@example.com</v>
      </c>
      <c r="E183" t="str">
        <f>Raw_Data!E183</f>
        <v>P1006</v>
      </c>
      <c r="F183" t="str">
        <f>Raw_Data!F183</f>
        <v>27-inch Monitor</v>
      </c>
      <c r="G183" t="str">
        <f>Raw_Data!G183</f>
        <v>Electronics</v>
      </c>
      <c r="H183" t="str">
        <f>Raw_Data!H183</f>
        <v>Bucharest</v>
      </c>
      <c r="I183" t="str">
        <f>Raw_Data!I183</f>
        <v>Marketplace</v>
      </c>
      <c r="J183" t="str">
        <f>Raw_Data!J183</f>
        <v>Maria Ionescu</v>
      </c>
      <c r="K183">
        <f>Raw_Data!K183</f>
        <v>9</v>
      </c>
      <c r="L183" s="12">
        <f>Raw_Data!L183</f>
        <v>1090</v>
      </c>
      <c r="M183" s="12">
        <f>Raw_Data!M183</f>
        <v>790</v>
      </c>
      <c r="N183" s="14">
        <f>Raw_Data!N183</f>
        <v>0.1</v>
      </c>
      <c r="O183" t="str">
        <f>Raw_Data!O183</f>
        <v>Cash</v>
      </c>
      <c r="P183" t="str">
        <f>Raw_Data!P183</f>
        <v>Returned</v>
      </c>
      <c r="Q183" s="12">
        <f t="shared" si="22"/>
        <v>9810</v>
      </c>
      <c r="R183" s="12">
        <f t="shared" si="23"/>
        <v>8829</v>
      </c>
      <c r="S183" s="12">
        <f t="shared" si="24"/>
        <v>7110</v>
      </c>
      <c r="T183" s="12">
        <f t="shared" si="25"/>
        <v>1719</v>
      </c>
      <c r="U183" s="11">
        <f t="shared" si="26"/>
        <v>0.19469928644240569</v>
      </c>
      <c r="V183" t="str">
        <f>IF(OR(A183="",COUNTIF($A$2:$A$301,A183)&gt;1,C183="",D183="",ISERROR(SEARCH("@",D183)),ISERROR(SEARCH(".",D183)),COUNTIF(Lookups!$A$2:$A$11,E183)=0,F183="",H183="",K183&lt;=0,L183&lt;0,M183&lt;0,N183&lt;0,N183&gt;0.5,COUNTIF(Lookups!$K$2:$K$4,P183)=0),"ERROR","VALID")</f>
        <v>VALID</v>
      </c>
      <c r="W183" s="2" t="str">
        <f>IF(A183="","Missing Order ID; ","")&amp;IF(COUNTIF($A$2:$A$301,A183)&gt;1,"Duplicate Order ID; ","")&amp;IF(C183="","Missing Customer ID; ","")&amp;IF(OR(D183="",ISERROR(SEARCH("@",D183)),ISERROR(SEARCH(".",D183))),"Invalid Email; ","")&amp;IF(COUNTIF(Lookups!$A$2:$A$11,E183)=0,"Unknown Product; ","")&amp;IF(F183="","Missing Product Name; ","")&amp;IF(H183="","Missing Region; ","")&amp;IF(K183&lt;=0,"Invalid Quantity; ","")&amp;IF(L183&lt;0,"Invalid Price; ","")&amp;IF(M183&lt;0,"Invalid Cost; ","")&amp;IF(OR(N183&lt;0,N183&gt;0.5),"Invalid Discount; ","")&amp;IF(COUNTIF(Lookups!$K$2:$K$4,P183)=0,"Invalid Status; ","")</f>
        <v/>
      </c>
      <c r="X183" s="15" t="str">
        <f t="shared" si="27"/>
        <v>2025-06</v>
      </c>
      <c r="Y183" t="str">
        <f t="shared" si="28"/>
        <v>Q2</v>
      </c>
      <c r="Z183" t="str">
        <f>IF(R183&gt;=Settings!$B$9,"High Value Customer",IF(R183&gt;=Settings!$B$10,"Medium Value Customer","Standard Customer"))</f>
        <v>High Value Customer</v>
      </c>
      <c r="AA183" t="str">
        <f>IF(R183&gt;=Settings!$B$9,"Large Order",IF(R183&gt;=Settings!$B$10,"Medium Order","Small Order"))</f>
        <v>Large Order</v>
      </c>
      <c r="AB183" t="str">
        <f>IF(N183=0,"No Discount",IF(N183&lt;=0.1,"Low Discount",IF(N183&lt;=Settings!$B$8,"Medium Discount","High Discount")))</f>
        <v>Low Discount</v>
      </c>
      <c r="AC183" t="str">
        <f t="shared" si="29"/>
        <v>Profitable</v>
      </c>
      <c r="AD183" t="str">
        <f>IFERROR(VLOOKUP(E183,Lookups!$A$2:$E$11,2,FALSE),"Product Not Found")</f>
        <v>27-inch Monitor</v>
      </c>
      <c r="AE183" t="str">
        <f>IFERROR(VLOOKUP(E183,Lookups!$A$2:$E$11,3,FALSE),"Category Not Found")</f>
        <v>Electronics</v>
      </c>
      <c r="AF183" t="str">
        <f>IFERROR(IF(L183=VLOOKUP(E183,Lookups!$A$2:$E$11,4,FALSE),"Price OK","Price Mismatch"),"Product Missing")</f>
        <v>Price OK</v>
      </c>
      <c r="AG183" t="str">
        <f t="shared" si="30"/>
        <v>Valid Email</v>
      </c>
      <c r="AH183" t="str">
        <f t="shared" si="31"/>
        <v>READY FOR REPORTING</v>
      </c>
      <c r="AI183" t="str">
        <f>IF(AND(LEFT(A183,LEN(Settings!$B$13))=Settings!$B$13,LEN(A183)=9),"Valid Format","Invalid Format")</f>
        <v>Valid Format</v>
      </c>
      <c r="AJ183" t="str">
        <f>IF(LEFT(C183,LEN(Settings!$B$14))=Settings!$B$14,"Valid Format","Invalid Format")</f>
        <v>Valid Format</v>
      </c>
      <c r="AK183" t="str">
        <f>IF(COUNTIF(Master_Data!$G$5:$G$14,C183)=1,"Known Customer","Customer Not in Master")</f>
        <v>Customer Not in Master</v>
      </c>
      <c r="AL183" t="str">
        <f>IF(U183&gt;=Settings!$B$11,"Target Met","Below Target")</f>
        <v>Below Target</v>
      </c>
      <c r="AM183" t="str">
        <f>IF(YEAR(B183)=Settings!$B$5,"Correct Year","Wrong Year")</f>
        <v>Correct Year</v>
      </c>
      <c r="AN183">
        <f t="shared" si="32"/>
        <v>3</v>
      </c>
    </row>
    <row r="184" spans="1:40">
      <c r="A184" t="str">
        <f>Raw_Data!A184</f>
        <v>ORD-10183</v>
      </c>
      <c r="B184" s="13">
        <f>Raw_Data!B184</f>
        <v>45682</v>
      </c>
      <c r="C184" t="str">
        <f>Raw_Data!C184</f>
        <v>C1016</v>
      </c>
      <c r="D184" t="str">
        <f>Raw_Data!D184</f>
        <v>client95@example.com</v>
      </c>
      <c r="E184" t="str">
        <f>Raw_Data!E184</f>
        <v>P1006</v>
      </c>
      <c r="F184" t="str">
        <f>Raw_Data!F184</f>
        <v>27-inch Monitor</v>
      </c>
      <c r="G184" t="str">
        <f>Raw_Data!G184</f>
        <v>Electronics</v>
      </c>
      <c r="H184" t="str">
        <f>Raw_Data!H184</f>
        <v>East</v>
      </c>
      <c r="I184" t="str">
        <f>Raw_Data!I184</f>
        <v>Store</v>
      </c>
      <c r="J184" t="str">
        <f>Raw_Data!J184</f>
        <v>Mihai Radu</v>
      </c>
      <c r="K184">
        <f>Raw_Data!K184</f>
        <v>11</v>
      </c>
      <c r="L184" s="12">
        <f>Raw_Data!L184</f>
        <v>1090</v>
      </c>
      <c r="M184" s="12">
        <f>Raw_Data!M184</f>
        <v>790</v>
      </c>
      <c r="N184" s="14">
        <f>Raw_Data!N184</f>
        <v>0.05</v>
      </c>
      <c r="O184" t="str">
        <f>Raw_Data!O184</f>
        <v>Online Wallet</v>
      </c>
      <c r="P184" t="str">
        <f>Raw_Data!P184</f>
        <v>Completed</v>
      </c>
      <c r="Q184" s="12">
        <f t="shared" si="22"/>
        <v>11990</v>
      </c>
      <c r="R184" s="12">
        <f t="shared" si="23"/>
        <v>11390.5</v>
      </c>
      <c r="S184" s="12">
        <f t="shared" si="24"/>
        <v>8690</v>
      </c>
      <c r="T184" s="12">
        <f t="shared" si="25"/>
        <v>2700.5</v>
      </c>
      <c r="U184" s="11">
        <f t="shared" si="26"/>
        <v>0.23708353452438435</v>
      </c>
      <c r="V184" t="str">
        <f>IF(OR(A184="",COUNTIF($A$2:$A$301,A184)&gt;1,C184="",D184="",ISERROR(SEARCH("@",D184)),ISERROR(SEARCH(".",D184)),COUNTIF(Lookups!$A$2:$A$11,E184)=0,F184="",H184="",K184&lt;=0,L184&lt;0,M184&lt;0,N184&lt;0,N184&gt;0.5,COUNTIF(Lookups!$K$2:$K$4,P184)=0),"ERROR","VALID")</f>
        <v>VALID</v>
      </c>
      <c r="W184" s="2" t="str">
        <f>IF(A184="","Missing Order ID; ","")&amp;IF(COUNTIF($A$2:$A$301,A184)&gt;1,"Duplicate Order ID; ","")&amp;IF(C184="","Missing Customer ID; ","")&amp;IF(OR(D184="",ISERROR(SEARCH("@",D184)),ISERROR(SEARCH(".",D184))),"Invalid Email; ","")&amp;IF(COUNTIF(Lookups!$A$2:$A$11,E184)=0,"Unknown Product; ","")&amp;IF(F184="","Missing Product Name; ","")&amp;IF(H184="","Missing Region; ","")&amp;IF(K184&lt;=0,"Invalid Quantity; ","")&amp;IF(L184&lt;0,"Invalid Price; ","")&amp;IF(M184&lt;0,"Invalid Cost; ","")&amp;IF(OR(N184&lt;0,N184&gt;0.5),"Invalid Discount; ","")&amp;IF(COUNTIF(Lookups!$K$2:$K$4,P184)=0,"Invalid Status; ","")</f>
        <v/>
      </c>
      <c r="X184" s="15" t="str">
        <f t="shared" si="27"/>
        <v>2025-01</v>
      </c>
      <c r="Y184" t="str">
        <f t="shared" si="28"/>
        <v>Q1</v>
      </c>
      <c r="Z184" t="str">
        <f>IF(R184&gt;=Settings!$B$9,"High Value Customer",IF(R184&gt;=Settings!$B$10,"Medium Value Customer","Standard Customer"))</f>
        <v>High Value Customer</v>
      </c>
      <c r="AA184" t="str">
        <f>IF(R184&gt;=Settings!$B$9,"Large Order",IF(R184&gt;=Settings!$B$10,"Medium Order","Small Order"))</f>
        <v>Large Order</v>
      </c>
      <c r="AB184" t="str">
        <f>IF(N184=0,"No Discount",IF(N184&lt;=0.1,"Low Discount",IF(N184&lt;=Settings!$B$8,"Medium Discount","High Discount")))</f>
        <v>Low Discount</v>
      </c>
      <c r="AC184" t="str">
        <f t="shared" si="29"/>
        <v>Profitable</v>
      </c>
      <c r="AD184" t="str">
        <f>IFERROR(VLOOKUP(E184,Lookups!$A$2:$E$11,2,FALSE),"Product Not Found")</f>
        <v>27-inch Monitor</v>
      </c>
      <c r="AE184" t="str">
        <f>IFERROR(VLOOKUP(E184,Lookups!$A$2:$E$11,3,FALSE),"Category Not Found")</f>
        <v>Electronics</v>
      </c>
      <c r="AF184" t="str">
        <f>IFERROR(IF(L184=VLOOKUP(E184,Lookups!$A$2:$E$11,4,FALSE),"Price OK","Price Mismatch"),"Product Missing")</f>
        <v>Price OK</v>
      </c>
      <c r="AG184" t="str">
        <f t="shared" si="30"/>
        <v>Valid Email</v>
      </c>
      <c r="AH184" t="str">
        <f t="shared" si="31"/>
        <v>READY FOR REPORTING</v>
      </c>
      <c r="AI184" t="str">
        <f>IF(AND(LEFT(A184,LEN(Settings!$B$13))=Settings!$B$13,LEN(A184)=9),"Valid Format","Invalid Format")</f>
        <v>Valid Format</v>
      </c>
      <c r="AJ184" t="str">
        <f>IF(LEFT(C184,LEN(Settings!$B$14))=Settings!$B$14,"Valid Format","Invalid Format")</f>
        <v>Valid Format</v>
      </c>
      <c r="AK184" t="str">
        <f>IF(COUNTIF(Master_Data!$G$5:$G$14,C184)=1,"Known Customer","Customer Not in Master")</f>
        <v>Customer Not in Master</v>
      </c>
      <c r="AL184" t="str">
        <f>IF(U184&gt;=Settings!$B$11,"Target Met","Below Target")</f>
        <v>Below Target</v>
      </c>
      <c r="AM184" t="str">
        <f>IF(YEAR(B184)=Settings!$B$5,"Correct Year","Wrong Year")</f>
        <v>Correct Year</v>
      </c>
      <c r="AN184">
        <f t="shared" si="32"/>
        <v>3</v>
      </c>
    </row>
    <row r="185" spans="1:40">
      <c r="A185" t="str">
        <f>Raw_Data!A185</f>
        <v>ORD-10184</v>
      </c>
      <c r="B185" s="13">
        <f>Raw_Data!B185</f>
        <v>45753</v>
      </c>
      <c r="C185" t="str">
        <f>Raw_Data!C185</f>
        <v>C1048</v>
      </c>
      <c r="D185" t="str">
        <f>Raw_Data!D185</f>
        <v>client133@example.com</v>
      </c>
      <c r="E185" t="str">
        <f>Raw_Data!E185</f>
        <v>P1006</v>
      </c>
      <c r="F185" t="str">
        <f>Raw_Data!F185</f>
        <v>27-inch Monitor</v>
      </c>
      <c r="G185" t="str">
        <f>Raw_Data!G185</f>
        <v>Electronics</v>
      </c>
      <c r="H185" t="str">
        <f>Raw_Data!H185</f>
        <v>South</v>
      </c>
      <c r="I185" t="str">
        <f>Raw_Data!I185</f>
        <v>Online</v>
      </c>
      <c r="J185" t="str">
        <f>Raw_Data!J185</f>
        <v>Mihai Radu</v>
      </c>
      <c r="K185">
        <f>Raw_Data!K185</f>
        <v>8</v>
      </c>
      <c r="L185" s="12">
        <f>Raw_Data!L185</f>
        <v>1090</v>
      </c>
      <c r="M185" s="12">
        <f>Raw_Data!M185</f>
        <v>790</v>
      </c>
      <c r="N185" s="14">
        <f>Raw_Data!N185</f>
        <v>0.2</v>
      </c>
      <c r="O185" t="str">
        <f>Raw_Data!O185</f>
        <v>Card</v>
      </c>
      <c r="P185" t="str">
        <f>Raw_Data!P185</f>
        <v>Completed</v>
      </c>
      <c r="Q185" s="12">
        <f t="shared" si="22"/>
        <v>8720</v>
      </c>
      <c r="R185" s="12">
        <f t="shared" si="23"/>
        <v>6976</v>
      </c>
      <c r="S185" s="12">
        <f t="shared" si="24"/>
        <v>6320</v>
      </c>
      <c r="T185" s="12">
        <f t="shared" si="25"/>
        <v>656</v>
      </c>
      <c r="U185" s="11">
        <f t="shared" si="26"/>
        <v>9.4036697247706427E-2</v>
      </c>
      <c r="V185" t="str">
        <f>IF(OR(A185="",COUNTIF($A$2:$A$301,A185)&gt;1,C185="",D185="",ISERROR(SEARCH("@",D185)),ISERROR(SEARCH(".",D185)),COUNTIF(Lookups!$A$2:$A$11,E185)=0,F185="",H185="",K185&lt;=0,L185&lt;0,M185&lt;0,N185&lt;0,N185&gt;0.5,COUNTIF(Lookups!$K$2:$K$4,P185)=0),"ERROR","VALID")</f>
        <v>VALID</v>
      </c>
      <c r="W185" s="2" t="str">
        <f>IF(A185="","Missing Order ID; ","")&amp;IF(COUNTIF($A$2:$A$301,A185)&gt;1,"Duplicate Order ID; ","")&amp;IF(C185="","Missing Customer ID; ","")&amp;IF(OR(D185="",ISERROR(SEARCH("@",D185)),ISERROR(SEARCH(".",D185))),"Invalid Email; ","")&amp;IF(COUNTIF(Lookups!$A$2:$A$11,E185)=0,"Unknown Product; ","")&amp;IF(F185="","Missing Product Name; ","")&amp;IF(H185="","Missing Region; ","")&amp;IF(K185&lt;=0,"Invalid Quantity; ","")&amp;IF(L185&lt;0,"Invalid Price; ","")&amp;IF(M185&lt;0,"Invalid Cost; ","")&amp;IF(OR(N185&lt;0,N185&gt;0.5),"Invalid Discount; ","")&amp;IF(COUNTIF(Lookups!$K$2:$K$4,P185)=0,"Invalid Status; ","")</f>
        <v/>
      </c>
      <c r="X185" s="15" t="str">
        <f t="shared" si="27"/>
        <v>2025-04</v>
      </c>
      <c r="Y185" t="str">
        <f t="shared" si="28"/>
        <v>Q2</v>
      </c>
      <c r="Z185" t="str">
        <f>IF(R185&gt;=Settings!$B$9,"High Value Customer",IF(R185&gt;=Settings!$B$10,"Medium Value Customer","Standard Customer"))</f>
        <v>High Value Customer</v>
      </c>
      <c r="AA185" t="str">
        <f>IF(R185&gt;=Settings!$B$9,"Large Order",IF(R185&gt;=Settings!$B$10,"Medium Order","Small Order"))</f>
        <v>Large Order</v>
      </c>
      <c r="AB185" t="str">
        <f>IF(N185=0,"No Discount",IF(N185&lt;=0.1,"Low Discount",IF(N185&lt;=Settings!$B$8,"Medium Discount","High Discount")))</f>
        <v>Medium Discount</v>
      </c>
      <c r="AC185" t="str">
        <f t="shared" si="29"/>
        <v>Profitable</v>
      </c>
      <c r="AD185" t="str">
        <f>IFERROR(VLOOKUP(E185,Lookups!$A$2:$E$11,2,FALSE),"Product Not Found")</f>
        <v>27-inch Monitor</v>
      </c>
      <c r="AE185" t="str">
        <f>IFERROR(VLOOKUP(E185,Lookups!$A$2:$E$11,3,FALSE),"Category Not Found")</f>
        <v>Electronics</v>
      </c>
      <c r="AF185" t="str">
        <f>IFERROR(IF(L185=VLOOKUP(E185,Lookups!$A$2:$E$11,4,FALSE),"Price OK","Price Mismatch"),"Product Missing")</f>
        <v>Price OK</v>
      </c>
      <c r="AG185" t="str">
        <f t="shared" si="30"/>
        <v>Valid Email</v>
      </c>
      <c r="AH185" t="str">
        <f t="shared" si="31"/>
        <v>READY FOR REPORTING</v>
      </c>
      <c r="AI185" t="str">
        <f>IF(AND(LEFT(A185,LEN(Settings!$B$13))=Settings!$B$13,LEN(A185)=9),"Valid Format","Invalid Format")</f>
        <v>Valid Format</v>
      </c>
      <c r="AJ185" t="str">
        <f>IF(LEFT(C185,LEN(Settings!$B$14))=Settings!$B$14,"Valid Format","Invalid Format")</f>
        <v>Valid Format</v>
      </c>
      <c r="AK185" t="str">
        <f>IF(COUNTIF(Master_Data!$G$5:$G$14,C185)=1,"Known Customer","Customer Not in Master")</f>
        <v>Customer Not in Master</v>
      </c>
      <c r="AL185" t="str">
        <f>IF(U185&gt;=Settings!$B$11,"Target Met","Below Target")</f>
        <v>Below Target</v>
      </c>
      <c r="AM185" t="str">
        <f>IF(YEAR(B185)=Settings!$B$5,"Correct Year","Wrong Year")</f>
        <v>Correct Year</v>
      </c>
      <c r="AN185">
        <f t="shared" si="32"/>
        <v>3</v>
      </c>
    </row>
    <row r="186" spans="1:40">
      <c r="A186" t="str">
        <f>Raw_Data!A186</f>
        <v>ORD-10185</v>
      </c>
      <c r="B186" s="13">
        <f>Raw_Data!B186</f>
        <v>45966</v>
      </c>
      <c r="C186" t="str">
        <f>Raw_Data!C186</f>
        <v>C1042</v>
      </c>
      <c r="D186" t="str">
        <f>Raw_Data!D186</f>
        <v>client27@example.com</v>
      </c>
      <c r="E186" t="str">
        <f>Raw_Data!E186</f>
        <v>P1007</v>
      </c>
      <c r="F186" t="str">
        <f>Raw_Data!F186</f>
        <v>Office Chair</v>
      </c>
      <c r="G186" t="str">
        <f>Raw_Data!G186</f>
        <v>Furniture</v>
      </c>
      <c r="H186" t="str">
        <f>Raw_Data!H186</f>
        <v>Bucharest</v>
      </c>
      <c r="I186" t="str">
        <f>Raw_Data!I186</f>
        <v>Store</v>
      </c>
      <c r="J186" t="str">
        <f>Raw_Data!J186</f>
        <v>Elena Stan</v>
      </c>
      <c r="K186">
        <f>Raw_Data!K186</f>
        <v>3</v>
      </c>
      <c r="L186" s="12">
        <f>Raw_Data!L186</f>
        <v>840</v>
      </c>
      <c r="M186" s="12">
        <f>Raw_Data!M186</f>
        <v>590</v>
      </c>
      <c r="N186" s="14">
        <f>Raw_Data!N186</f>
        <v>0.15</v>
      </c>
      <c r="O186" t="str">
        <f>Raw_Data!O186</f>
        <v>Cash</v>
      </c>
      <c r="P186" t="str">
        <f>Raw_Data!P186</f>
        <v>Completed</v>
      </c>
      <c r="Q186" s="12">
        <f t="shared" si="22"/>
        <v>2520</v>
      </c>
      <c r="R186" s="12">
        <f t="shared" si="23"/>
        <v>2142</v>
      </c>
      <c r="S186" s="12">
        <f t="shared" si="24"/>
        <v>1770</v>
      </c>
      <c r="T186" s="12">
        <f t="shared" si="25"/>
        <v>372</v>
      </c>
      <c r="U186" s="11">
        <f t="shared" si="26"/>
        <v>0.17366946778711484</v>
      </c>
      <c r="V186" t="str">
        <f>IF(OR(A186="",COUNTIF($A$2:$A$301,A186)&gt;1,C186="",D186="",ISERROR(SEARCH("@",D186)),ISERROR(SEARCH(".",D186)),COUNTIF(Lookups!$A$2:$A$11,E186)=0,F186="",H186="",K186&lt;=0,L186&lt;0,M186&lt;0,N186&lt;0,N186&gt;0.5,COUNTIF(Lookups!$K$2:$K$4,P186)=0),"ERROR","VALID")</f>
        <v>VALID</v>
      </c>
      <c r="W186" s="2" t="str">
        <f>IF(A186="","Missing Order ID; ","")&amp;IF(COUNTIF($A$2:$A$301,A186)&gt;1,"Duplicate Order ID; ","")&amp;IF(C186="","Missing Customer ID; ","")&amp;IF(OR(D186="",ISERROR(SEARCH("@",D186)),ISERROR(SEARCH(".",D186))),"Invalid Email; ","")&amp;IF(COUNTIF(Lookups!$A$2:$A$11,E186)=0,"Unknown Product; ","")&amp;IF(F186="","Missing Product Name; ","")&amp;IF(H186="","Missing Region; ","")&amp;IF(K186&lt;=0,"Invalid Quantity; ","")&amp;IF(L186&lt;0,"Invalid Price; ","")&amp;IF(M186&lt;0,"Invalid Cost; ","")&amp;IF(OR(N186&lt;0,N186&gt;0.5),"Invalid Discount; ","")&amp;IF(COUNTIF(Lookups!$K$2:$K$4,P186)=0,"Invalid Status; ","")</f>
        <v/>
      </c>
      <c r="X186" s="15" t="str">
        <f t="shared" si="27"/>
        <v>2025-11</v>
      </c>
      <c r="Y186" t="str">
        <f t="shared" si="28"/>
        <v>Q4</v>
      </c>
      <c r="Z186" t="str">
        <f>IF(R186&gt;=Settings!$B$9,"High Value Customer",IF(R186&gt;=Settings!$B$10,"Medium Value Customer","Standard Customer"))</f>
        <v>Medium Value Customer</v>
      </c>
      <c r="AA186" t="str">
        <f>IF(R186&gt;=Settings!$B$9,"Large Order",IF(R186&gt;=Settings!$B$10,"Medium Order","Small Order"))</f>
        <v>Medium Order</v>
      </c>
      <c r="AB186" t="str">
        <f>IF(N186=0,"No Discount",IF(N186&lt;=0.1,"Low Discount",IF(N186&lt;=Settings!$B$8,"Medium Discount","High Discount")))</f>
        <v>Medium Discount</v>
      </c>
      <c r="AC186" t="str">
        <f t="shared" si="29"/>
        <v>Profitable</v>
      </c>
      <c r="AD186" t="str">
        <f>IFERROR(VLOOKUP(E186,Lookups!$A$2:$E$11,2,FALSE),"Product Not Found")</f>
        <v>Office Chair</v>
      </c>
      <c r="AE186" t="str">
        <f>IFERROR(VLOOKUP(E186,Lookups!$A$2:$E$11,3,FALSE),"Category Not Found")</f>
        <v>Furniture</v>
      </c>
      <c r="AF186" t="str">
        <f>IFERROR(IF(L186=VLOOKUP(E186,Lookups!$A$2:$E$11,4,FALSE),"Price OK","Price Mismatch"),"Product Missing")</f>
        <v>Price OK</v>
      </c>
      <c r="AG186" t="str">
        <f t="shared" si="30"/>
        <v>Valid Email</v>
      </c>
      <c r="AH186" t="str">
        <f t="shared" si="31"/>
        <v>READY FOR REPORTING</v>
      </c>
      <c r="AI186" t="str">
        <f>IF(AND(LEFT(A186,LEN(Settings!$B$13))=Settings!$B$13,LEN(A186)=9),"Valid Format","Invalid Format")</f>
        <v>Valid Format</v>
      </c>
      <c r="AJ186" t="str">
        <f>IF(LEFT(C186,LEN(Settings!$B$14))=Settings!$B$14,"Valid Format","Invalid Format")</f>
        <v>Valid Format</v>
      </c>
      <c r="AK186" t="str">
        <f>IF(COUNTIF(Master_Data!$G$5:$G$14,C186)=1,"Known Customer","Customer Not in Master")</f>
        <v>Customer Not in Master</v>
      </c>
      <c r="AL186" t="str">
        <f>IF(U186&gt;=Settings!$B$11,"Target Met","Below Target")</f>
        <v>Below Target</v>
      </c>
      <c r="AM186" t="str">
        <f>IF(YEAR(B186)=Settings!$B$5,"Correct Year","Wrong Year")</f>
        <v>Correct Year</v>
      </c>
      <c r="AN186">
        <f t="shared" si="32"/>
        <v>3</v>
      </c>
    </row>
    <row r="187" spans="1:40">
      <c r="A187" t="str">
        <f>Raw_Data!A187</f>
        <v>ORD-10186</v>
      </c>
      <c r="B187" s="13">
        <f>Raw_Data!B187</f>
        <v>45966</v>
      </c>
      <c r="C187" t="str">
        <f>Raw_Data!C187</f>
        <v>C1089</v>
      </c>
      <c r="D187" t="str">
        <f>Raw_Data!D187</f>
        <v>client114@example.com</v>
      </c>
      <c r="E187" t="str">
        <f>Raw_Data!E187</f>
        <v>P1008</v>
      </c>
      <c r="F187" t="str">
        <f>Raw_Data!F187</f>
        <v>Standing Desk</v>
      </c>
      <c r="G187" t="str">
        <f>Raw_Data!G187</f>
        <v>Furniture</v>
      </c>
      <c r="H187" t="str">
        <f>Raw_Data!H187</f>
        <v>South</v>
      </c>
      <c r="I187" t="str">
        <f>Raw_Data!I187</f>
        <v>Store</v>
      </c>
      <c r="J187" t="str">
        <f>Raw_Data!J187</f>
        <v>Andrei Pop</v>
      </c>
      <c r="K187">
        <f>Raw_Data!K187</f>
        <v>12</v>
      </c>
      <c r="L187" s="12">
        <f>Raw_Data!L187</f>
        <v>1450</v>
      </c>
      <c r="M187" s="12">
        <f>Raw_Data!M187</f>
        <v>1030</v>
      </c>
      <c r="N187" s="14">
        <f>Raw_Data!N187</f>
        <v>0.1</v>
      </c>
      <c r="O187" t="str">
        <f>Raw_Data!O187</f>
        <v>Cash</v>
      </c>
      <c r="P187" t="str">
        <f>Raw_Data!P187</f>
        <v>Completed</v>
      </c>
      <c r="Q187" s="12">
        <f t="shared" si="22"/>
        <v>17400</v>
      </c>
      <c r="R187" s="12">
        <f t="shared" si="23"/>
        <v>15660</v>
      </c>
      <c r="S187" s="12">
        <f t="shared" si="24"/>
        <v>12360</v>
      </c>
      <c r="T187" s="12">
        <f t="shared" si="25"/>
        <v>3300</v>
      </c>
      <c r="U187" s="11">
        <f t="shared" si="26"/>
        <v>0.21072796934865901</v>
      </c>
      <c r="V187" t="str">
        <f>IF(OR(A187="",COUNTIF($A$2:$A$301,A187)&gt;1,C187="",D187="",ISERROR(SEARCH("@",D187)),ISERROR(SEARCH(".",D187)),COUNTIF(Lookups!$A$2:$A$11,E187)=0,F187="",H187="",K187&lt;=0,L187&lt;0,M187&lt;0,N187&lt;0,N187&gt;0.5,COUNTIF(Lookups!$K$2:$K$4,P187)=0),"ERROR","VALID")</f>
        <v>VALID</v>
      </c>
      <c r="W187" s="2" t="str">
        <f>IF(A187="","Missing Order ID; ","")&amp;IF(COUNTIF($A$2:$A$301,A187)&gt;1,"Duplicate Order ID; ","")&amp;IF(C187="","Missing Customer ID; ","")&amp;IF(OR(D187="",ISERROR(SEARCH("@",D187)),ISERROR(SEARCH(".",D187))),"Invalid Email; ","")&amp;IF(COUNTIF(Lookups!$A$2:$A$11,E187)=0,"Unknown Product; ","")&amp;IF(F187="","Missing Product Name; ","")&amp;IF(H187="","Missing Region; ","")&amp;IF(K187&lt;=0,"Invalid Quantity; ","")&amp;IF(L187&lt;0,"Invalid Price; ","")&amp;IF(M187&lt;0,"Invalid Cost; ","")&amp;IF(OR(N187&lt;0,N187&gt;0.5),"Invalid Discount; ","")&amp;IF(COUNTIF(Lookups!$K$2:$K$4,P187)=0,"Invalid Status; ","")</f>
        <v/>
      </c>
      <c r="X187" s="15" t="str">
        <f t="shared" si="27"/>
        <v>2025-11</v>
      </c>
      <c r="Y187" t="str">
        <f t="shared" si="28"/>
        <v>Q4</v>
      </c>
      <c r="Z187" t="str">
        <f>IF(R187&gt;=Settings!$B$9,"High Value Customer",IF(R187&gt;=Settings!$B$10,"Medium Value Customer","Standard Customer"))</f>
        <v>High Value Customer</v>
      </c>
      <c r="AA187" t="str">
        <f>IF(R187&gt;=Settings!$B$9,"Large Order",IF(R187&gt;=Settings!$B$10,"Medium Order","Small Order"))</f>
        <v>Large Order</v>
      </c>
      <c r="AB187" t="str">
        <f>IF(N187=0,"No Discount",IF(N187&lt;=0.1,"Low Discount",IF(N187&lt;=Settings!$B$8,"Medium Discount","High Discount")))</f>
        <v>Low Discount</v>
      </c>
      <c r="AC187" t="str">
        <f t="shared" si="29"/>
        <v>Profitable</v>
      </c>
      <c r="AD187" t="str">
        <f>IFERROR(VLOOKUP(E187,Lookups!$A$2:$E$11,2,FALSE),"Product Not Found")</f>
        <v>Standing Desk</v>
      </c>
      <c r="AE187" t="str">
        <f>IFERROR(VLOOKUP(E187,Lookups!$A$2:$E$11,3,FALSE),"Category Not Found")</f>
        <v>Furniture</v>
      </c>
      <c r="AF187" t="str">
        <f>IFERROR(IF(L187=VLOOKUP(E187,Lookups!$A$2:$E$11,4,FALSE),"Price OK","Price Mismatch"),"Product Missing")</f>
        <v>Price OK</v>
      </c>
      <c r="AG187" t="str">
        <f t="shared" si="30"/>
        <v>Valid Email</v>
      </c>
      <c r="AH187" t="str">
        <f t="shared" si="31"/>
        <v>READY FOR REPORTING</v>
      </c>
      <c r="AI187" t="str">
        <f>IF(AND(LEFT(A187,LEN(Settings!$B$13))=Settings!$B$13,LEN(A187)=9),"Valid Format","Invalid Format")</f>
        <v>Valid Format</v>
      </c>
      <c r="AJ187" t="str">
        <f>IF(LEFT(C187,LEN(Settings!$B$14))=Settings!$B$14,"Valid Format","Invalid Format")</f>
        <v>Valid Format</v>
      </c>
      <c r="AK187" t="str">
        <f>IF(COUNTIF(Master_Data!$G$5:$G$14,C187)=1,"Known Customer","Customer Not in Master")</f>
        <v>Customer Not in Master</v>
      </c>
      <c r="AL187" t="str">
        <f>IF(U187&gt;=Settings!$B$11,"Target Met","Below Target")</f>
        <v>Below Target</v>
      </c>
      <c r="AM187" t="str">
        <f>IF(YEAR(B187)=Settings!$B$5,"Correct Year","Wrong Year")</f>
        <v>Correct Year</v>
      </c>
      <c r="AN187">
        <f t="shared" si="32"/>
        <v>3</v>
      </c>
    </row>
    <row r="188" spans="1:40">
      <c r="A188" t="str">
        <f>Raw_Data!A188</f>
        <v>ORD-10187</v>
      </c>
      <c r="B188" s="13">
        <f>Raw_Data!B188</f>
        <v>45880</v>
      </c>
      <c r="C188" t="str">
        <f>Raw_Data!C188</f>
        <v>C1010</v>
      </c>
      <c r="D188" t="str">
        <f>Raw_Data!D188</f>
        <v>client172@example.com</v>
      </c>
      <c r="E188" t="str">
        <f>Raw_Data!E188</f>
        <v>P1010</v>
      </c>
      <c r="F188" t="str">
        <f>Raw_Data!F188</f>
        <v>Headset</v>
      </c>
      <c r="G188" t="str">
        <f>Raw_Data!G188</f>
        <v>Electronics</v>
      </c>
      <c r="H188" t="str">
        <f>Raw_Data!H188</f>
        <v>East</v>
      </c>
      <c r="I188" t="str">
        <f>Raw_Data!I188</f>
        <v>Store</v>
      </c>
      <c r="J188" t="str">
        <f>Raw_Data!J188</f>
        <v>Ioana Pavel</v>
      </c>
      <c r="K188">
        <f>Raw_Data!K188</f>
        <v>5</v>
      </c>
      <c r="L188" s="12">
        <f>Raw_Data!L188</f>
        <v>195</v>
      </c>
      <c r="M188" s="12">
        <f>Raw_Data!M188</f>
        <v>105</v>
      </c>
      <c r="N188" s="14">
        <f>Raw_Data!N188</f>
        <v>0.2</v>
      </c>
      <c r="O188" t="str">
        <f>Raw_Data!O188</f>
        <v>Bank Transfer</v>
      </c>
      <c r="P188" t="str">
        <f>Raw_Data!P188</f>
        <v>Completed</v>
      </c>
      <c r="Q188" s="12">
        <f t="shared" si="22"/>
        <v>975</v>
      </c>
      <c r="R188" s="12">
        <f t="shared" si="23"/>
        <v>780</v>
      </c>
      <c r="S188" s="12">
        <f t="shared" si="24"/>
        <v>525</v>
      </c>
      <c r="T188" s="12">
        <f t="shared" si="25"/>
        <v>255</v>
      </c>
      <c r="U188" s="11">
        <f t="shared" si="26"/>
        <v>0.32692307692307693</v>
      </c>
      <c r="V188" t="str">
        <f>IF(OR(A188="",COUNTIF($A$2:$A$301,A188)&gt;1,C188="",D188="",ISERROR(SEARCH("@",D188)),ISERROR(SEARCH(".",D188)),COUNTIF(Lookups!$A$2:$A$11,E188)=0,F188="",H188="",K188&lt;=0,L188&lt;0,M188&lt;0,N188&lt;0,N188&gt;0.5,COUNTIF(Lookups!$K$2:$K$4,P188)=0),"ERROR","VALID")</f>
        <v>VALID</v>
      </c>
      <c r="W188" s="2" t="str">
        <f>IF(A188="","Missing Order ID; ","")&amp;IF(COUNTIF($A$2:$A$301,A188)&gt;1,"Duplicate Order ID; ","")&amp;IF(C188="","Missing Customer ID; ","")&amp;IF(OR(D188="",ISERROR(SEARCH("@",D188)),ISERROR(SEARCH(".",D188))),"Invalid Email; ","")&amp;IF(COUNTIF(Lookups!$A$2:$A$11,E188)=0,"Unknown Product; ","")&amp;IF(F188="","Missing Product Name; ","")&amp;IF(H188="","Missing Region; ","")&amp;IF(K188&lt;=0,"Invalid Quantity; ","")&amp;IF(L188&lt;0,"Invalid Price; ","")&amp;IF(M188&lt;0,"Invalid Cost; ","")&amp;IF(OR(N188&lt;0,N188&gt;0.5),"Invalid Discount; ","")&amp;IF(COUNTIF(Lookups!$K$2:$K$4,P188)=0,"Invalid Status; ","")</f>
        <v/>
      </c>
      <c r="X188" s="15" t="str">
        <f t="shared" si="27"/>
        <v>2025-08</v>
      </c>
      <c r="Y188" t="str">
        <f t="shared" si="28"/>
        <v>Q3</v>
      </c>
      <c r="Z188" t="str">
        <f>IF(R188&gt;=Settings!$B$9,"High Value Customer",IF(R188&gt;=Settings!$B$10,"Medium Value Customer","Standard Customer"))</f>
        <v>Standard Customer</v>
      </c>
      <c r="AA188" t="str">
        <f>IF(R188&gt;=Settings!$B$9,"Large Order",IF(R188&gt;=Settings!$B$10,"Medium Order","Small Order"))</f>
        <v>Small Order</v>
      </c>
      <c r="AB188" t="str">
        <f>IF(N188=0,"No Discount",IF(N188&lt;=0.1,"Low Discount",IF(N188&lt;=Settings!$B$8,"Medium Discount","High Discount")))</f>
        <v>Medium Discount</v>
      </c>
      <c r="AC188" t="str">
        <f t="shared" si="29"/>
        <v>Profitable</v>
      </c>
      <c r="AD188" t="str">
        <f>IFERROR(VLOOKUP(E188,Lookups!$A$2:$E$11,2,FALSE),"Product Not Found")</f>
        <v>Headset</v>
      </c>
      <c r="AE188" t="str">
        <f>IFERROR(VLOOKUP(E188,Lookups!$A$2:$E$11,3,FALSE),"Category Not Found")</f>
        <v>Electronics</v>
      </c>
      <c r="AF188" t="str">
        <f>IFERROR(IF(L188=VLOOKUP(E188,Lookups!$A$2:$E$11,4,FALSE),"Price OK","Price Mismatch"),"Product Missing")</f>
        <v>Price OK</v>
      </c>
      <c r="AG188" t="str">
        <f t="shared" si="30"/>
        <v>Valid Email</v>
      </c>
      <c r="AH188" t="str">
        <f t="shared" si="31"/>
        <v>READY FOR REPORTING</v>
      </c>
      <c r="AI188" t="str">
        <f>IF(AND(LEFT(A188,LEN(Settings!$B$13))=Settings!$B$13,LEN(A188)=9),"Valid Format","Invalid Format")</f>
        <v>Valid Format</v>
      </c>
      <c r="AJ188" t="str">
        <f>IF(LEFT(C188,LEN(Settings!$B$14))=Settings!$B$14,"Valid Format","Invalid Format")</f>
        <v>Valid Format</v>
      </c>
      <c r="AK188" t="str">
        <f>IF(COUNTIF(Master_Data!$G$5:$G$14,C188)=1,"Known Customer","Customer Not in Master")</f>
        <v>Known Customer</v>
      </c>
      <c r="AL188" t="str">
        <f>IF(U188&gt;=Settings!$B$11,"Target Met","Below Target")</f>
        <v>Target Met</v>
      </c>
      <c r="AM188" t="str">
        <f>IF(YEAR(B188)=Settings!$B$5,"Correct Year","Wrong Year")</f>
        <v>Correct Year</v>
      </c>
      <c r="AN188">
        <f t="shared" si="32"/>
        <v>5</v>
      </c>
    </row>
    <row r="189" spans="1:40">
      <c r="A189" t="str">
        <f>Raw_Data!A189</f>
        <v>ORD-10188</v>
      </c>
      <c r="B189" s="13">
        <f>Raw_Data!B189</f>
        <v>45731</v>
      </c>
      <c r="C189" t="str">
        <f>Raw_Data!C189</f>
        <v>C1005</v>
      </c>
      <c r="D189" t="str">
        <f>Raw_Data!D189</f>
        <v>client33@example.com</v>
      </c>
      <c r="E189" t="str">
        <f>Raw_Data!E189</f>
        <v>P1001</v>
      </c>
      <c r="F189" t="str">
        <f>Raw_Data!F189</f>
        <v>Laptop Stand</v>
      </c>
      <c r="G189" t="str">
        <f>Raw_Data!G189</f>
        <v>Accessories</v>
      </c>
      <c r="H189" t="str">
        <f>Raw_Data!H189</f>
        <v>Bucharest</v>
      </c>
      <c r="I189" t="str">
        <f>Raw_Data!I189</f>
        <v>Online</v>
      </c>
      <c r="J189" t="str">
        <f>Raw_Data!J189</f>
        <v>Elena Stan</v>
      </c>
      <c r="K189">
        <f>Raw_Data!K189</f>
        <v>10</v>
      </c>
      <c r="L189" s="12">
        <f>Raw_Data!L189</f>
        <v>95</v>
      </c>
      <c r="M189" s="12">
        <f>Raw_Data!M189</f>
        <v>52</v>
      </c>
      <c r="N189" s="14">
        <f>Raw_Data!N189</f>
        <v>0.2</v>
      </c>
      <c r="O189" t="str">
        <f>Raw_Data!O189</f>
        <v>Cash</v>
      </c>
      <c r="P189" t="str">
        <f>Raw_Data!P189</f>
        <v>Completed</v>
      </c>
      <c r="Q189" s="12">
        <f t="shared" si="22"/>
        <v>950</v>
      </c>
      <c r="R189" s="12">
        <f t="shared" si="23"/>
        <v>760</v>
      </c>
      <c r="S189" s="12">
        <f t="shared" si="24"/>
        <v>520</v>
      </c>
      <c r="T189" s="12">
        <f t="shared" si="25"/>
        <v>240</v>
      </c>
      <c r="U189" s="11">
        <f t="shared" si="26"/>
        <v>0.31578947368421051</v>
      </c>
      <c r="V189" t="str">
        <f>IF(OR(A189="",COUNTIF($A$2:$A$301,A189)&gt;1,C189="",D189="",ISERROR(SEARCH("@",D189)),ISERROR(SEARCH(".",D189)),COUNTIF(Lookups!$A$2:$A$11,E189)=0,F189="",H189="",K189&lt;=0,L189&lt;0,M189&lt;0,N189&lt;0,N189&gt;0.5,COUNTIF(Lookups!$K$2:$K$4,P189)=0),"ERROR","VALID")</f>
        <v>VALID</v>
      </c>
      <c r="W189" s="2" t="str">
        <f>IF(A189="","Missing Order ID; ","")&amp;IF(COUNTIF($A$2:$A$301,A189)&gt;1,"Duplicate Order ID; ","")&amp;IF(C189="","Missing Customer ID; ","")&amp;IF(OR(D189="",ISERROR(SEARCH("@",D189)),ISERROR(SEARCH(".",D189))),"Invalid Email; ","")&amp;IF(COUNTIF(Lookups!$A$2:$A$11,E189)=0,"Unknown Product; ","")&amp;IF(F189="","Missing Product Name; ","")&amp;IF(H189="","Missing Region; ","")&amp;IF(K189&lt;=0,"Invalid Quantity; ","")&amp;IF(L189&lt;0,"Invalid Price; ","")&amp;IF(M189&lt;0,"Invalid Cost; ","")&amp;IF(OR(N189&lt;0,N189&gt;0.5),"Invalid Discount; ","")&amp;IF(COUNTIF(Lookups!$K$2:$K$4,P189)=0,"Invalid Status; ","")</f>
        <v/>
      </c>
      <c r="X189" s="15" t="str">
        <f t="shared" si="27"/>
        <v>2025-03</v>
      </c>
      <c r="Y189" t="str">
        <f t="shared" si="28"/>
        <v>Q1</v>
      </c>
      <c r="Z189" t="str">
        <f>IF(R189&gt;=Settings!$B$9,"High Value Customer",IF(R189&gt;=Settings!$B$10,"Medium Value Customer","Standard Customer"))</f>
        <v>Standard Customer</v>
      </c>
      <c r="AA189" t="str">
        <f>IF(R189&gt;=Settings!$B$9,"Large Order",IF(R189&gt;=Settings!$B$10,"Medium Order","Small Order"))</f>
        <v>Small Order</v>
      </c>
      <c r="AB189" t="str">
        <f>IF(N189=0,"No Discount",IF(N189&lt;=0.1,"Low Discount",IF(N189&lt;=Settings!$B$8,"Medium Discount","High Discount")))</f>
        <v>Medium Discount</v>
      </c>
      <c r="AC189" t="str">
        <f t="shared" si="29"/>
        <v>Profitable</v>
      </c>
      <c r="AD189" t="str">
        <f>IFERROR(VLOOKUP(E189,Lookups!$A$2:$E$11,2,FALSE),"Product Not Found")</f>
        <v>Laptop Stand</v>
      </c>
      <c r="AE189" t="str">
        <f>IFERROR(VLOOKUP(E189,Lookups!$A$2:$E$11,3,FALSE),"Category Not Found")</f>
        <v>Accessories</v>
      </c>
      <c r="AF189" t="str">
        <f>IFERROR(IF(L189=VLOOKUP(E189,Lookups!$A$2:$E$11,4,FALSE),"Price OK","Price Mismatch"),"Product Missing")</f>
        <v>Price OK</v>
      </c>
      <c r="AG189" t="str">
        <f t="shared" si="30"/>
        <v>Valid Email</v>
      </c>
      <c r="AH189" t="str">
        <f t="shared" si="31"/>
        <v>READY FOR REPORTING</v>
      </c>
      <c r="AI189" t="str">
        <f>IF(AND(LEFT(A189,LEN(Settings!$B$13))=Settings!$B$13,LEN(A189)=9),"Valid Format","Invalid Format")</f>
        <v>Valid Format</v>
      </c>
      <c r="AJ189" t="str">
        <f>IF(LEFT(C189,LEN(Settings!$B$14))=Settings!$B$14,"Valid Format","Invalid Format")</f>
        <v>Valid Format</v>
      </c>
      <c r="AK189" t="str">
        <f>IF(COUNTIF(Master_Data!$G$5:$G$14,C189)=1,"Known Customer","Customer Not in Master")</f>
        <v>Known Customer</v>
      </c>
      <c r="AL189" t="str">
        <f>IF(U189&gt;=Settings!$B$11,"Target Met","Below Target")</f>
        <v>Target Met</v>
      </c>
      <c r="AM189" t="str">
        <f>IF(YEAR(B189)=Settings!$B$5,"Correct Year","Wrong Year")</f>
        <v>Correct Year</v>
      </c>
      <c r="AN189">
        <f t="shared" si="32"/>
        <v>5</v>
      </c>
    </row>
    <row r="190" spans="1:40">
      <c r="A190" t="str">
        <f>Raw_Data!A190</f>
        <v>ORD-10189</v>
      </c>
      <c r="B190" s="13">
        <f>Raw_Data!B190</f>
        <v>45948</v>
      </c>
      <c r="C190" t="str">
        <f>Raw_Data!C190</f>
        <v>C1087</v>
      </c>
      <c r="D190" t="str">
        <f>Raw_Data!D190</f>
        <v>client116@example.com</v>
      </c>
      <c r="E190" t="str">
        <f>Raw_Data!E190</f>
        <v>P1007</v>
      </c>
      <c r="F190" t="str">
        <f>Raw_Data!F190</f>
        <v>Office Chair</v>
      </c>
      <c r="G190" t="str">
        <f>Raw_Data!G190</f>
        <v>Furniture</v>
      </c>
      <c r="H190" t="str">
        <f>Raw_Data!H190</f>
        <v>South</v>
      </c>
      <c r="I190" t="str">
        <f>Raw_Data!I190</f>
        <v>Store</v>
      </c>
      <c r="J190" t="str">
        <f>Raw_Data!J190</f>
        <v>Mihai Radu</v>
      </c>
      <c r="K190">
        <f>Raw_Data!K190</f>
        <v>1</v>
      </c>
      <c r="L190" s="12">
        <f>Raw_Data!L190</f>
        <v>840</v>
      </c>
      <c r="M190" s="12">
        <f>Raw_Data!M190</f>
        <v>590</v>
      </c>
      <c r="N190" s="14">
        <f>Raw_Data!N190</f>
        <v>0.15</v>
      </c>
      <c r="O190" t="str">
        <f>Raw_Data!O190</f>
        <v>Card</v>
      </c>
      <c r="P190" t="str">
        <f>Raw_Data!P190</f>
        <v>Completed</v>
      </c>
      <c r="Q190" s="12">
        <f t="shared" si="22"/>
        <v>840</v>
      </c>
      <c r="R190" s="12">
        <f t="shared" si="23"/>
        <v>714</v>
      </c>
      <c r="S190" s="12">
        <f t="shared" si="24"/>
        <v>590</v>
      </c>
      <c r="T190" s="12">
        <f t="shared" si="25"/>
        <v>124</v>
      </c>
      <c r="U190" s="11">
        <f t="shared" si="26"/>
        <v>0.17366946778711484</v>
      </c>
      <c r="V190" t="str">
        <f>IF(OR(A190="",COUNTIF($A$2:$A$301,A190)&gt;1,C190="",D190="",ISERROR(SEARCH("@",D190)),ISERROR(SEARCH(".",D190)),COUNTIF(Lookups!$A$2:$A$11,E190)=0,F190="",H190="",K190&lt;=0,L190&lt;0,M190&lt;0,N190&lt;0,N190&gt;0.5,COUNTIF(Lookups!$K$2:$K$4,P190)=0),"ERROR","VALID")</f>
        <v>VALID</v>
      </c>
      <c r="W190" s="2" t="str">
        <f>IF(A190="","Missing Order ID; ","")&amp;IF(COUNTIF($A$2:$A$301,A190)&gt;1,"Duplicate Order ID; ","")&amp;IF(C190="","Missing Customer ID; ","")&amp;IF(OR(D190="",ISERROR(SEARCH("@",D190)),ISERROR(SEARCH(".",D190))),"Invalid Email; ","")&amp;IF(COUNTIF(Lookups!$A$2:$A$11,E190)=0,"Unknown Product; ","")&amp;IF(F190="","Missing Product Name; ","")&amp;IF(H190="","Missing Region; ","")&amp;IF(K190&lt;=0,"Invalid Quantity; ","")&amp;IF(L190&lt;0,"Invalid Price; ","")&amp;IF(M190&lt;0,"Invalid Cost; ","")&amp;IF(OR(N190&lt;0,N190&gt;0.5),"Invalid Discount; ","")&amp;IF(COUNTIF(Lookups!$K$2:$K$4,P190)=0,"Invalid Status; ","")</f>
        <v/>
      </c>
      <c r="X190" s="15" t="str">
        <f t="shared" si="27"/>
        <v>2025-10</v>
      </c>
      <c r="Y190" t="str">
        <f t="shared" si="28"/>
        <v>Q4</v>
      </c>
      <c r="Z190" t="str">
        <f>IF(R190&gt;=Settings!$B$9,"High Value Customer",IF(R190&gt;=Settings!$B$10,"Medium Value Customer","Standard Customer"))</f>
        <v>Standard Customer</v>
      </c>
      <c r="AA190" t="str">
        <f>IF(R190&gt;=Settings!$B$9,"Large Order",IF(R190&gt;=Settings!$B$10,"Medium Order","Small Order"))</f>
        <v>Small Order</v>
      </c>
      <c r="AB190" t="str">
        <f>IF(N190=0,"No Discount",IF(N190&lt;=0.1,"Low Discount",IF(N190&lt;=Settings!$B$8,"Medium Discount","High Discount")))</f>
        <v>Medium Discount</v>
      </c>
      <c r="AC190" t="str">
        <f t="shared" si="29"/>
        <v>Profitable</v>
      </c>
      <c r="AD190" t="str">
        <f>IFERROR(VLOOKUP(E190,Lookups!$A$2:$E$11,2,FALSE),"Product Not Found")</f>
        <v>Office Chair</v>
      </c>
      <c r="AE190" t="str">
        <f>IFERROR(VLOOKUP(E190,Lookups!$A$2:$E$11,3,FALSE),"Category Not Found")</f>
        <v>Furniture</v>
      </c>
      <c r="AF190" t="str">
        <f>IFERROR(IF(L190=VLOOKUP(E190,Lookups!$A$2:$E$11,4,FALSE),"Price OK","Price Mismatch"),"Product Missing")</f>
        <v>Price OK</v>
      </c>
      <c r="AG190" t="str">
        <f t="shared" si="30"/>
        <v>Valid Email</v>
      </c>
      <c r="AH190" t="str">
        <f t="shared" si="31"/>
        <v>READY FOR REPORTING</v>
      </c>
      <c r="AI190" t="str">
        <f>IF(AND(LEFT(A190,LEN(Settings!$B$13))=Settings!$B$13,LEN(A190)=9),"Valid Format","Invalid Format")</f>
        <v>Valid Format</v>
      </c>
      <c r="AJ190" t="str">
        <f>IF(LEFT(C190,LEN(Settings!$B$14))=Settings!$B$14,"Valid Format","Invalid Format")</f>
        <v>Valid Format</v>
      </c>
      <c r="AK190" t="str">
        <f>IF(COUNTIF(Master_Data!$G$5:$G$14,C190)=1,"Known Customer","Customer Not in Master")</f>
        <v>Customer Not in Master</v>
      </c>
      <c r="AL190" t="str">
        <f>IF(U190&gt;=Settings!$B$11,"Target Met","Below Target")</f>
        <v>Below Target</v>
      </c>
      <c r="AM190" t="str">
        <f>IF(YEAR(B190)=Settings!$B$5,"Correct Year","Wrong Year")</f>
        <v>Correct Year</v>
      </c>
      <c r="AN190">
        <f t="shared" si="32"/>
        <v>3</v>
      </c>
    </row>
    <row r="191" spans="1:40">
      <c r="A191" t="str">
        <f>Raw_Data!A191</f>
        <v>ORD-10190</v>
      </c>
      <c r="B191" s="13">
        <f>Raw_Data!B191</f>
        <v>45728</v>
      </c>
      <c r="C191" t="str">
        <f>Raw_Data!C191</f>
        <v>C1041</v>
      </c>
      <c r="D191" t="str">
        <f>Raw_Data!D191</f>
        <v>client167@example.com</v>
      </c>
      <c r="E191" t="str">
        <f>Raw_Data!E191</f>
        <v>P1010</v>
      </c>
      <c r="F191" t="str">
        <f>Raw_Data!F191</f>
        <v>Headset</v>
      </c>
      <c r="G191" t="str">
        <f>Raw_Data!G191</f>
        <v>Electronics</v>
      </c>
      <c r="H191" t="str">
        <f>Raw_Data!H191</f>
        <v>South</v>
      </c>
      <c r="I191" t="str">
        <f>Raw_Data!I191</f>
        <v>Online</v>
      </c>
      <c r="J191" t="str">
        <f>Raw_Data!J191</f>
        <v>Andrei Pop</v>
      </c>
      <c r="K191">
        <f>Raw_Data!K191</f>
        <v>9</v>
      </c>
      <c r="L191" s="12">
        <f>Raw_Data!L191</f>
        <v>195</v>
      </c>
      <c r="M191" s="12">
        <f>Raw_Data!M191</f>
        <v>105</v>
      </c>
      <c r="N191" s="14">
        <f>Raw_Data!N191</f>
        <v>0.05</v>
      </c>
      <c r="O191" t="str">
        <f>Raw_Data!O191</f>
        <v>Card</v>
      </c>
      <c r="P191" t="str">
        <f>Raw_Data!P191</f>
        <v>Completed</v>
      </c>
      <c r="Q191" s="12">
        <f t="shared" si="22"/>
        <v>1755</v>
      </c>
      <c r="R191" s="12">
        <f t="shared" si="23"/>
        <v>1667.25</v>
      </c>
      <c r="S191" s="12">
        <f t="shared" si="24"/>
        <v>945</v>
      </c>
      <c r="T191" s="12">
        <f t="shared" si="25"/>
        <v>722.25</v>
      </c>
      <c r="U191" s="11">
        <f t="shared" si="26"/>
        <v>0.4331983805668016</v>
      </c>
      <c r="V191" t="str">
        <f>IF(OR(A191="",COUNTIF($A$2:$A$301,A191)&gt;1,C191="",D191="",ISERROR(SEARCH("@",D191)),ISERROR(SEARCH(".",D191)),COUNTIF(Lookups!$A$2:$A$11,E191)=0,F191="",H191="",K191&lt;=0,L191&lt;0,M191&lt;0,N191&lt;0,N191&gt;0.5,COUNTIF(Lookups!$K$2:$K$4,P191)=0),"ERROR","VALID")</f>
        <v>VALID</v>
      </c>
      <c r="W191" s="2" t="str">
        <f>IF(A191="","Missing Order ID; ","")&amp;IF(COUNTIF($A$2:$A$301,A191)&gt;1,"Duplicate Order ID; ","")&amp;IF(C191="","Missing Customer ID; ","")&amp;IF(OR(D191="",ISERROR(SEARCH("@",D191)),ISERROR(SEARCH(".",D191))),"Invalid Email; ","")&amp;IF(COUNTIF(Lookups!$A$2:$A$11,E191)=0,"Unknown Product; ","")&amp;IF(F191="","Missing Product Name; ","")&amp;IF(H191="","Missing Region; ","")&amp;IF(K191&lt;=0,"Invalid Quantity; ","")&amp;IF(L191&lt;0,"Invalid Price; ","")&amp;IF(M191&lt;0,"Invalid Cost; ","")&amp;IF(OR(N191&lt;0,N191&gt;0.5),"Invalid Discount; ","")&amp;IF(COUNTIF(Lookups!$K$2:$K$4,P191)=0,"Invalid Status; ","")</f>
        <v/>
      </c>
      <c r="X191" s="15" t="str">
        <f t="shared" si="27"/>
        <v>2025-03</v>
      </c>
      <c r="Y191" t="str">
        <f t="shared" si="28"/>
        <v>Q1</v>
      </c>
      <c r="Z191" t="str">
        <f>IF(R191&gt;=Settings!$B$9,"High Value Customer",IF(R191&gt;=Settings!$B$10,"Medium Value Customer","Standard Customer"))</f>
        <v>Standard Customer</v>
      </c>
      <c r="AA191" t="str">
        <f>IF(R191&gt;=Settings!$B$9,"Large Order",IF(R191&gt;=Settings!$B$10,"Medium Order","Small Order"))</f>
        <v>Small Order</v>
      </c>
      <c r="AB191" t="str">
        <f>IF(N191=0,"No Discount",IF(N191&lt;=0.1,"Low Discount",IF(N191&lt;=Settings!$B$8,"Medium Discount","High Discount")))</f>
        <v>Low Discount</v>
      </c>
      <c r="AC191" t="str">
        <f t="shared" si="29"/>
        <v>Profitable</v>
      </c>
      <c r="AD191" t="str">
        <f>IFERROR(VLOOKUP(E191,Lookups!$A$2:$E$11,2,FALSE),"Product Not Found")</f>
        <v>Headset</v>
      </c>
      <c r="AE191" t="str">
        <f>IFERROR(VLOOKUP(E191,Lookups!$A$2:$E$11,3,FALSE),"Category Not Found")</f>
        <v>Electronics</v>
      </c>
      <c r="AF191" t="str">
        <f>IFERROR(IF(L191=VLOOKUP(E191,Lookups!$A$2:$E$11,4,FALSE),"Price OK","Price Mismatch"),"Product Missing")</f>
        <v>Price OK</v>
      </c>
      <c r="AG191" t="str">
        <f t="shared" si="30"/>
        <v>Valid Email</v>
      </c>
      <c r="AH191" t="str">
        <f t="shared" si="31"/>
        <v>READY FOR REPORTING</v>
      </c>
      <c r="AI191" t="str">
        <f>IF(AND(LEFT(A191,LEN(Settings!$B$13))=Settings!$B$13,LEN(A191)=9),"Valid Format","Invalid Format")</f>
        <v>Valid Format</v>
      </c>
      <c r="AJ191" t="str">
        <f>IF(LEFT(C191,LEN(Settings!$B$14))=Settings!$B$14,"Valid Format","Invalid Format")</f>
        <v>Valid Format</v>
      </c>
      <c r="AK191" t="str">
        <f>IF(COUNTIF(Master_Data!$G$5:$G$14,C191)=1,"Known Customer","Customer Not in Master")</f>
        <v>Customer Not in Master</v>
      </c>
      <c r="AL191" t="str">
        <f>IF(U191&gt;=Settings!$B$11,"Target Met","Below Target")</f>
        <v>Target Met</v>
      </c>
      <c r="AM191" t="str">
        <f>IF(YEAR(B191)=Settings!$B$5,"Correct Year","Wrong Year")</f>
        <v>Correct Year</v>
      </c>
      <c r="AN191">
        <f t="shared" si="32"/>
        <v>4</v>
      </c>
    </row>
    <row r="192" spans="1:40">
      <c r="A192" t="str">
        <f>Raw_Data!A192</f>
        <v>ORD-10191</v>
      </c>
      <c r="B192" s="13">
        <f>Raw_Data!B192</f>
        <v>45913</v>
      </c>
      <c r="C192" t="str">
        <f>Raw_Data!C192</f>
        <v>C1016</v>
      </c>
      <c r="D192" t="str">
        <f>Raw_Data!D192</f>
        <v>client68@example.com</v>
      </c>
      <c r="E192" t="str">
        <f>Raw_Data!E192</f>
        <v>P1003</v>
      </c>
      <c r="F192" t="str">
        <f>Raw_Data!F192</f>
        <v>Mechanical Keyboard</v>
      </c>
      <c r="G192" t="str">
        <f>Raw_Data!G192</f>
        <v>Accessories</v>
      </c>
      <c r="H192" t="str">
        <f>Raw_Data!H192</f>
        <v>South</v>
      </c>
      <c r="I192" t="str">
        <f>Raw_Data!I192</f>
        <v>Marketplace</v>
      </c>
      <c r="J192" t="str">
        <f>Raw_Data!J192</f>
        <v>Mihai Radu</v>
      </c>
      <c r="K192">
        <f>Raw_Data!K192</f>
        <v>9</v>
      </c>
      <c r="L192" s="12">
        <f>Raw_Data!L192</f>
        <v>265</v>
      </c>
      <c r="M192" s="12">
        <f>Raw_Data!M192</f>
        <v>155</v>
      </c>
      <c r="N192" s="14">
        <f>Raw_Data!N192</f>
        <v>0.1</v>
      </c>
      <c r="O192" t="str">
        <f>Raw_Data!O192</f>
        <v>Bank Transfer</v>
      </c>
      <c r="P192" t="str">
        <f>Raw_Data!P192</f>
        <v>Returned</v>
      </c>
      <c r="Q192" s="12">
        <f t="shared" si="22"/>
        <v>2385</v>
      </c>
      <c r="R192" s="12">
        <f t="shared" si="23"/>
        <v>2146.5</v>
      </c>
      <c r="S192" s="12">
        <f t="shared" si="24"/>
        <v>1395</v>
      </c>
      <c r="T192" s="12">
        <f t="shared" si="25"/>
        <v>751.5</v>
      </c>
      <c r="U192" s="11">
        <f t="shared" si="26"/>
        <v>0.35010482180293501</v>
      </c>
      <c r="V192" t="str">
        <f>IF(OR(A192="",COUNTIF($A$2:$A$301,A192)&gt;1,C192="",D192="",ISERROR(SEARCH("@",D192)),ISERROR(SEARCH(".",D192)),COUNTIF(Lookups!$A$2:$A$11,E192)=0,F192="",H192="",K192&lt;=0,L192&lt;0,M192&lt;0,N192&lt;0,N192&gt;0.5,COUNTIF(Lookups!$K$2:$K$4,P192)=0),"ERROR","VALID")</f>
        <v>VALID</v>
      </c>
      <c r="W192" s="2" t="str">
        <f>IF(A192="","Missing Order ID; ","")&amp;IF(COUNTIF($A$2:$A$301,A192)&gt;1,"Duplicate Order ID; ","")&amp;IF(C192="","Missing Customer ID; ","")&amp;IF(OR(D192="",ISERROR(SEARCH("@",D192)),ISERROR(SEARCH(".",D192))),"Invalid Email; ","")&amp;IF(COUNTIF(Lookups!$A$2:$A$11,E192)=0,"Unknown Product; ","")&amp;IF(F192="","Missing Product Name; ","")&amp;IF(H192="","Missing Region; ","")&amp;IF(K192&lt;=0,"Invalid Quantity; ","")&amp;IF(L192&lt;0,"Invalid Price; ","")&amp;IF(M192&lt;0,"Invalid Cost; ","")&amp;IF(OR(N192&lt;0,N192&gt;0.5),"Invalid Discount; ","")&amp;IF(COUNTIF(Lookups!$K$2:$K$4,P192)=0,"Invalid Status; ","")</f>
        <v/>
      </c>
      <c r="X192" s="15" t="str">
        <f t="shared" si="27"/>
        <v>2025-09</v>
      </c>
      <c r="Y192" t="str">
        <f t="shared" si="28"/>
        <v>Q3</v>
      </c>
      <c r="Z192" t="str">
        <f>IF(R192&gt;=Settings!$B$9,"High Value Customer",IF(R192&gt;=Settings!$B$10,"Medium Value Customer","Standard Customer"))</f>
        <v>Medium Value Customer</v>
      </c>
      <c r="AA192" t="str">
        <f>IF(R192&gt;=Settings!$B$9,"Large Order",IF(R192&gt;=Settings!$B$10,"Medium Order","Small Order"))</f>
        <v>Medium Order</v>
      </c>
      <c r="AB192" t="str">
        <f>IF(N192=0,"No Discount",IF(N192&lt;=0.1,"Low Discount",IF(N192&lt;=Settings!$B$8,"Medium Discount","High Discount")))</f>
        <v>Low Discount</v>
      </c>
      <c r="AC192" t="str">
        <f t="shared" si="29"/>
        <v>Profitable</v>
      </c>
      <c r="AD192" t="str">
        <f>IFERROR(VLOOKUP(E192,Lookups!$A$2:$E$11,2,FALSE),"Product Not Found")</f>
        <v>Mechanical Keyboard</v>
      </c>
      <c r="AE192" t="str">
        <f>IFERROR(VLOOKUP(E192,Lookups!$A$2:$E$11,3,FALSE),"Category Not Found")</f>
        <v>Accessories</v>
      </c>
      <c r="AF192" t="str">
        <f>IFERROR(IF(L192=VLOOKUP(E192,Lookups!$A$2:$E$11,4,FALSE),"Price OK","Price Mismatch"),"Product Missing")</f>
        <v>Price OK</v>
      </c>
      <c r="AG192" t="str">
        <f t="shared" si="30"/>
        <v>Valid Email</v>
      </c>
      <c r="AH192" t="str">
        <f t="shared" si="31"/>
        <v>READY FOR REPORTING</v>
      </c>
      <c r="AI192" t="str">
        <f>IF(AND(LEFT(A192,LEN(Settings!$B$13))=Settings!$B$13,LEN(A192)=9),"Valid Format","Invalid Format")</f>
        <v>Valid Format</v>
      </c>
      <c r="AJ192" t="str">
        <f>IF(LEFT(C192,LEN(Settings!$B$14))=Settings!$B$14,"Valid Format","Invalid Format")</f>
        <v>Valid Format</v>
      </c>
      <c r="AK192" t="str">
        <f>IF(COUNTIF(Master_Data!$G$5:$G$14,C192)=1,"Known Customer","Customer Not in Master")</f>
        <v>Customer Not in Master</v>
      </c>
      <c r="AL192" t="str">
        <f>IF(U192&gt;=Settings!$B$11,"Target Met","Below Target")</f>
        <v>Target Met</v>
      </c>
      <c r="AM192" t="str">
        <f>IF(YEAR(B192)=Settings!$B$5,"Correct Year","Wrong Year")</f>
        <v>Correct Year</v>
      </c>
      <c r="AN192">
        <f t="shared" si="32"/>
        <v>4</v>
      </c>
    </row>
    <row r="193" spans="1:40">
      <c r="A193" t="str">
        <f>Raw_Data!A193</f>
        <v>ORD-10192</v>
      </c>
      <c r="B193" s="13">
        <f>Raw_Data!B193</f>
        <v>45804</v>
      </c>
      <c r="C193" t="str">
        <f>Raw_Data!C193</f>
        <v>C1016</v>
      </c>
      <c r="D193" t="str">
        <f>Raw_Data!D193</f>
        <v>client35@example.com</v>
      </c>
      <c r="E193" t="str">
        <f>Raw_Data!E193</f>
        <v>P1010</v>
      </c>
      <c r="F193" t="str">
        <f>Raw_Data!F193</f>
        <v>Headset</v>
      </c>
      <c r="G193" t="str">
        <f>Raw_Data!G193</f>
        <v>Electronics</v>
      </c>
      <c r="H193" t="str">
        <f>Raw_Data!H193</f>
        <v>Bucharest</v>
      </c>
      <c r="I193" t="str">
        <f>Raw_Data!I193</f>
        <v>Store</v>
      </c>
      <c r="J193" t="str">
        <f>Raw_Data!J193</f>
        <v>Maria Ionescu</v>
      </c>
      <c r="K193">
        <f>Raw_Data!K193</f>
        <v>12</v>
      </c>
      <c r="L193" s="12">
        <f>Raw_Data!L193</f>
        <v>195</v>
      </c>
      <c r="M193" s="12">
        <f>Raw_Data!M193</f>
        <v>105</v>
      </c>
      <c r="N193" s="14">
        <f>Raw_Data!N193</f>
        <v>0.1</v>
      </c>
      <c r="O193" t="str">
        <f>Raw_Data!O193</f>
        <v>Online Wallet</v>
      </c>
      <c r="P193" t="str">
        <f>Raw_Data!P193</f>
        <v>Completed</v>
      </c>
      <c r="Q193" s="12">
        <f t="shared" si="22"/>
        <v>2340</v>
      </c>
      <c r="R193" s="12">
        <f t="shared" si="23"/>
        <v>2106</v>
      </c>
      <c r="S193" s="12">
        <f t="shared" si="24"/>
        <v>1260</v>
      </c>
      <c r="T193" s="12">
        <f t="shared" si="25"/>
        <v>846</v>
      </c>
      <c r="U193" s="11">
        <f t="shared" si="26"/>
        <v>0.40170940170940173</v>
      </c>
      <c r="V193" t="str">
        <f>IF(OR(A193="",COUNTIF($A$2:$A$301,A193)&gt;1,C193="",D193="",ISERROR(SEARCH("@",D193)),ISERROR(SEARCH(".",D193)),COUNTIF(Lookups!$A$2:$A$11,E193)=0,F193="",H193="",K193&lt;=0,L193&lt;0,M193&lt;0,N193&lt;0,N193&gt;0.5,COUNTIF(Lookups!$K$2:$K$4,P193)=0),"ERROR","VALID")</f>
        <v>VALID</v>
      </c>
      <c r="W193" s="2" t="str">
        <f>IF(A193="","Missing Order ID; ","")&amp;IF(COUNTIF($A$2:$A$301,A193)&gt;1,"Duplicate Order ID; ","")&amp;IF(C193="","Missing Customer ID; ","")&amp;IF(OR(D193="",ISERROR(SEARCH("@",D193)),ISERROR(SEARCH(".",D193))),"Invalid Email; ","")&amp;IF(COUNTIF(Lookups!$A$2:$A$11,E193)=0,"Unknown Product; ","")&amp;IF(F193="","Missing Product Name; ","")&amp;IF(H193="","Missing Region; ","")&amp;IF(K193&lt;=0,"Invalid Quantity; ","")&amp;IF(L193&lt;0,"Invalid Price; ","")&amp;IF(M193&lt;0,"Invalid Cost; ","")&amp;IF(OR(N193&lt;0,N193&gt;0.5),"Invalid Discount; ","")&amp;IF(COUNTIF(Lookups!$K$2:$K$4,P193)=0,"Invalid Status; ","")</f>
        <v/>
      </c>
      <c r="X193" s="15" t="str">
        <f t="shared" si="27"/>
        <v>2025-05</v>
      </c>
      <c r="Y193" t="str">
        <f t="shared" si="28"/>
        <v>Q2</v>
      </c>
      <c r="Z193" t="str">
        <f>IF(R193&gt;=Settings!$B$9,"High Value Customer",IF(R193&gt;=Settings!$B$10,"Medium Value Customer","Standard Customer"))</f>
        <v>Medium Value Customer</v>
      </c>
      <c r="AA193" t="str">
        <f>IF(R193&gt;=Settings!$B$9,"Large Order",IF(R193&gt;=Settings!$B$10,"Medium Order","Small Order"))</f>
        <v>Medium Order</v>
      </c>
      <c r="AB193" t="str">
        <f>IF(N193=0,"No Discount",IF(N193&lt;=0.1,"Low Discount",IF(N193&lt;=Settings!$B$8,"Medium Discount","High Discount")))</f>
        <v>Low Discount</v>
      </c>
      <c r="AC193" t="str">
        <f t="shared" si="29"/>
        <v>Profitable</v>
      </c>
      <c r="AD193" t="str">
        <f>IFERROR(VLOOKUP(E193,Lookups!$A$2:$E$11,2,FALSE),"Product Not Found")</f>
        <v>Headset</v>
      </c>
      <c r="AE193" t="str">
        <f>IFERROR(VLOOKUP(E193,Lookups!$A$2:$E$11,3,FALSE),"Category Not Found")</f>
        <v>Electronics</v>
      </c>
      <c r="AF193" t="str">
        <f>IFERROR(IF(L193=VLOOKUP(E193,Lookups!$A$2:$E$11,4,FALSE),"Price OK","Price Mismatch"),"Product Missing")</f>
        <v>Price OK</v>
      </c>
      <c r="AG193" t="str">
        <f t="shared" si="30"/>
        <v>Valid Email</v>
      </c>
      <c r="AH193" t="str">
        <f t="shared" si="31"/>
        <v>READY FOR REPORTING</v>
      </c>
      <c r="AI193" t="str">
        <f>IF(AND(LEFT(A193,LEN(Settings!$B$13))=Settings!$B$13,LEN(A193)=9),"Valid Format","Invalid Format")</f>
        <v>Valid Format</v>
      </c>
      <c r="AJ193" t="str">
        <f>IF(LEFT(C193,LEN(Settings!$B$14))=Settings!$B$14,"Valid Format","Invalid Format")</f>
        <v>Valid Format</v>
      </c>
      <c r="AK193" t="str">
        <f>IF(COUNTIF(Master_Data!$G$5:$G$14,C193)=1,"Known Customer","Customer Not in Master")</f>
        <v>Customer Not in Master</v>
      </c>
      <c r="AL193" t="str">
        <f>IF(U193&gt;=Settings!$B$11,"Target Met","Below Target")</f>
        <v>Target Met</v>
      </c>
      <c r="AM193" t="str">
        <f>IF(YEAR(B193)=Settings!$B$5,"Correct Year","Wrong Year")</f>
        <v>Correct Year</v>
      </c>
      <c r="AN193">
        <f t="shared" si="32"/>
        <v>4</v>
      </c>
    </row>
    <row r="194" spans="1:40">
      <c r="A194" t="str">
        <f>Raw_Data!A194</f>
        <v>ORD-10193</v>
      </c>
      <c r="B194" s="13">
        <f>Raw_Data!B194</f>
        <v>46007</v>
      </c>
      <c r="C194" t="str">
        <f>Raw_Data!C194</f>
        <v>C1091</v>
      </c>
      <c r="D194" t="str">
        <f>Raw_Data!D194</f>
        <v>client17@example.com</v>
      </c>
      <c r="E194" t="str">
        <f>Raw_Data!E194</f>
        <v>P1002</v>
      </c>
      <c r="F194" t="str">
        <f>Raw_Data!F194</f>
        <v>Wireless Mouse</v>
      </c>
      <c r="G194" t="str">
        <f>Raw_Data!G194</f>
        <v>Accessories</v>
      </c>
      <c r="H194" t="str">
        <f>Raw_Data!H194</f>
        <v>West</v>
      </c>
      <c r="I194" t="str">
        <f>Raw_Data!I194</f>
        <v>Marketplace</v>
      </c>
      <c r="J194" t="str">
        <f>Raw_Data!J194</f>
        <v>Elena Stan</v>
      </c>
      <c r="K194">
        <f>Raw_Data!K194</f>
        <v>6</v>
      </c>
      <c r="L194" s="12">
        <f>Raw_Data!L194</f>
        <v>85</v>
      </c>
      <c r="M194" s="12">
        <f>Raw_Data!M194</f>
        <v>44</v>
      </c>
      <c r="N194" s="14">
        <f>Raw_Data!N194</f>
        <v>0.2</v>
      </c>
      <c r="O194" t="str">
        <f>Raw_Data!O194</f>
        <v>Cash</v>
      </c>
      <c r="P194" t="str">
        <f>Raw_Data!P194</f>
        <v>Completed</v>
      </c>
      <c r="Q194" s="12">
        <f t="shared" ref="Q194:Q257" si="33">K194*L194</f>
        <v>510</v>
      </c>
      <c r="R194" s="12">
        <f t="shared" ref="R194:R257" si="34">Q194*(1-N194)</f>
        <v>408</v>
      </c>
      <c r="S194" s="12">
        <f t="shared" ref="S194:S257" si="35">K194*M194</f>
        <v>264</v>
      </c>
      <c r="T194" s="12">
        <f t="shared" ref="T194:T257" si="36">R194-S194</f>
        <v>144</v>
      </c>
      <c r="U194" s="11">
        <f t="shared" ref="U194:U257" si="37">IFERROR(T194/R194,0)</f>
        <v>0.35294117647058826</v>
      </c>
      <c r="V194" t="str">
        <f>IF(OR(A194="",COUNTIF($A$2:$A$301,A194)&gt;1,C194="",D194="",ISERROR(SEARCH("@",D194)),ISERROR(SEARCH(".",D194)),COUNTIF(Lookups!$A$2:$A$11,E194)=0,F194="",H194="",K194&lt;=0,L194&lt;0,M194&lt;0,N194&lt;0,N194&gt;0.5,COUNTIF(Lookups!$K$2:$K$4,P194)=0),"ERROR","VALID")</f>
        <v>VALID</v>
      </c>
      <c r="W194" s="2" t="str">
        <f>IF(A194="","Missing Order ID; ","")&amp;IF(COUNTIF($A$2:$A$301,A194)&gt;1,"Duplicate Order ID; ","")&amp;IF(C194="","Missing Customer ID; ","")&amp;IF(OR(D194="",ISERROR(SEARCH("@",D194)),ISERROR(SEARCH(".",D194))),"Invalid Email; ","")&amp;IF(COUNTIF(Lookups!$A$2:$A$11,E194)=0,"Unknown Product; ","")&amp;IF(F194="","Missing Product Name; ","")&amp;IF(H194="","Missing Region; ","")&amp;IF(K194&lt;=0,"Invalid Quantity; ","")&amp;IF(L194&lt;0,"Invalid Price; ","")&amp;IF(M194&lt;0,"Invalid Cost; ","")&amp;IF(OR(N194&lt;0,N194&gt;0.5),"Invalid Discount; ","")&amp;IF(COUNTIF(Lookups!$K$2:$K$4,P194)=0,"Invalid Status; ","")</f>
        <v/>
      </c>
      <c r="X194" s="15" t="str">
        <f t="shared" ref="X194:X257" si="38">TEXT(B194,"yyyy-mm")</f>
        <v>2025-12</v>
      </c>
      <c r="Y194" t="str">
        <f t="shared" ref="Y194:Y257" si="39">"Q"&amp;ROUNDUP(MONTH(B194)/3,0)</f>
        <v>Q4</v>
      </c>
      <c r="Z194" t="str">
        <f>IF(R194&gt;=Settings!$B$9,"High Value Customer",IF(R194&gt;=Settings!$B$10,"Medium Value Customer","Standard Customer"))</f>
        <v>Standard Customer</v>
      </c>
      <c r="AA194" t="str">
        <f>IF(R194&gt;=Settings!$B$9,"Large Order",IF(R194&gt;=Settings!$B$10,"Medium Order","Small Order"))</f>
        <v>Small Order</v>
      </c>
      <c r="AB194" t="str">
        <f>IF(N194=0,"No Discount",IF(N194&lt;=0.1,"Low Discount",IF(N194&lt;=Settings!$B$8,"Medium Discount","High Discount")))</f>
        <v>Medium Discount</v>
      </c>
      <c r="AC194" t="str">
        <f t="shared" ref="AC194:AC257" si="40">IF(T194&gt;0,"Profitable",IF(T194=0,"Break-even","Loss"))</f>
        <v>Profitable</v>
      </c>
      <c r="AD194" t="str">
        <f>IFERROR(VLOOKUP(E194,Lookups!$A$2:$E$11,2,FALSE),"Product Not Found")</f>
        <v>Wireless Mouse</v>
      </c>
      <c r="AE194" t="str">
        <f>IFERROR(VLOOKUP(E194,Lookups!$A$2:$E$11,3,FALSE),"Category Not Found")</f>
        <v>Accessories</v>
      </c>
      <c r="AF194" t="str">
        <f>IFERROR(IF(L194=VLOOKUP(E194,Lookups!$A$2:$E$11,4,FALSE),"Price OK","Price Mismatch"),"Product Missing")</f>
        <v>Price OK</v>
      </c>
      <c r="AG194" t="str">
        <f t="shared" ref="AG194:AG257" si="41">IF(AND(ISNUMBER(SEARCH("@",D194)),ISNUMBER(SEARCH(".",D194))),"Valid Email","Invalid Email")</f>
        <v>Valid Email</v>
      </c>
      <c r="AH194" t="str">
        <f t="shared" ref="AH194:AH257" si="42">IF(AND(V194="VALID",AF194="Price OK",AG194="Valid Email"),"READY FOR REPORTING","REVIEW REQUIRED")</f>
        <v>READY FOR REPORTING</v>
      </c>
      <c r="AI194" t="str">
        <f>IF(AND(LEFT(A194,LEN(Settings!$B$13))=Settings!$B$13,LEN(A194)=9),"Valid Format","Invalid Format")</f>
        <v>Valid Format</v>
      </c>
      <c r="AJ194" t="str">
        <f>IF(LEFT(C194,LEN(Settings!$B$14))=Settings!$B$14,"Valid Format","Invalid Format")</f>
        <v>Valid Format</v>
      </c>
      <c r="AK194" t="str">
        <f>IF(COUNTIF(Master_Data!$G$5:$G$14,C194)=1,"Known Customer","Customer Not in Master")</f>
        <v>Customer Not in Master</v>
      </c>
      <c r="AL194" t="str">
        <f>IF(U194&gt;=Settings!$B$11,"Target Met","Below Target")</f>
        <v>Target Met</v>
      </c>
      <c r="AM194" t="str">
        <f>IF(YEAR(B194)=Settings!$B$5,"Correct Year","Wrong Year")</f>
        <v>Correct Year</v>
      </c>
      <c r="AN194">
        <f t="shared" ref="AN194:AN257" si="43">COUNTIF(AI194:AM194,"*Valid*")+COUNTIF(AI194:AM194,"Known Customer")+COUNTIF(AI194:AM194,"Target Met")+COUNTIF(AI194:AM194,"Correct Year")</f>
        <v>4</v>
      </c>
    </row>
    <row r="195" spans="1:40">
      <c r="A195" t="str">
        <f>Raw_Data!A195</f>
        <v>ORD-10194</v>
      </c>
      <c r="B195" s="13">
        <f>Raw_Data!B195</f>
        <v>46022</v>
      </c>
      <c r="C195" t="str">
        <f>Raw_Data!C195</f>
        <v>C1023</v>
      </c>
      <c r="D195" t="str">
        <f>Raw_Data!D195</f>
        <v>client93@example.com</v>
      </c>
      <c r="E195" t="str">
        <f>Raw_Data!E195</f>
        <v>P1003</v>
      </c>
      <c r="F195" t="str">
        <f>Raw_Data!F195</f>
        <v>Mechanical Keyboard</v>
      </c>
      <c r="G195" t="str">
        <f>Raw_Data!G195</f>
        <v>Accessories</v>
      </c>
      <c r="H195" t="str">
        <f>Raw_Data!H195</f>
        <v>West</v>
      </c>
      <c r="I195" t="str">
        <f>Raw_Data!I195</f>
        <v>Online</v>
      </c>
      <c r="J195" t="str">
        <f>Raw_Data!J195</f>
        <v>Andrei Pop</v>
      </c>
      <c r="K195">
        <f>Raw_Data!K195</f>
        <v>12</v>
      </c>
      <c r="L195" s="12">
        <f>Raw_Data!L195</f>
        <v>265</v>
      </c>
      <c r="M195" s="12">
        <f>Raw_Data!M195</f>
        <v>155</v>
      </c>
      <c r="N195" s="14">
        <f>Raw_Data!N195</f>
        <v>0.2</v>
      </c>
      <c r="O195" t="str">
        <f>Raw_Data!O195</f>
        <v>Bank Transfer</v>
      </c>
      <c r="P195" t="str">
        <f>Raw_Data!P195</f>
        <v>Cancelled</v>
      </c>
      <c r="Q195" s="12">
        <f t="shared" si="33"/>
        <v>3180</v>
      </c>
      <c r="R195" s="12">
        <f t="shared" si="34"/>
        <v>2544</v>
      </c>
      <c r="S195" s="12">
        <f t="shared" si="35"/>
        <v>1860</v>
      </c>
      <c r="T195" s="12">
        <f t="shared" si="36"/>
        <v>684</v>
      </c>
      <c r="U195" s="11">
        <f t="shared" si="37"/>
        <v>0.26886792452830188</v>
      </c>
      <c r="V195" t="str">
        <f>IF(OR(A195="",COUNTIF($A$2:$A$301,A195)&gt;1,C195="",D195="",ISERROR(SEARCH("@",D195)),ISERROR(SEARCH(".",D195)),COUNTIF(Lookups!$A$2:$A$11,E195)=0,F195="",H195="",K195&lt;=0,L195&lt;0,M195&lt;0,N195&lt;0,N195&gt;0.5,COUNTIF(Lookups!$K$2:$K$4,P195)=0),"ERROR","VALID")</f>
        <v>VALID</v>
      </c>
      <c r="W195" s="2" t="str">
        <f>IF(A195="","Missing Order ID; ","")&amp;IF(COUNTIF($A$2:$A$301,A195)&gt;1,"Duplicate Order ID; ","")&amp;IF(C195="","Missing Customer ID; ","")&amp;IF(OR(D195="",ISERROR(SEARCH("@",D195)),ISERROR(SEARCH(".",D195))),"Invalid Email; ","")&amp;IF(COUNTIF(Lookups!$A$2:$A$11,E195)=0,"Unknown Product; ","")&amp;IF(F195="","Missing Product Name; ","")&amp;IF(H195="","Missing Region; ","")&amp;IF(K195&lt;=0,"Invalid Quantity; ","")&amp;IF(L195&lt;0,"Invalid Price; ","")&amp;IF(M195&lt;0,"Invalid Cost; ","")&amp;IF(OR(N195&lt;0,N195&gt;0.5),"Invalid Discount; ","")&amp;IF(COUNTIF(Lookups!$K$2:$K$4,P195)=0,"Invalid Status; ","")</f>
        <v/>
      </c>
      <c r="X195" s="15" t="str">
        <f t="shared" si="38"/>
        <v>2025-12</v>
      </c>
      <c r="Y195" t="str">
        <f t="shared" si="39"/>
        <v>Q4</v>
      </c>
      <c r="Z195" t="str">
        <f>IF(R195&gt;=Settings!$B$9,"High Value Customer",IF(R195&gt;=Settings!$B$10,"Medium Value Customer","Standard Customer"))</f>
        <v>Medium Value Customer</v>
      </c>
      <c r="AA195" t="str">
        <f>IF(R195&gt;=Settings!$B$9,"Large Order",IF(R195&gt;=Settings!$B$10,"Medium Order","Small Order"))</f>
        <v>Medium Order</v>
      </c>
      <c r="AB195" t="str">
        <f>IF(N195=0,"No Discount",IF(N195&lt;=0.1,"Low Discount",IF(N195&lt;=Settings!$B$8,"Medium Discount","High Discount")))</f>
        <v>Medium Discount</v>
      </c>
      <c r="AC195" t="str">
        <f t="shared" si="40"/>
        <v>Profitable</v>
      </c>
      <c r="AD195" t="str">
        <f>IFERROR(VLOOKUP(E195,Lookups!$A$2:$E$11,2,FALSE),"Product Not Found")</f>
        <v>Mechanical Keyboard</v>
      </c>
      <c r="AE195" t="str">
        <f>IFERROR(VLOOKUP(E195,Lookups!$A$2:$E$11,3,FALSE),"Category Not Found")</f>
        <v>Accessories</v>
      </c>
      <c r="AF195" t="str">
        <f>IFERROR(IF(L195=VLOOKUP(E195,Lookups!$A$2:$E$11,4,FALSE),"Price OK","Price Mismatch"),"Product Missing")</f>
        <v>Price OK</v>
      </c>
      <c r="AG195" t="str">
        <f t="shared" si="41"/>
        <v>Valid Email</v>
      </c>
      <c r="AH195" t="str">
        <f t="shared" si="42"/>
        <v>READY FOR REPORTING</v>
      </c>
      <c r="AI195" t="str">
        <f>IF(AND(LEFT(A195,LEN(Settings!$B$13))=Settings!$B$13,LEN(A195)=9),"Valid Format","Invalid Format")</f>
        <v>Valid Format</v>
      </c>
      <c r="AJ195" t="str">
        <f>IF(LEFT(C195,LEN(Settings!$B$14))=Settings!$B$14,"Valid Format","Invalid Format")</f>
        <v>Valid Format</v>
      </c>
      <c r="AK195" t="str">
        <f>IF(COUNTIF(Master_Data!$G$5:$G$14,C195)=1,"Known Customer","Customer Not in Master")</f>
        <v>Customer Not in Master</v>
      </c>
      <c r="AL195" t="str">
        <f>IF(U195&gt;=Settings!$B$11,"Target Met","Below Target")</f>
        <v>Target Met</v>
      </c>
      <c r="AM195" t="str">
        <f>IF(YEAR(B195)=Settings!$B$5,"Correct Year","Wrong Year")</f>
        <v>Correct Year</v>
      </c>
      <c r="AN195">
        <f t="shared" si="43"/>
        <v>4</v>
      </c>
    </row>
    <row r="196" spans="1:40">
      <c r="A196" t="str">
        <f>Raw_Data!A196</f>
        <v>ORD-10195</v>
      </c>
      <c r="B196" s="13">
        <f>Raw_Data!B196</f>
        <v>45779</v>
      </c>
      <c r="C196" t="str">
        <f>Raw_Data!C196</f>
        <v>C1071</v>
      </c>
      <c r="D196" t="str">
        <f>Raw_Data!D196</f>
        <v>client147@example.com</v>
      </c>
      <c r="E196" t="str">
        <f>Raw_Data!E196</f>
        <v>P1003</v>
      </c>
      <c r="F196" t="str">
        <f>Raw_Data!F196</f>
        <v>Mechanical Keyboard</v>
      </c>
      <c r="G196" t="str">
        <f>Raw_Data!G196</f>
        <v>Accessories</v>
      </c>
      <c r="H196" t="str">
        <f>Raw_Data!H196</f>
        <v>South</v>
      </c>
      <c r="I196" t="str">
        <f>Raw_Data!I196</f>
        <v>Store</v>
      </c>
      <c r="J196" t="str">
        <f>Raw_Data!J196</f>
        <v>Ioana Pavel</v>
      </c>
      <c r="K196">
        <f>Raw_Data!K196</f>
        <v>8</v>
      </c>
      <c r="L196" s="12">
        <f>Raw_Data!L196</f>
        <v>265</v>
      </c>
      <c r="M196" s="12">
        <f>Raw_Data!M196</f>
        <v>155</v>
      </c>
      <c r="N196" s="14">
        <f>Raw_Data!N196</f>
        <v>0</v>
      </c>
      <c r="O196" t="str">
        <f>Raw_Data!O196</f>
        <v>Bank Transfer</v>
      </c>
      <c r="P196" t="str">
        <f>Raw_Data!P196</f>
        <v>Completed</v>
      </c>
      <c r="Q196" s="12">
        <f t="shared" si="33"/>
        <v>2120</v>
      </c>
      <c r="R196" s="12">
        <f t="shared" si="34"/>
        <v>2120</v>
      </c>
      <c r="S196" s="12">
        <f t="shared" si="35"/>
        <v>1240</v>
      </c>
      <c r="T196" s="12">
        <f t="shared" si="36"/>
        <v>880</v>
      </c>
      <c r="U196" s="11">
        <f t="shared" si="37"/>
        <v>0.41509433962264153</v>
      </c>
      <c r="V196" t="str">
        <f>IF(OR(A196="",COUNTIF($A$2:$A$301,A196)&gt;1,C196="",D196="",ISERROR(SEARCH("@",D196)),ISERROR(SEARCH(".",D196)),COUNTIF(Lookups!$A$2:$A$11,E196)=0,F196="",H196="",K196&lt;=0,L196&lt;0,M196&lt;0,N196&lt;0,N196&gt;0.5,COUNTIF(Lookups!$K$2:$K$4,P196)=0),"ERROR","VALID")</f>
        <v>VALID</v>
      </c>
      <c r="W196" s="2" t="str">
        <f>IF(A196="","Missing Order ID; ","")&amp;IF(COUNTIF($A$2:$A$301,A196)&gt;1,"Duplicate Order ID; ","")&amp;IF(C196="","Missing Customer ID; ","")&amp;IF(OR(D196="",ISERROR(SEARCH("@",D196)),ISERROR(SEARCH(".",D196))),"Invalid Email; ","")&amp;IF(COUNTIF(Lookups!$A$2:$A$11,E196)=0,"Unknown Product; ","")&amp;IF(F196="","Missing Product Name; ","")&amp;IF(H196="","Missing Region; ","")&amp;IF(K196&lt;=0,"Invalid Quantity; ","")&amp;IF(L196&lt;0,"Invalid Price; ","")&amp;IF(M196&lt;0,"Invalid Cost; ","")&amp;IF(OR(N196&lt;0,N196&gt;0.5),"Invalid Discount; ","")&amp;IF(COUNTIF(Lookups!$K$2:$K$4,P196)=0,"Invalid Status; ","")</f>
        <v/>
      </c>
      <c r="X196" s="15" t="str">
        <f t="shared" si="38"/>
        <v>2025-05</v>
      </c>
      <c r="Y196" t="str">
        <f t="shared" si="39"/>
        <v>Q2</v>
      </c>
      <c r="Z196" t="str">
        <f>IF(R196&gt;=Settings!$B$9,"High Value Customer",IF(R196&gt;=Settings!$B$10,"Medium Value Customer","Standard Customer"))</f>
        <v>Medium Value Customer</v>
      </c>
      <c r="AA196" t="str">
        <f>IF(R196&gt;=Settings!$B$9,"Large Order",IF(R196&gt;=Settings!$B$10,"Medium Order","Small Order"))</f>
        <v>Medium Order</v>
      </c>
      <c r="AB196" t="str">
        <f>IF(N196=0,"No Discount",IF(N196&lt;=0.1,"Low Discount",IF(N196&lt;=Settings!$B$8,"Medium Discount","High Discount")))</f>
        <v>No Discount</v>
      </c>
      <c r="AC196" t="str">
        <f t="shared" si="40"/>
        <v>Profitable</v>
      </c>
      <c r="AD196" t="str">
        <f>IFERROR(VLOOKUP(E196,Lookups!$A$2:$E$11,2,FALSE),"Product Not Found")</f>
        <v>Mechanical Keyboard</v>
      </c>
      <c r="AE196" t="str">
        <f>IFERROR(VLOOKUP(E196,Lookups!$A$2:$E$11,3,FALSE),"Category Not Found")</f>
        <v>Accessories</v>
      </c>
      <c r="AF196" t="str">
        <f>IFERROR(IF(L196=VLOOKUP(E196,Lookups!$A$2:$E$11,4,FALSE),"Price OK","Price Mismatch"),"Product Missing")</f>
        <v>Price OK</v>
      </c>
      <c r="AG196" t="str">
        <f t="shared" si="41"/>
        <v>Valid Email</v>
      </c>
      <c r="AH196" t="str">
        <f t="shared" si="42"/>
        <v>READY FOR REPORTING</v>
      </c>
      <c r="AI196" t="str">
        <f>IF(AND(LEFT(A196,LEN(Settings!$B$13))=Settings!$B$13,LEN(A196)=9),"Valid Format","Invalid Format")</f>
        <v>Valid Format</v>
      </c>
      <c r="AJ196" t="str">
        <f>IF(LEFT(C196,LEN(Settings!$B$14))=Settings!$B$14,"Valid Format","Invalid Format")</f>
        <v>Valid Format</v>
      </c>
      <c r="AK196" t="str">
        <f>IF(COUNTIF(Master_Data!$G$5:$G$14,C196)=1,"Known Customer","Customer Not in Master")</f>
        <v>Customer Not in Master</v>
      </c>
      <c r="AL196" t="str">
        <f>IF(U196&gt;=Settings!$B$11,"Target Met","Below Target")</f>
        <v>Target Met</v>
      </c>
      <c r="AM196" t="str">
        <f>IF(YEAR(B196)=Settings!$B$5,"Correct Year","Wrong Year")</f>
        <v>Correct Year</v>
      </c>
      <c r="AN196">
        <f t="shared" si="43"/>
        <v>4</v>
      </c>
    </row>
    <row r="197" spans="1:40">
      <c r="A197" t="str">
        <f>Raw_Data!A197</f>
        <v>ORD-10196</v>
      </c>
      <c r="B197" s="13">
        <f>Raw_Data!B197</f>
        <v>45702</v>
      </c>
      <c r="C197" t="str">
        <f>Raw_Data!C197</f>
        <v>C1092</v>
      </c>
      <c r="D197" t="str">
        <f>Raw_Data!D197</f>
        <v>client123@example.com</v>
      </c>
      <c r="E197" t="str">
        <f>Raw_Data!E197</f>
        <v>P1010</v>
      </c>
      <c r="F197" t="str">
        <f>Raw_Data!F197</f>
        <v>Headset</v>
      </c>
      <c r="G197" t="str">
        <f>Raw_Data!G197</f>
        <v>Electronics</v>
      </c>
      <c r="H197" t="str">
        <f>Raw_Data!H197</f>
        <v>West</v>
      </c>
      <c r="I197" t="str">
        <f>Raw_Data!I197</f>
        <v>Store</v>
      </c>
      <c r="J197" t="str">
        <f>Raw_Data!J197</f>
        <v>Mihai Radu</v>
      </c>
      <c r="K197">
        <f>Raw_Data!K197</f>
        <v>2</v>
      </c>
      <c r="L197" s="12">
        <f>Raw_Data!L197</f>
        <v>195</v>
      </c>
      <c r="M197" s="12">
        <f>Raw_Data!M197</f>
        <v>105</v>
      </c>
      <c r="N197" s="14">
        <f>Raw_Data!N197</f>
        <v>0.05</v>
      </c>
      <c r="O197" t="str">
        <f>Raw_Data!O197</f>
        <v>Card</v>
      </c>
      <c r="P197" t="str">
        <f>Raw_Data!P197</f>
        <v>Completed</v>
      </c>
      <c r="Q197" s="12">
        <f t="shared" si="33"/>
        <v>390</v>
      </c>
      <c r="R197" s="12">
        <f t="shared" si="34"/>
        <v>370.5</v>
      </c>
      <c r="S197" s="12">
        <f t="shared" si="35"/>
        <v>210</v>
      </c>
      <c r="T197" s="12">
        <f t="shared" si="36"/>
        <v>160.5</v>
      </c>
      <c r="U197" s="11">
        <f t="shared" si="37"/>
        <v>0.4331983805668016</v>
      </c>
      <c r="V197" t="str">
        <f>IF(OR(A197="",COUNTIF($A$2:$A$301,A197)&gt;1,C197="",D197="",ISERROR(SEARCH("@",D197)),ISERROR(SEARCH(".",D197)),COUNTIF(Lookups!$A$2:$A$11,E197)=0,F197="",H197="",K197&lt;=0,L197&lt;0,M197&lt;0,N197&lt;0,N197&gt;0.5,COUNTIF(Lookups!$K$2:$K$4,P197)=0),"ERROR","VALID")</f>
        <v>VALID</v>
      </c>
      <c r="W197" s="2" t="str">
        <f>IF(A197="","Missing Order ID; ","")&amp;IF(COUNTIF($A$2:$A$301,A197)&gt;1,"Duplicate Order ID; ","")&amp;IF(C197="","Missing Customer ID; ","")&amp;IF(OR(D197="",ISERROR(SEARCH("@",D197)),ISERROR(SEARCH(".",D197))),"Invalid Email; ","")&amp;IF(COUNTIF(Lookups!$A$2:$A$11,E197)=0,"Unknown Product; ","")&amp;IF(F197="","Missing Product Name; ","")&amp;IF(H197="","Missing Region; ","")&amp;IF(K197&lt;=0,"Invalid Quantity; ","")&amp;IF(L197&lt;0,"Invalid Price; ","")&amp;IF(M197&lt;0,"Invalid Cost; ","")&amp;IF(OR(N197&lt;0,N197&gt;0.5),"Invalid Discount; ","")&amp;IF(COUNTIF(Lookups!$K$2:$K$4,P197)=0,"Invalid Status; ","")</f>
        <v/>
      </c>
      <c r="X197" s="15" t="str">
        <f t="shared" si="38"/>
        <v>2025-02</v>
      </c>
      <c r="Y197" t="str">
        <f t="shared" si="39"/>
        <v>Q1</v>
      </c>
      <c r="Z197" t="str">
        <f>IF(R197&gt;=Settings!$B$9,"High Value Customer",IF(R197&gt;=Settings!$B$10,"Medium Value Customer","Standard Customer"))</f>
        <v>Standard Customer</v>
      </c>
      <c r="AA197" t="str">
        <f>IF(R197&gt;=Settings!$B$9,"Large Order",IF(R197&gt;=Settings!$B$10,"Medium Order","Small Order"))</f>
        <v>Small Order</v>
      </c>
      <c r="AB197" t="str">
        <f>IF(N197=0,"No Discount",IF(N197&lt;=0.1,"Low Discount",IF(N197&lt;=Settings!$B$8,"Medium Discount","High Discount")))</f>
        <v>Low Discount</v>
      </c>
      <c r="AC197" t="str">
        <f t="shared" si="40"/>
        <v>Profitable</v>
      </c>
      <c r="AD197" t="str">
        <f>IFERROR(VLOOKUP(E197,Lookups!$A$2:$E$11,2,FALSE),"Product Not Found")</f>
        <v>Headset</v>
      </c>
      <c r="AE197" t="str">
        <f>IFERROR(VLOOKUP(E197,Lookups!$A$2:$E$11,3,FALSE),"Category Not Found")</f>
        <v>Electronics</v>
      </c>
      <c r="AF197" t="str">
        <f>IFERROR(IF(L197=VLOOKUP(E197,Lookups!$A$2:$E$11,4,FALSE),"Price OK","Price Mismatch"),"Product Missing")</f>
        <v>Price OK</v>
      </c>
      <c r="AG197" t="str">
        <f t="shared" si="41"/>
        <v>Valid Email</v>
      </c>
      <c r="AH197" t="str">
        <f t="shared" si="42"/>
        <v>READY FOR REPORTING</v>
      </c>
      <c r="AI197" t="str">
        <f>IF(AND(LEFT(A197,LEN(Settings!$B$13))=Settings!$B$13,LEN(A197)=9),"Valid Format","Invalid Format")</f>
        <v>Valid Format</v>
      </c>
      <c r="AJ197" t="str">
        <f>IF(LEFT(C197,LEN(Settings!$B$14))=Settings!$B$14,"Valid Format","Invalid Format")</f>
        <v>Valid Format</v>
      </c>
      <c r="AK197" t="str">
        <f>IF(COUNTIF(Master_Data!$G$5:$G$14,C197)=1,"Known Customer","Customer Not in Master")</f>
        <v>Customer Not in Master</v>
      </c>
      <c r="AL197" t="str">
        <f>IF(U197&gt;=Settings!$B$11,"Target Met","Below Target")</f>
        <v>Target Met</v>
      </c>
      <c r="AM197" t="str">
        <f>IF(YEAR(B197)=Settings!$B$5,"Correct Year","Wrong Year")</f>
        <v>Correct Year</v>
      </c>
      <c r="AN197">
        <f t="shared" si="43"/>
        <v>4</v>
      </c>
    </row>
    <row r="198" spans="1:40">
      <c r="A198" t="str">
        <f>Raw_Data!A198</f>
        <v>ORD-10197</v>
      </c>
      <c r="B198" s="13">
        <f>Raw_Data!B198</f>
        <v>45820</v>
      </c>
      <c r="C198" t="str">
        <f>Raw_Data!C198</f>
        <v>C1060</v>
      </c>
      <c r="D198" t="str">
        <f>Raw_Data!D198</f>
        <v>client175@example.com</v>
      </c>
      <c r="E198" t="str">
        <f>Raw_Data!E198</f>
        <v>P1003</v>
      </c>
      <c r="F198" t="str">
        <f>Raw_Data!F198</f>
        <v>Mechanical Keyboard</v>
      </c>
      <c r="G198" t="str">
        <f>Raw_Data!G198</f>
        <v>Accessories</v>
      </c>
      <c r="H198" t="str">
        <f>Raw_Data!H198</f>
        <v>West</v>
      </c>
      <c r="I198" t="str">
        <f>Raw_Data!I198</f>
        <v>Store</v>
      </c>
      <c r="J198" t="str">
        <f>Raw_Data!J198</f>
        <v>Maria Ionescu</v>
      </c>
      <c r="K198">
        <f>Raw_Data!K198</f>
        <v>11</v>
      </c>
      <c r="L198" s="12">
        <f>Raw_Data!L198</f>
        <v>265</v>
      </c>
      <c r="M198" s="12">
        <f>Raw_Data!M198</f>
        <v>155</v>
      </c>
      <c r="N198" s="14">
        <f>Raw_Data!N198</f>
        <v>0</v>
      </c>
      <c r="O198" t="str">
        <f>Raw_Data!O198</f>
        <v>Bank Transfer</v>
      </c>
      <c r="P198" t="str">
        <f>Raw_Data!P198</f>
        <v>Completed</v>
      </c>
      <c r="Q198" s="12">
        <f t="shared" si="33"/>
        <v>2915</v>
      </c>
      <c r="R198" s="12">
        <f t="shared" si="34"/>
        <v>2915</v>
      </c>
      <c r="S198" s="12">
        <f t="shared" si="35"/>
        <v>1705</v>
      </c>
      <c r="T198" s="12">
        <f t="shared" si="36"/>
        <v>1210</v>
      </c>
      <c r="U198" s="11">
        <f t="shared" si="37"/>
        <v>0.41509433962264153</v>
      </c>
      <c r="V198" t="str">
        <f>IF(OR(A198="",COUNTIF($A$2:$A$301,A198)&gt;1,C198="",D198="",ISERROR(SEARCH("@",D198)),ISERROR(SEARCH(".",D198)),COUNTIF(Lookups!$A$2:$A$11,E198)=0,F198="",H198="",K198&lt;=0,L198&lt;0,M198&lt;0,N198&lt;0,N198&gt;0.5,COUNTIF(Lookups!$K$2:$K$4,P198)=0),"ERROR","VALID")</f>
        <v>VALID</v>
      </c>
      <c r="W198" s="2" t="str">
        <f>IF(A198="","Missing Order ID; ","")&amp;IF(COUNTIF($A$2:$A$301,A198)&gt;1,"Duplicate Order ID; ","")&amp;IF(C198="","Missing Customer ID; ","")&amp;IF(OR(D198="",ISERROR(SEARCH("@",D198)),ISERROR(SEARCH(".",D198))),"Invalid Email; ","")&amp;IF(COUNTIF(Lookups!$A$2:$A$11,E198)=0,"Unknown Product; ","")&amp;IF(F198="","Missing Product Name; ","")&amp;IF(H198="","Missing Region; ","")&amp;IF(K198&lt;=0,"Invalid Quantity; ","")&amp;IF(L198&lt;0,"Invalid Price; ","")&amp;IF(M198&lt;0,"Invalid Cost; ","")&amp;IF(OR(N198&lt;0,N198&gt;0.5),"Invalid Discount; ","")&amp;IF(COUNTIF(Lookups!$K$2:$K$4,P198)=0,"Invalid Status; ","")</f>
        <v/>
      </c>
      <c r="X198" s="15" t="str">
        <f t="shared" si="38"/>
        <v>2025-06</v>
      </c>
      <c r="Y198" t="str">
        <f t="shared" si="39"/>
        <v>Q2</v>
      </c>
      <c r="Z198" t="str">
        <f>IF(R198&gt;=Settings!$B$9,"High Value Customer",IF(R198&gt;=Settings!$B$10,"Medium Value Customer","Standard Customer"))</f>
        <v>Medium Value Customer</v>
      </c>
      <c r="AA198" t="str">
        <f>IF(R198&gt;=Settings!$B$9,"Large Order",IF(R198&gt;=Settings!$B$10,"Medium Order","Small Order"))</f>
        <v>Medium Order</v>
      </c>
      <c r="AB198" t="str">
        <f>IF(N198=0,"No Discount",IF(N198&lt;=0.1,"Low Discount",IF(N198&lt;=Settings!$B$8,"Medium Discount","High Discount")))</f>
        <v>No Discount</v>
      </c>
      <c r="AC198" t="str">
        <f t="shared" si="40"/>
        <v>Profitable</v>
      </c>
      <c r="AD198" t="str">
        <f>IFERROR(VLOOKUP(E198,Lookups!$A$2:$E$11,2,FALSE),"Product Not Found")</f>
        <v>Mechanical Keyboard</v>
      </c>
      <c r="AE198" t="str">
        <f>IFERROR(VLOOKUP(E198,Lookups!$A$2:$E$11,3,FALSE),"Category Not Found")</f>
        <v>Accessories</v>
      </c>
      <c r="AF198" t="str">
        <f>IFERROR(IF(L198=VLOOKUP(E198,Lookups!$A$2:$E$11,4,FALSE),"Price OK","Price Mismatch"),"Product Missing")</f>
        <v>Price OK</v>
      </c>
      <c r="AG198" t="str">
        <f t="shared" si="41"/>
        <v>Valid Email</v>
      </c>
      <c r="AH198" t="str">
        <f t="shared" si="42"/>
        <v>READY FOR REPORTING</v>
      </c>
      <c r="AI198" t="str">
        <f>IF(AND(LEFT(A198,LEN(Settings!$B$13))=Settings!$B$13,LEN(A198)=9),"Valid Format","Invalid Format")</f>
        <v>Valid Format</v>
      </c>
      <c r="AJ198" t="str">
        <f>IF(LEFT(C198,LEN(Settings!$B$14))=Settings!$B$14,"Valid Format","Invalid Format")</f>
        <v>Valid Format</v>
      </c>
      <c r="AK198" t="str">
        <f>IF(COUNTIF(Master_Data!$G$5:$G$14,C198)=1,"Known Customer","Customer Not in Master")</f>
        <v>Customer Not in Master</v>
      </c>
      <c r="AL198" t="str">
        <f>IF(U198&gt;=Settings!$B$11,"Target Met","Below Target")</f>
        <v>Target Met</v>
      </c>
      <c r="AM198" t="str">
        <f>IF(YEAR(B198)=Settings!$B$5,"Correct Year","Wrong Year")</f>
        <v>Correct Year</v>
      </c>
      <c r="AN198">
        <f t="shared" si="43"/>
        <v>4</v>
      </c>
    </row>
    <row r="199" spans="1:40">
      <c r="A199" t="str">
        <f>Raw_Data!A199</f>
        <v>ORD-10198</v>
      </c>
      <c r="B199" s="13">
        <f>Raw_Data!B199</f>
        <v>45879</v>
      </c>
      <c r="C199" t="str">
        <f>Raw_Data!C199</f>
        <v>C1067</v>
      </c>
      <c r="D199" t="str">
        <f>Raw_Data!D199</f>
        <v>client40@example.com</v>
      </c>
      <c r="E199" t="str">
        <f>Raw_Data!E199</f>
        <v>P1003</v>
      </c>
      <c r="F199" t="str">
        <f>Raw_Data!F199</f>
        <v>Mechanical Keyboard</v>
      </c>
      <c r="G199" t="str">
        <f>Raw_Data!G199</f>
        <v>Accessories</v>
      </c>
      <c r="H199" t="str">
        <f>Raw_Data!H199</f>
        <v>South</v>
      </c>
      <c r="I199" t="str">
        <f>Raw_Data!I199</f>
        <v>Online</v>
      </c>
      <c r="J199" t="str">
        <f>Raw_Data!J199</f>
        <v>Maria Ionescu</v>
      </c>
      <c r="K199">
        <f>Raw_Data!K199</f>
        <v>9</v>
      </c>
      <c r="L199" s="12">
        <f>Raw_Data!L199</f>
        <v>265</v>
      </c>
      <c r="M199" s="12">
        <f>Raw_Data!M199</f>
        <v>155</v>
      </c>
      <c r="N199" s="14">
        <f>Raw_Data!N199</f>
        <v>0</v>
      </c>
      <c r="O199" t="str">
        <f>Raw_Data!O199</f>
        <v>Cash</v>
      </c>
      <c r="P199" t="str">
        <f>Raw_Data!P199</f>
        <v>Completed</v>
      </c>
      <c r="Q199" s="12">
        <f t="shared" si="33"/>
        <v>2385</v>
      </c>
      <c r="R199" s="12">
        <f t="shared" si="34"/>
        <v>2385</v>
      </c>
      <c r="S199" s="12">
        <f t="shared" si="35"/>
        <v>1395</v>
      </c>
      <c r="T199" s="12">
        <f t="shared" si="36"/>
        <v>990</v>
      </c>
      <c r="U199" s="11">
        <f t="shared" si="37"/>
        <v>0.41509433962264153</v>
      </c>
      <c r="V199" t="str">
        <f>IF(OR(A199="",COUNTIF($A$2:$A$301,A199)&gt;1,C199="",D199="",ISERROR(SEARCH("@",D199)),ISERROR(SEARCH(".",D199)),COUNTIF(Lookups!$A$2:$A$11,E199)=0,F199="",H199="",K199&lt;=0,L199&lt;0,M199&lt;0,N199&lt;0,N199&gt;0.5,COUNTIF(Lookups!$K$2:$K$4,P199)=0),"ERROR","VALID")</f>
        <v>VALID</v>
      </c>
      <c r="W199" s="2" t="str">
        <f>IF(A199="","Missing Order ID; ","")&amp;IF(COUNTIF($A$2:$A$301,A199)&gt;1,"Duplicate Order ID; ","")&amp;IF(C199="","Missing Customer ID; ","")&amp;IF(OR(D199="",ISERROR(SEARCH("@",D199)),ISERROR(SEARCH(".",D199))),"Invalid Email; ","")&amp;IF(COUNTIF(Lookups!$A$2:$A$11,E199)=0,"Unknown Product; ","")&amp;IF(F199="","Missing Product Name; ","")&amp;IF(H199="","Missing Region; ","")&amp;IF(K199&lt;=0,"Invalid Quantity; ","")&amp;IF(L199&lt;0,"Invalid Price; ","")&amp;IF(M199&lt;0,"Invalid Cost; ","")&amp;IF(OR(N199&lt;0,N199&gt;0.5),"Invalid Discount; ","")&amp;IF(COUNTIF(Lookups!$K$2:$K$4,P199)=0,"Invalid Status; ","")</f>
        <v/>
      </c>
      <c r="X199" s="15" t="str">
        <f t="shared" si="38"/>
        <v>2025-08</v>
      </c>
      <c r="Y199" t="str">
        <f t="shared" si="39"/>
        <v>Q3</v>
      </c>
      <c r="Z199" t="str">
        <f>IF(R199&gt;=Settings!$B$9,"High Value Customer",IF(R199&gt;=Settings!$B$10,"Medium Value Customer","Standard Customer"))</f>
        <v>Medium Value Customer</v>
      </c>
      <c r="AA199" t="str">
        <f>IF(R199&gt;=Settings!$B$9,"Large Order",IF(R199&gt;=Settings!$B$10,"Medium Order","Small Order"))</f>
        <v>Medium Order</v>
      </c>
      <c r="AB199" t="str">
        <f>IF(N199=0,"No Discount",IF(N199&lt;=0.1,"Low Discount",IF(N199&lt;=Settings!$B$8,"Medium Discount","High Discount")))</f>
        <v>No Discount</v>
      </c>
      <c r="AC199" t="str">
        <f t="shared" si="40"/>
        <v>Profitable</v>
      </c>
      <c r="AD199" t="str">
        <f>IFERROR(VLOOKUP(E199,Lookups!$A$2:$E$11,2,FALSE),"Product Not Found")</f>
        <v>Mechanical Keyboard</v>
      </c>
      <c r="AE199" t="str">
        <f>IFERROR(VLOOKUP(E199,Lookups!$A$2:$E$11,3,FALSE),"Category Not Found")</f>
        <v>Accessories</v>
      </c>
      <c r="AF199" t="str">
        <f>IFERROR(IF(L199=VLOOKUP(E199,Lookups!$A$2:$E$11,4,FALSE),"Price OK","Price Mismatch"),"Product Missing")</f>
        <v>Price OK</v>
      </c>
      <c r="AG199" t="str">
        <f t="shared" si="41"/>
        <v>Valid Email</v>
      </c>
      <c r="AH199" t="str">
        <f t="shared" si="42"/>
        <v>READY FOR REPORTING</v>
      </c>
      <c r="AI199" t="str">
        <f>IF(AND(LEFT(A199,LEN(Settings!$B$13))=Settings!$B$13,LEN(A199)=9),"Valid Format","Invalid Format")</f>
        <v>Valid Format</v>
      </c>
      <c r="AJ199" t="str">
        <f>IF(LEFT(C199,LEN(Settings!$B$14))=Settings!$B$14,"Valid Format","Invalid Format")</f>
        <v>Valid Format</v>
      </c>
      <c r="AK199" t="str">
        <f>IF(COUNTIF(Master_Data!$G$5:$G$14,C199)=1,"Known Customer","Customer Not in Master")</f>
        <v>Customer Not in Master</v>
      </c>
      <c r="AL199" t="str">
        <f>IF(U199&gt;=Settings!$B$11,"Target Met","Below Target")</f>
        <v>Target Met</v>
      </c>
      <c r="AM199" t="str">
        <f>IF(YEAR(B199)=Settings!$B$5,"Correct Year","Wrong Year")</f>
        <v>Correct Year</v>
      </c>
      <c r="AN199">
        <f t="shared" si="43"/>
        <v>4</v>
      </c>
    </row>
    <row r="200" spans="1:40">
      <c r="A200" t="str">
        <f>Raw_Data!A200</f>
        <v>ORD-10199</v>
      </c>
      <c r="B200" s="13">
        <f>Raw_Data!B200</f>
        <v>45835</v>
      </c>
      <c r="C200" t="str">
        <f>Raw_Data!C200</f>
        <v>C1033</v>
      </c>
      <c r="D200" t="str">
        <f>Raw_Data!D200</f>
        <v>client51@example.com</v>
      </c>
      <c r="E200" t="str">
        <f>Raw_Data!E200</f>
        <v>P1004</v>
      </c>
      <c r="F200" t="str">
        <f>Raw_Data!F200</f>
        <v>USB-C Hub</v>
      </c>
      <c r="G200" t="str">
        <f>Raw_Data!G200</f>
        <v>Accessories</v>
      </c>
      <c r="H200" t="str">
        <f>Raw_Data!H200</f>
        <v>West</v>
      </c>
      <c r="I200" t="str">
        <f>Raw_Data!I200</f>
        <v>Store</v>
      </c>
      <c r="J200" t="str">
        <f>Raw_Data!J200</f>
        <v>Maria Ionescu</v>
      </c>
      <c r="K200">
        <f>Raw_Data!K200</f>
        <v>9</v>
      </c>
      <c r="L200" s="12">
        <f>Raw_Data!L200</f>
        <v>175</v>
      </c>
      <c r="M200" s="12">
        <f>Raw_Data!M200</f>
        <v>98</v>
      </c>
      <c r="N200" s="14">
        <f>Raw_Data!N200</f>
        <v>0.05</v>
      </c>
      <c r="O200" t="str">
        <f>Raw_Data!O200</f>
        <v>Cash</v>
      </c>
      <c r="P200" t="str">
        <f>Raw_Data!P200</f>
        <v>Completed</v>
      </c>
      <c r="Q200" s="12">
        <f t="shared" si="33"/>
        <v>1575</v>
      </c>
      <c r="R200" s="12">
        <f t="shared" si="34"/>
        <v>1496.25</v>
      </c>
      <c r="S200" s="12">
        <f t="shared" si="35"/>
        <v>882</v>
      </c>
      <c r="T200" s="12">
        <f t="shared" si="36"/>
        <v>614.25</v>
      </c>
      <c r="U200" s="11">
        <f t="shared" si="37"/>
        <v>0.41052631578947368</v>
      </c>
      <c r="V200" t="str">
        <f>IF(OR(A200="",COUNTIF($A$2:$A$301,A200)&gt;1,C200="",D200="",ISERROR(SEARCH("@",D200)),ISERROR(SEARCH(".",D200)),COUNTIF(Lookups!$A$2:$A$11,E200)=0,F200="",H200="",K200&lt;=0,L200&lt;0,M200&lt;0,N200&lt;0,N200&gt;0.5,COUNTIF(Lookups!$K$2:$K$4,P200)=0),"ERROR","VALID")</f>
        <v>VALID</v>
      </c>
      <c r="W200" s="2" t="str">
        <f>IF(A200="","Missing Order ID; ","")&amp;IF(COUNTIF($A$2:$A$301,A200)&gt;1,"Duplicate Order ID; ","")&amp;IF(C200="","Missing Customer ID; ","")&amp;IF(OR(D200="",ISERROR(SEARCH("@",D200)),ISERROR(SEARCH(".",D200))),"Invalid Email; ","")&amp;IF(COUNTIF(Lookups!$A$2:$A$11,E200)=0,"Unknown Product; ","")&amp;IF(F200="","Missing Product Name; ","")&amp;IF(H200="","Missing Region; ","")&amp;IF(K200&lt;=0,"Invalid Quantity; ","")&amp;IF(L200&lt;0,"Invalid Price; ","")&amp;IF(M200&lt;0,"Invalid Cost; ","")&amp;IF(OR(N200&lt;0,N200&gt;0.5),"Invalid Discount; ","")&amp;IF(COUNTIF(Lookups!$K$2:$K$4,P200)=0,"Invalid Status; ","")</f>
        <v/>
      </c>
      <c r="X200" s="15" t="str">
        <f t="shared" si="38"/>
        <v>2025-06</v>
      </c>
      <c r="Y200" t="str">
        <f t="shared" si="39"/>
        <v>Q2</v>
      </c>
      <c r="Z200" t="str">
        <f>IF(R200&gt;=Settings!$B$9,"High Value Customer",IF(R200&gt;=Settings!$B$10,"Medium Value Customer","Standard Customer"))</f>
        <v>Standard Customer</v>
      </c>
      <c r="AA200" t="str">
        <f>IF(R200&gt;=Settings!$B$9,"Large Order",IF(R200&gt;=Settings!$B$10,"Medium Order","Small Order"))</f>
        <v>Small Order</v>
      </c>
      <c r="AB200" t="str">
        <f>IF(N200=0,"No Discount",IF(N200&lt;=0.1,"Low Discount",IF(N200&lt;=Settings!$B$8,"Medium Discount","High Discount")))</f>
        <v>Low Discount</v>
      </c>
      <c r="AC200" t="str">
        <f t="shared" si="40"/>
        <v>Profitable</v>
      </c>
      <c r="AD200" t="str">
        <f>IFERROR(VLOOKUP(E200,Lookups!$A$2:$E$11,2,FALSE),"Product Not Found")</f>
        <v>USB-C Hub</v>
      </c>
      <c r="AE200" t="str">
        <f>IFERROR(VLOOKUP(E200,Lookups!$A$2:$E$11,3,FALSE),"Category Not Found")</f>
        <v>Accessories</v>
      </c>
      <c r="AF200" t="str">
        <f>IFERROR(IF(L200=VLOOKUP(E200,Lookups!$A$2:$E$11,4,FALSE),"Price OK","Price Mismatch"),"Product Missing")</f>
        <v>Price OK</v>
      </c>
      <c r="AG200" t="str">
        <f t="shared" si="41"/>
        <v>Valid Email</v>
      </c>
      <c r="AH200" t="str">
        <f t="shared" si="42"/>
        <v>READY FOR REPORTING</v>
      </c>
      <c r="AI200" t="str">
        <f>IF(AND(LEFT(A200,LEN(Settings!$B$13))=Settings!$B$13,LEN(A200)=9),"Valid Format","Invalid Format")</f>
        <v>Valid Format</v>
      </c>
      <c r="AJ200" t="str">
        <f>IF(LEFT(C200,LEN(Settings!$B$14))=Settings!$B$14,"Valid Format","Invalid Format")</f>
        <v>Valid Format</v>
      </c>
      <c r="AK200" t="str">
        <f>IF(COUNTIF(Master_Data!$G$5:$G$14,C200)=1,"Known Customer","Customer Not in Master")</f>
        <v>Customer Not in Master</v>
      </c>
      <c r="AL200" t="str">
        <f>IF(U200&gt;=Settings!$B$11,"Target Met","Below Target")</f>
        <v>Target Met</v>
      </c>
      <c r="AM200" t="str">
        <f>IF(YEAR(B200)=Settings!$B$5,"Correct Year","Wrong Year")</f>
        <v>Correct Year</v>
      </c>
      <c r="AN200">
        <f t="shared" si="43"/>
        <v>4</v>
      </c>
    </row>
    <row r="201" spans="1:40">
      <c r="A201" t="str">
        <f>Raw_Data!A201</f>
        <v>ORD-10200</v>
      </c>
      <c r="B201" s="13">
        <f>Raw_Data!B201</f>
        <v>45931</v>
      </c>
      <c r="C201" t="str">
        <f>Raw_Data!C201</f>
        <v>C1022</v>
      </c>
      <c r="D201" t="str">
        <f>Raw_Data!D201</f>
        <v>client152@example.com</v>
      </c>
      <c r="E201" t="str">
        <f>Raw_Data!E201</f>
        <v>P1010</v>
      </c>
      <c r="F201" t="str">
        <f>Raw_Data!F201</f>
        <v>Headset</v>
      </c>
      <c r="G201" t="str">
        <f>Raw_Data!G201</f>
        <v>Electronics</v>
      </c>
      <c r="H201" t="str">
        <f>Raw_Data!H201</f>
        <v>West</v>
      </c>
      <c r="I201" t="str">
        <f>Raw_Data!I201</f>
        <v>Online</v>
      </c>
      <c r="J201" t="str">
        <f>Raw_Data!J201</f>
        <v>Maria Ionescu</v>
      </c>
      <c r="K201">
        <f>Raw_Data!K201</f>
        <v>2</v>
      </c>
      <c r="L201" s="12">
        <f>Raw_Data!L201</f>
        <v>195</v>
      </c>
      <c r="M201" s="12">
        <f>Raw_Data!M201</f>
        <v>105</v>
      </c>
      <c r="N201" s="14">
        <f>Raw_Data!N201</f>
        <v>0.15</v>
      </c>
      <c r="O201" t="str">
        <f>Raw_Data!O201</f>
        <v>Cash</v>
      </c>
      <c r="P201" t="str">
        <f>Raw_Data!P201</f>
        <v>Cancelled</v>
      </c>
      <c r="Q201" s="12">
        <f t="shared" si="33"/>
        <v>390</v>
      </c>
      <c r="R201" s="12">
        <f t="shared" si="34"/>
        <v>331.5</v>
      </c>
      <c r="S201" s="12">
        <f t="shared" si="35"/>
        <v>210</v>
      </c>
      <c r="T201" s="12">
        <f t="shared" si="36"/>
        <v>121.5</v>
      </c>
      <c r="U201" s="11">
        <f t="shared" si="37"/>
        <v>0.36651583710407237</v>
      </c>
      <c r="V201" t="str">
        <f>IF(OR(A201="",COUNTIF($A$2:$A$301,A201)&gt;1,C201="",D201="",ISERROR(SEARCH("@",D201)),ISERROR(SEARCH(".",D201)),COUNTIF(Lookups!$A$2:$A$11,E201)=0,F201="",H201="",K201&lt;=0,L201&lt;0,M201&lt;0,N201&lt;0,N201&gt;0.5,COUNTIF(Lookups!$K$2:$K$4,P201)=0),"ERROR","VALID")</f>
        <v>VALID</v>
      </c>
      <c r="W201" s="2" t="str">
        <f>IF(A201="","Missing Order ID; ","")&amp;IF(COUNTIF($A$2:$A$301,A201)&gt;1,"Duplicate Order ID; ","")&amp;IF(C201="","Missing Customer ID; ","")&amp;IF(OR(D201="",ISERROR(SEARCH("@",D201)),ISERROR(SEARCH(".",D201))),"Invalid Email; ","")&amp;IF(COUNTIF(Lookups!$A$2:$A$11,E201)=0,"Unknown Product; ","")&amp;IF(F201="","Missing Product Name; ","")&amp;IF(H201="","Missing Region; ","")&amp;IF(K201&lt;=0,"Invalid Quantity; ","")&amp;IF(L201&lt;0,"Invalid Price; ","")&amp;IF(M201&lt;0,"Invalid Cost; ","")&amp;IF(OR(N201&lt;0,N201&gt;0.5),"Invalid Discount; ","")&amp;IF(COUNTIF(Lookups!$K$2:$K$4,P201)=0,"Invalid Status; ","")</f>
        <v/>
      </c>
      <c r="X201" s="15" t="str">
        <f t="shared" si="38"/>
        <v>2025-10</v>
      </c>
      <c r="Y201" t="str">
        <f t="shared" si="39"/>
        <v>Q4</v>
      </c>
      <c r="Z201" t="str">
        <f>IF(R201&gt;=Settings!$B$9,"High Value Customer",IF(R201&gt;=Settings!$B$10,"Medium Value Customer","Standard Customer"))</f>
        <v>Standard Customer</v>
      </c>
      <c r="AA201" t="str">
        <f>IF(R201&gt;=Settings!$B$9,"Large Order",IF(R201&gt;=Settings!$B$10,"Medium Order","Small Order"))</f>
        <v>Small Order</v>
      </c>
      <c r="AB201" t="str">
        <f>IF(N201=0,"No Discount",IF(N201&lt;=0.1,"Low Discount",IF(N201&lt;=Settings!$B$8,"Medium Discount","High Discount")))</f>
        <v>Medium Discount</v>
      </c>
      <c r="AC201" t="str">
        <f t="shared" si="40"/>
        <v>Profitable</v>
      </c>
      <c r="AD201" t="str">
        <f>IFERROR(VLOOKUP(E201,Lookups!$A$2:$E$11,2,FALSE),"Product Not Found")</f>
        <v>Headset</v>
      </c>
      <c r="AE201" t="str">
        <f>IFERROR(VLOOKUP(E201,Lookups!$A$2:$E$11,3,FALSE),"Category Not Found")</f>
        <v>Electronics</v>
      </c>
      <c r="AF201" t="str">
        <f>IFERROR(IF(L201=VLOOKUP(E201,Lookups!$A$2:$E$11,4,FALSE),"Price OK","Price Mismatch"),"Product Missing")</f>
        <v>Price OK</v>
      </c>
      <c r="AG201" t="str">
        <f t="shared" si="41"/>
        <v>Valid Email</v>
      </c>
      <c r="AH201" t="str">
        <f t="shared" si="42"/>
        <v>READY FOR REPORTING</v>
      </c>
      <c r="AI201" t="str">
        <f>IF(AND(LEFT(A201,LEN(Settings!$B$13))=Settings!$B$13,LEN(A201)=9),"Valid Format","Invalid Format")</f>
        <v>Valid Format</v>
      </c>
      <c r="AJ201" t="str">
        <f>IF(LEFT(C201,LEN(Settings!$B$14))=Settings!$B$14,"Valid Format","Invalid Format")</f>
        <v>Valid Format</v>
      </c>
      <c r="AK201" t="str">
        <f>IF(COUNTIF(Master_Data!$G$5:$G$14,C201)=1,"Known Customer","Customer Not in Master")</f>
        <v>Customer Not in Master</v>
      </c>
      <c r="AL201" t="str">
        <f>IF(U201&gt;=Settings!$B$11,"Target Met","Below Target")</f>
        <v>Target Met</v>
      </c>
      <c r="AM201" t="str">
        <f>IF(YEAR(B201)=Settings!$B$5,"Correct Year","Wrong Year")</f>
        <v>Correct Year</v>
      </c>
      <c r="AN201">
        <f t="shared" si="43"/>
        <v>4</v>
      </c>
    </row>
    <row r="202" spans="1:40">
      <c r="A202" t="str">
        <f>Raw_Data!A202</f>
        <v>ORD-10201</v>
      </c>
      <c r="B202" s="13">
        <f>Raw_Data!B202</f>
        <v>45679</v>
      </c>
      <c r="C202" t="str">
        <f>Raw_Data!C202</f>
        <v>C1122</v>
      </c>
      <c r="D202" t="str">
        <f>Raw_Data!D202</f>
        <v>client165@example.com</v>
      </c>
      <c r="E202" t="str">
        <f>Raw_Data!E202</f>
        <v>P1010</v>
      </c>
      <c r="F202" t="str">
        <f>Raw_Data!F202</f>
        <v>Headset</v>
      </c>
      <c r="G202" t="str">
        <f>Raw_Data!G202</f>
        <v>Electronics</v>
      </c>
      <c r="H202" t="str">
        <f>Raw_Data!H202</f>
        <v>West</v>
      </c>
      <c r="I202" t="str">
        <f>Raw_Data!I202</f>
        <v>Store</v>
      </c>
      <c r="J202" t="str">
        <f>Raw_Data!J202</f>
        <v>Maria Ionescu</v>
      </c>
      <c r="K202">
        <f>Raw_Data!K202</f>
        <v>1</v>
      </c>
      <c r="L202" s="12">
        <f>Raw_Data!L202</f>
        <v>195</v>
      </c>
      <c r="M202" s="12">
        <f>Raw_Data!M202</f>
        <v>105</v>
      </c>
      <c r="N202" s="14">
        <f>Raw_Data!N202</f>
        <v>0</v>
      </c>
      <c r="O202" t="str">
        <f>Raw_Data!O202</f>
        <v>Online Wallet</v>
      </c>
      <c r="P202" t="str">
        <f>Raw_Data!P202</f>
        <v>Completed</v>
      </c>
      <c r="Q202" s="12">
        <f t="shared" si="33"/>
        <v>195</v>
      </c>
      <c r="R202" s="12">
        <f t="shared" si="34"/>
        <v>195</v>
      </c>
      <c r="S202" s="12">
        <f t="shared" si="35"/>
        <v>105</v>
      </c>
      <c r="T202" s="12">
        <f t="shared" si="36"/>
        <v>90</v>
      </c>
      <c r="U202" s="11">
        <f t="shared" si="37"/>
        <v>0.46153846153846156</v>
      </c>
      <c r="V202" t="str">
        <f>IF(OR(A202="",COUNTIF($A$2:$A$301,A202)&gt;1,C202="",D202="",ISERROR(SEARCH("@",D202)),ISERROR(SEARCH(".",D202)),COUNTIF(Lookups!$A$2:$A$11,E202)=0,F202="",H202="",K202&lt;=0,L202&lt;0,M202&lt;0,N202&lt;0,N202&gt;0.5,COUNTIF(Lookups!$K$2:$K$4,P202)=0),"ERROR","VALID")</f>
        <v>ERROR</v>
      </c>
      <c r="W202" s="2" t="str">
        <f>IF(A202="","Missing Order ID; ","")&amp;IF(COUNTIF($A$2:$A$301,A202)&gt;1,"Duplicate Order ID; ","")&amp;IF(C202="","Missing Customer ID; ","")&amp;IF(OR(D202="",ISERROR(SEARCH("@",D202)),ISERROR(SEARCH(".",D202))),"Invalid Email; ","")&amp;IF(COUNTIF(Lookups!$A$2:$A$11,E202)=0,"Unknown Product; ","")&amp;IF(F202="","Missing Product Name; ","")&amp;IF(H202="","Missing Region; ","")&amp;IF(K202&lt;=0,"Invalid Quantity; ","")&amp;IF(L202&lt;0,"Invalid Price; ","")&amp;IF(M202&lt;0,"Invalid Cost; ","")&amp;IF(OR(N202&lt;0,N202&gt;0.5),"Invalid Discount; ","")&amp;IF(COUNTIF(Lookups!$K$2:$K$4,P202)=0,"Invalid Status; ","")</f>
        <v xml:space="preserve">Duplicate Order ID; </v>
      </c>
      <c r="X202" s="15" t="str">
        <f t="shared" si="38"/>
        <v>2025-01</v>
      </c>
      <c r="Y202" t="str">
        <f t="shared" si="39"/>
        <v>Q1</v>
      </c>
      <c r="Z202" t="str">
        <f>IF(R202&gt;=Settings!$B$9,"High Value Customer",IF(R202&gt;=Settings!$B$10,"Medium Value Customer","Standard Customer"))</f>
        <v>Standard Customer</v>
      </c>
      <c r="AA202" t="str">
        <f>IF(R202&gt;=Settings!$B$9,"Large Order",IF(R202&gt;=Settings!$B$10,"Medium Order","Small Order"))</f>
        <v>Small Order</v>
      </c>
      <c r="AB202" t="str">
        <f>IF(N202=0,"No Discount",IF(N202&lt;=0.1,"Low Discount",IF(N202&lt;=Settings!$B$8,"Medium Discount","High Discount")))</f>
        <v>No Discount</v>
      </c>
      <c r="AC202" t="str">
        <f t="shared" si="40"/>
        <v>Profitable</v>
      </c>
      <c r="AD202" t="str">
        <f>IFERROR(VLOOKUP(E202,Lookups!$A$2:$E$11,2,FALSE),"Product Not Found")</f>
        <v>Headset</v>
      </c>
      <c r="AE202" t="str">
        <f>IFERROR(VLOOKUP(E202,Lookups!$A$2:$E$11,3,FALSE),"Category Not Found")</f>
        <v>Electronics</v>
      </c>
      <c r="AF202" t="str">
        <f>IFERROR(IF(L202=VLOOKUP(E202,Lookups!$A$2:$E$11,4,FALSE),"Price OK","Price Mismatch"),"Product Missing")</f>
        <v>Price OK</v>
      </c>
      <c r="AG202" t="str">
        <f t="shared" si="41"/>
        <v>Valid Email</v>
      </c>
      <c r="AH202" t="str">
        <f t="shared" si="42"/>
        <v>REVIEW REQUIRED</v>
      </c>
      <c r="AI202" t="str">
        <f>IF(AND(LEFT(A202,LEN(Settings!$B$13))=Settings!$B$13,LEN(A202)=9),"Valid Format","Invalid Format")</f>
        <v>Valid Format</v>
      </c>
      <c r="AJ202" t="str">
        <f>IF(LEFT(C202,LEN(Settings!$B$14))=Settings!$B$14,"Valid Format","Invalid Format")</f>
        <v>Valid Format</v>
      </c>
      <c r="AK202" t="str">
        <f>IF(COUNTIF(Master_Data!$G$5:$G$14,C202)=1,"Known Customer","Customer Not in Master")</f>
        <v>Customer Not in Master</v>
      </c>
      <c r="AL202" t="str">
        <f>IF(U202&gt;=Settings!$B$11,"Target Met","Below Target")</f>
        <v>Target Met</v>
      </c>
      <c r="AM202" t="str">
        <f>IF(YEAR(B202)=Settings!$B$5,"Correct Year","Wrong Year")</f>
        <v>Correct Year</v>
      </c>
      <c r="AN202">
        <f t="shared" si="43"/>
        <v>4</v>
      </c>
    </row>
    <row r="203" spans="1:40">
      <c r="A203" t="str">
        <f>Raw_Data!A203</f>
        <v>ORD-10201</v>
      </c>
      <c r="B203" s="13">
        <f>Raw_Data!B203</f>
        <v>45679</v>
      </c>
      <c r="C203" t="str">
        <f>Raw_Data!C203</f>
        <v>C1122</v>
      </c>
      <c r="D203" t="str">
        <f>Raw_Data!D203</f>
        <v>client165@example.com</v>
      </c>
      <c r="E203" t="str">
        <f>Raw_Data!E203</f>
        <v>P1010</v>
      </c>
      <c r="F203" t="str">
        <f>Raw_Data!F203</f>
        <v>Headset</v>
      </c>
      <c r="G203" t="str">
        <f>Raw_Data!G203</f>
        <v>Electronics</v>
      </c>
      <c r="H203" t="str">
        <f>Raw_Data!H203</f>
        <v>West</v>
      </c>
      <c r="I203" t="str">
        <f>Raw_Data!I203</f>
        <v>Store</v>
      </c>
      <c r="J203" t="str">
        <f>Raw_Data!J203</f>
        <v>Maria Ionescu</v>
      </c>
      <c r="K203">
        <f>Raw_Data!K203</f>
        <v>1</v>
      </c>
      <c r="L203" s="12">
        <f>Raw_Data!L203</f>
        <v>195</v>
      </c>
      <c r="M203" s="12">
        <f>Raw_Data!M203</f>
        <v>105</v>
      </c>
      <c r="N203" s="14">
        <f>Raw_Data!N203</f>
        <v>0</v>
      </c>
      <c r="O203" t="str">
        <f>Raw_Data!O203</f>
        <v>Online Wallet</v>
      </c>
      <c r="P203" t="str">
        <f>Raw_Data!P203</f>
        <v>Completed</v>
      </c>
      <c r="Q203" s="12">
        <f t="shared" si="33"/>
        <v>195</v>
      </c>
      <c r="R203" s="12">
        <f t="shared" si="34"/>
        <v>195</v>
      </c>
      <c r="S203" s="12">
        <f t="shared" si="35"/>
        <v>105</v>
      </c>
      <c r="T203" s="12">
        <f t="shared" si="36"/>
        <v>90</v>
      </c>
      <c r="U203" s="11">
        <f t="shared" si="37"/>
        <v>0.46153846153846156</v>
      </c>
      <c r="V203" t="str">
        <f>IF(OR(A203="",COUNTIF($A$2:$A$301,A203)&gt;1,C203="",D203="",ISERROR(SEARCH("@",D203)),ISERROR(SEARCH(".",D203)),COUNTIF(Lookups!$A$2:$A$11,E203)=0,F203="",H203="",K203&lt;=0,L203&lt;0,M203&lt;0,N203&lt;0,N203&gt;0.5,COUNTIF(Lookups!$K$2:$K$4,P203)=0),"ERROR","VALID")</f>
        <v>ERROR</v>
      </c>
      <c r="W203" s="2" t="str">
        <f>IF(A203="","Missing Order ID; ","")&amp;IF(COUNTIF($A$2:$A$301,A203)&gt;1,"Duplicate Order ID; ","")&amp;IF(C203="","Missing Customer ID; ","")&amp;IF(OR(D203="",ISERROR(SEARCH("@",D203)),ISERROR(SEARCH(".",D203))),"Invalid Email; ","")&amp;IF(COUNTIF(Lookups!$A$2:$A$11,E203)=0,"Unknown Product; ","")&amp;IF(F203="","Missing Product Name; ","")&amp;IF(H203="","Missing Region; ","")&amp;IF(K203&lt;=0,"Invalid Quantity; ","")&amp;IF(L203&lt;0,"Invalid Price; ","")&amp;IF(M203&lt;0,"Invalid Cost; ","")&amp;IF(OR(N203&lt;0,N203&gt;0.5),"Invalid Discount; ","")&amp;IF(COUNTIF(Lookups!$K$2:$K$4,P203)=0,"Invalid Status; ","")</f>
        <v xml:space="preserve">Duplicate Order ID; </v>
      </c>
      <c r="X203" s="15" t="str">
        <f t="shared" si="38"/>
        <v>2025-01</v>
      </c>
      <c r="Y203" t="str">
        <f t="shared" si="39"/>
        <v>Q1</v>
      </c>
      <c r="Z203" t="str">
        <f>IF(R203&gt;=Settings!$B$9,"High Value Customer",IF(R203&gt;=Settings!$B$10,"Medium Value Customer","Standard Customer"))</f>
        <v>Standard Customer</v>
      </c>
      <c r="AA203" t="str">
        <f>IF(R203&gt;=Settings!$B$9,"Large Order",IF(R203&gt;=Settings!$B$10,"Medium Order","Small Order"))</f>
        <v>Small Order</v>
      </c>
      <c r="AB203" t="str">
        <f>IF(N203=0,"No Discount",IF(N203&lt;=0.1,"Low Discount",IF(N203&lt;=Settings!$B$8,"Medium Discount","High Discount")))</f>
        <v>No Discount</v>
      </c>
      <c r="AC203" t="str">
        <f t="shared" si="40"/>
        <v>Profitable</v>
      </c>
      <c r="AD203" t="str">
        <f>IFERROR(VLOOKUP(E203,Lookups!$A$2:$E$11,2,FALSE),"Product Not Found")</f>
        <v>Headset</v>
      </c>
      <c r="AE203" t="str">
        <f>IFERROR(VLOOKUP(E203,Lookups!$A$2:$E$11,3,FALSE),"Category Not Found")</f>
        <v>Electronics</v>
      </c>
      <c r="AF203" t="str">
        <f>IFERROR(IF(L203=VLOOKUP(E203,Lookups!$A$2:$E$11,4,FALSE),"Price OK","Price Mismatch"),"Product Missing")</f>
        <v>Price OK</v>
      </c>
      <c r="AG203" t="str">
        <f t="shared" si="41"/>
        <v>Valid Email</v>
      </c>
      <c r="AH203" t="str">
        <f t="shared" si="42"/>
        <v>REVIEW REQUIRED</v>
      </c>
      <c r="AI203" t="str">
        <f>IF(AND(LEFT(A203,LEN(Settings!$B$13))=Settings!$B$13,LEN(A203)=9),"Valid Format","Invalid Format")</f>
        <v>Valid Format</v>
      </c>
      <c r="AJ203" t="str">
        <f>IF(LEFT(C203,LEN(Settings!$B$14))=Settings!$B$14,"Valid Format","Invalid Format")</f>
        <v>Valid Format</v>
      </c>
      <c r="AK203" t="str">
        <f>IF(COUNTIF(Master_Data!$G$5:$G$14,C203)=1,"Known Customer","Customer Not in Master")</f>
        <v>Customer Not in Master</v>
      </c>
      <c r="AL203" t="str">
        <f>IF(U203&gt;=Settings!$B$11,"Target Met","Below Target")</f>
        <v>Target Met</v>
      </c>
      <c r="AM203" t="str">
        <f>IF(YEAR(B203)=Settings!$B$5,"Correct Year","Wrong Year")</f>
        <v>Correct Year</v>
      </c>
      <c r="AN203">
        <f t="shared" si="43"/>
        <v>4</v>
      </c>
    </row>
    <row r="204" spans="1:40">
      <c r="A204" t="str">
        <f>Raw_Data!A204</f>
        <v>ORD-10203</v>
      </c>
      <c r="B204" s="13">
        <f>Raw_Data!B204</f>
        <v>45890</v>
      </c>
      <c r="C204" t="str">
        <f>Raw_Data!C204</f>
        <v>C1021</v>
      </c>
      <c r="D204" t="str">
        <f>Raw_Data!D204</f>
        <v>client113@example.com</v>
      </c>
      <c r="E204" t="str">
        <f>Raw_Data!E204</f>
        <v>P1005</v>
      </c>
      <c r="F204" t="str">
        <f>Raw_Data!F204</f>
        <v>24-inch Monitor</v>
      </c>
      <c r="G204" t="str">
        <f>Raw_Data!G204</f>
        <v>Electronics</v>
      </c>
      <c r="H204" t="str">
        <f>Raw_Data!H204</f>
        <v>East</v>
      </c>
      <c r="I204" t="str">
        <f>Raw_Data!I204</f>
        <v>Store</v>
      </c>
      <c r="J204" t="str">
        <f>Raw_Data!J204</f>
        <v>Mihai Radu</v>
      </c>
      <c r="K204">
        <f>Raw_Data!K204</f>
        <v>2</v>
      </c>
      <c r="L204" s="12">
        <f>Raw_Data!L204</f>
        <v>720</v>
      </c>
      <c r="M204" s="12">
        <f>Raw_Data!M204</f>
        <v>510</v>
      </c>
      <c r="N204" s="14">
        <f>Raw_Data!N204</f>
        <v>0.2</v>
      </c>
      <c r="O204" t="str">
        <f>Raw_Data!O204</f>
        <v>Bank Transfer</v>
      </c>
      <c r="P204" t="str">
        <f>Raw_Data!P204</f>
        <v>Completed</v>
      </c>
      <c r="Q204" s="12">
        <f t="shared" si="33"/>
        <v>1440</v>
      </c>
      <c r="R204" s="12">
        <f t="shared" si="34"/>
        <v>1152</v>
      </c>
      <c r="S204" s="12">
        <f t="shared" si="35"/>
        <v>1020</v>
      </c>
      <c r="T204" s="12">
        <f t="shared" si="36"/>
        <v>132</v>
      </c>
      <c r="U204" s="11">
        <f t="shared" si="37"/>
        <v>0.11458333333333333</v>
      </c>
      <c r="V204" t="str">
        <f>IF(OR(A204="",COUNTIF($A$2:$A$301,A204)&gt;1,C204="",D204="",ISERROR(SEARCH("@",D204)),ISERROR(SEARCH(".",D204)),COUNTIF(Lookups!$A$2:$A$11,E204)=0,F204="",H204="",K204&lt;=0,L204&lt;0,M204&lt;0,N204&lt;0,N204&gt;0.5,COUNTIF(Lookups!$K$2:$K$4,P204)=0),"ERROR","VALID")</f>
        <v>VALID</v>
      </c>
      <c r="W204" s="2" t="str">
        <f>IF(A204="","Missing Order ID; ","")&amp;IF(COUNTIF($A$2:$A$301,A204)&gt;1,"Duplicate Order ID; ","")&amp;IF(C204="","Missing Customer ID; ","")&amp;IF(OR(D204="",ISERROR(SEARCH("@",D204)),ISERROR(SEARCH(".",D204))),"Invalid Email; ","")&amp;IF(COUNTIF(Lookups!$A$2:$A$11,E204)=0,"Unknown Product; ","")&amp;IF(F204="","Missing Product Name; ","")&amp;IF(H204="","Missing Region; ","")&amp;IF(K204&lt;=0,"Invalid Quantity; ","")&amp;IF(L204&lt;0,"Invalid Price; ","")&amp;IF(M204&lt;0,"Invalid Cost; ","")&amp;IF(OR(N204&lt;0,N204&gt;0.5),"Invalid Discount; ","")&amp;IF(COUNTIF(Lookups!$K$2:$K$4,P204)=0,"Invalid Status; ","")</f>
        <v/>
      </c>
      <c r="X204" s="15" t="str">
        <f t="shared" si="38"/>
        <v>2025-08</v>
      </c>
      <c r="Y204" t="str">
        <f t="shared" si="39"/>
        <v>Q3</v>
      </c>
      <c r="Z204" t="str">
        <f>IF(R204&gt;=Settings!$B$9,"High Value Customer",IF(R204&gt;=Settings!$B$10,"Medium Value Customer","Standard Customer"))</f>
        <v>Standard Customer</v>
      </c>
      <c r="AA204" t="str">
        <f>IF(R204&gt;=Settings!$B$9,"Large Order",IF(R204&gt;=Settings!$B$10,"Medium Order","Small Order"))</f>
        <v>Small Order</v>
      </c>
      <c r="AB204" t="str">
        <f>IF(N204=0,"No Discount",IF(N204&lt;=0.1,"Low Discount",IF(N204&lt;=Settings!$B$8,"Medium Discount","High Discount")))</f>
        <v>Medium Discount</v>
      </c>
      <c r="AC204" t="str">
        <f t="shared" si="40"/>
        <v>Profitable</v>
      </c>
      <c r="AD204" t="str">
        <f>IFERROR(VLOOKUP(E204,Lookups!$A$2:$E$11,2,FALSE),"Product Not Found")</f>
        <v>24-inch Monitor</v>
      </c>
      <c r="AE204" t="str">
        <f>IFERROR(VLOOKUP(E204,Lookups!$A$2:$E$11,3,FALSE),"Category Not Found")</f>
        <v>Electronics</v>
      </c>
      <c r="AF204" t="str">
        <f>IFERROR(IF(L204=VLOOKUP(E204,Lookups!$A$2:$E$11,4,FALSE),"Price OK","Price Mismatch"),"Product Missing")</f>
        <v>Price OK</v>
      </c>
      <c r="AG204" t="str">
        <f t="shared" si="41"/>
        <v>Valid Email</v>
      </c>
      <c r="AH204" t="str">
        <f t="shared" si="42"/>
        <v>READY FOR REPORTING</v>
      </c>
      <c r="AI204" t="str">
        <f>IF(AND(LEFT(A204,LEN(Settings!$B$13))=Settings!$B$13,LEN(A204)=9),"Valid Format","Invalid Format")</f>
        <v>Valid Format</v>
      </c>
      <c r="AJ204" t="str">
        <f>IF(LEFT(C204,LEN(Settings!$B$14))=Settings!$B$14,"Valid Format","Invalid Format")</f>
        <v>Valid Format</v>
      </c>
      <c r="AK204" t="str">
        <f>IF(COUNTIF(Master_Data!$G$5:$G$14,C204)=1,"Known Customer","Customer Not in Master")</f>
        <v>Customer Not in Master</v>
      </c>
      <c r="AL204" t="str">
        <f>IF(U204&gt;=Settings!$B$11,"Target Met","Below Target")</f>
        <v>Below Target</v>
      </c>
      <c r="AM204" t="str">
        <f>IF(YEAR(B204)=Settings!$B$5,"Correct Year","Wrong Year")</f>
        <v>Correct Year</v>
      </c>
      <c r="AN204">
        <f t="shared" si="43"/>
        <v>3</v>
      </c>
    </row>
    <row r="205" spans="1:40">
      <c r="A205" t="str">
        <f>Raw_Data!A205</f>
        <v>ORD-10204</v>
      </c>
      <c r="B205" s="13">
        <f>Raw_Data!B205</f>
        <v>45968</v>
      </c>
      <c r="C205" t="str">
        <f>Raw_Data!C205</f>
        <v>C1041</v>
      </c>
      <c r="D205" t="str">
        <f>Raw_Data!D205</f>
        <v>client89@example.com</v>
      </c>
      <c r="E205" t="str">
        <f>Raw_Data!E205</f>
        <v>P1006</v>
      </c>
      <c r="F205" t="str">
        <f>Raw_Data!F205</f>
        <v>27-inch Monitor</v>
      </c>
      <c r="G205" t="str">
        <f>Raw_Data!G205</f>
        <v>Electronics</v>
      </c>
      <c r="H205" t="str">
        <f>Raw_Data!H205</f>
        <v>East</v>
      </c>
      <c r="I205" t="str">
        <f>Raw_Data!I205</f>
        <v>Online</v>
      </c>
      <c r="J205" t="str">
        <f>Raw_Data!J205</f>
        <v>Elena Stan</v>
      </c>
      <c r="K205">
        <f>Raw_Data!K205</f>
        <v>3</v>
      </c>
      <c r="L205" s="12">
        <f>Raw_Data!L205</f>
        <v>1090</v>
      </c>
      <c r="M205" s="12">
        <f>Raw_Data!M205</f>
        <v>790</v>
      </c>
      <c r="N205" s="14">
        <f>Raw_Data!N205</f>
        <v>0.05</v>
      </c>
      <c r="O205" t="str">
        <f>Raw_Data!O205</f>
        <v>Card</v>
      </c>
      <c r="P205" t="str">
        <f>Raw_Data!P205</f>
        <v>Cancelled</v>
      </c>
      <c r="Q205" s="12">
        <f t="shared" si="33"/>
        <v>3270</v>
      </c>
      <c r="R205" s="12">
        <f t="shared" si="34"/>
        <v>3106.5</v>
      </c>
      <c r="S205" s="12">
        <f t="shared" si="35"/>
        <v>2370</v>
      </c>
      <c r="T205" s="12">
        <f t="shared" si="36"/>
        <v>736.5</v>
      </c>
      <c r="U205" s="11">
        <f t="shared" si="37"/>
        <v>0.23708353452438435</v>
      </c>
      <c r="V205" t="str">
        <f>IF(OR(A205="",COUNTIF($A$2:$A$301,A205)&gt;1,C205="",D205="",ISERROR(SEARCH("@",D205)),ISERROR(SEARCH(".",D205)),COUNTIF(Lookups!$A$2:$A$11,E205)=0,F205="",H205="",K205&lt;=0,L205&lt;0,M205&lt;0,N205&lt;0,N205&gt;0.5,COUNTIF(Lookups!$K$2:$K$4,P205)=0),"ERROR","VALID")</f>
        <v>VALID</v>
      </c>
      <c r="W205" s="2" t="str">
        <f>IF(A205="","Missing Order ID; ","")&amp;IF(COUNTIF($A$2:$A$301,A205)&gt;1,"Duplicate Order ID; ","")&amp;IF(C205="","Missing Customer ID; ","")&amp;IF(OR(D205="",ISERROR(SEARCH("@",D205)),ISERROR(SEARCH(".",D205))),"Invalid Email; ","")&amp;IF(COUNTIF(Lookups!$A$2:$A$11,E205)=0,"Unknown Product; ","")&amp;IF(F205="","Missing Product Name; ","")&amp;IF(H205="","Missing Region; ","")&amp;IF(K205&lt;=0,"Invalid Quantity; ","")&amp;IF(L205&lt;0,"Invalid Price; ","")&amp;IF(M205&lt;0,"Invalid Cost; ","")&amp;IF(OR(N205&lt;0,N205&gt;0.5),"Invalid Discount; ","")&amp;IF(COUNTIF(Lookups!$K$2:$K$4,P205)=0,"Invalid Status; ","")</f>
        <v/>
      </c>
      <c r="X205" s="15" t="str">
        <f t="shared" si="38"/>
        <v>2025-11</v>
      </c>
      <c r="Y205" t="str">
        <f t="shared" si="39"/>
        <v>Q4</v>
      </c>
      <c r="Z205" t="str">
        <f>IF(R205&gt;=Settings!$B$9,"High Value Customer",IF(R205&gt;=Settings!$B$10,"Medium Value Customer","Standard Customer"))</f>
        <v>Medium Value Customer</v>
      </c>
      <c r="AA205" t="str">
        <f>IF(R205&gt;=Settings!$B$9,"Large Order",IF(R205&gt;=Settings!$B$10,"Medium Order","Small Order"))</f>
        <v>Medium Order</v>
      </c>
      <c r="AB205" t="str">
        <f>IF(N205=0,"No Discount",IF(N205&lt;=0.1,"Low Discount",IF(N205&lt;=Settings!$B$8,"Medium Discount","High Discount")))</f>
        <v>Low Discount</v>
      </c>
      <c r="AC205" t="str">
        <f t="shared" si="40"/>
        <v>Profitable</v>
      </c>
      <c r="AD205" t="str">
        <f>IFERROR(VLOOKUP(E205,Lookups!$A$2:$E$11,2,FALSE),"Product Not Found")</f>
        <v>27-inch Monitor</v>
      </c>
      <c r="AE205" t="str">
        <f>IFERROR(VLOOKUP(E205,Lookups!$A$2:$E$11,3,FALSE),"Category Not Found")</f>
        <v>Electronics</v>
      </c>
      <c r="AF205" t="str">
        <f>IFERROR(IF(L205=VLOOKUP(E205,Lookups!$A$2:$E$11,4,FALSE),"Price OK","Price Mismatch"),"Product Missing")</f>
        <v>Price OK</v>
      </c>
      <c r="AG205" t="str">
        <f t="shared" si="41"/>
        <v>Valid Email</v>
      </c>
      <c r="AH205" t="str">
        <f t="shared" si="42"/>
        <v>READY FOR REPORTING</v>
      </c>
      <c r="AI205" t="str">
        <f>IF(AND(LEFT(A205,LEN(Settings!$B$13))=Settings!$B$13,LEN(A205)=9),"Valid Format","Invalid Format")</f>
        <v>Valid Format</v>
      </c>
      <c r="AJ205" t="str">
        <f>IF(LEFT(C205,LEN(Settings!$B$14))=Settings!$B$14,"Valid Format","Invalid Format")</f>
        <v>Valid Format</v>
      </c>
      <c r="AK205" t="str">
        <f>IF(COUNTIF(Master_Data!$G$5:$G$14,C205)=1,"Known Customer","Customer Not in Master")</f>
        <v>Customer Not in Master</v>
      </c>
      <c r="AL205" t="str">
        <f>IF(U205&gt;=Settings!$B$11,"Target Met","Below Target")</f>
        <v>Below Target</v>
      </c>
      <c r="AM205" t="str">
        <f>IF(YEAR(B205)=Settings!$B$5,"Correct Year","Wrong Year")</f>
        <v>Correct Year</v>
      </c>
      <c r="AN205">
        <f t="shared" si="43"/>
        <v>3</v>
      </c>
    </row>
    <row r="206" spans="1:40">
      <c r="A206" t="str">
        <f>Raw_Data!A206</f>
        <v>ORD-10205</v>
      </c>
      <c r="B206" s="13">
        <f>Raw_Data!B206</f>
        <v>45781</v>
      </c>
      <c r="C206" t="str">
        <f>Raw_Data!C206</f>
        <v>C1058</v>
      </c>
      <c r="D206" t="str">
        <f>Raw_Data!D206</f>
        <v>client64@example.com</v>
      </c>
      <c r="E206" t="str">
        <f>Raw_Data!E206</f>
        <v>P1006</v>
      </c>
      <c r="F206" t="str">
        <f>Raw_Data!F206</f>
        <v>27-inch Monitor</v>
      </c>
      <c r="G206" t="str">
        <f>Raw_Data!G206</f>
        <v>Electronics</v>
      </c>
      <c r="H206" t="str">
        <f>Raw_Data!H206</f>
        <v>North</v>
      </c>
      <c r="I206" t="str">
        <f>Raw_Data!I206</f>
        <v>Online</v>
      </c>
      <c r="J206" t="str">
        <f>Raw_Data!J206</f>
        <v>Andrei Pop</v>
      </c>
      <c r="K206">
        <f>Raw_Data!K206</f>
        <v>8</v>
      </c>
      <c r="L206" s="12">
        <f>Raw_Data!L206</f>
        <v>1090</v>
      </c>
      <c r="M206" s="12">
        <f>Raw_Data!M206</f>
        <v>790</v>
      </c>
      <c r="N206" s="14">
        <f>Raw_Data!N206</f>
        <v>0</v>
      </c>
      <c r="O206" t="str">
        <f>Raw_Data!O206</f>
        <v>Cash</v>
      </c>
      <c r="P206" t="str">
        <f>Raw_Data!P206</f>
        <v>Completed</v>
      </c>
      <c r="Q206" s="12">
        <f t="shared" si="33"/>
        <v>8720</v>
      </c>
      <c r="R206" s="12">
        <f t="shared" si="34"/>
        <v>8720</v>
      </c>
      <c r="S206" s="12">
        <f t="shared" si="35"/>
        <v>6320</v>
      </c>
      <c r="T206" s="12">
        <f t="shared" si="36"/>
        <v>2400</v>
      </c>
      <c r="U206" s="11">
        <f t="shared" si="37"/>
        <v>0.27522935779816515</v>
      </c>
      <c r="V206" t="str">
        <f>IF(OR(A206="",COUNTIF($A$2:$A$301,A206)&gt;1,C206="",D206="",ISERROR(SEARCH("@",D206)),ISERROR(SEARCH(".",D206)),COUNTIF(Lookups!$A$2:$A$11,E206)=0,F206="",H206="",K206&lt;=0,L206&lt;0,M206&lt;0,N206&lt;0,N206&gt;0.5,COUNTIF(Lookups!$K$2:$K$4,P206)=0),"ERROR","VALID")</f>
        <v>VALID</v>
      </c>
      <c r="W206" s="2" t="str">
        <f>IF(A206="","Missing Order ID; ","")&amp;IF(COUNTIF($A$2:$A$301,A206)&gt;1,"Duplicate Order ID; ","")&amp;IF(C206="","Missing Customer ID; ","")&amp;IF(OR(D206="",ISERROR(SEARCH("@",D206)),ISERROR(SEARCH(".",D206))),"Invalid Email; ","")&amp;IF(COUNTIF(Lookups!$A$2:$A$11,E206)=0,"Unknown Product; ","")&amp;IF(F206="","Missing Product Name; ","")&amp;IF(H206="","Missing Region; ","")&amp;IF(K206&lt;=0,"Invalid Quantity; ","")&amp;IF(L206&lt;0,"Invalid Price; ","")&amp;IF(M206&lt;0,"Invalid Cost; ","")&amp;IF(OR(N206&lt;0,N206&gt;0.5),"Invalid Discount; ","")&amp;IF(COUNTIF(Lookups!$K$2:$K$4,P206)=0,"Invalid Status; ","")</f>
        <v/>
      </c>
      <c r="X206" s="15" t="str">
        <f t="shared" si="38"/>
        <v>2025-05</v>
      </c>
      <c r="Y206" t="str">
        <f t="shared" si="39"/>
        <v>Q2</v>
      </c>
      <c r="Z206" t="str">
        <f>IF(R206&gt;=Settings!$B$9,"High Value Customer",IF(R206&gt;=Settings!$B$10,"Medium Value Customer","Standard Customer"))</f>
        <v>High Value Customer</v>
      </c>
      <c r="AA206" t="str">
        <f>IF(R206&gt;=Settings!$B$9,"Large Order",IF(R206&gt;=Settings!$B$10,"Medium Order","Small Order"))</f>
        <v>Large Order</v>
      </c>
      <c r="AB206" t="str">
        <f>IF(N206=0,"No Discount",IF(N206&lt;=0.1,"Low Discount",IF(N206&lt;=Settings!$B$8,"Medium Discount","High Discount")))</f>
        <v>No Discount</v>
      </c>
      <c r="AC206" t="str">
        <f t="shared" si="40"/>
        <v>Profitable</v>
      </c>
      <c r="AD206" t="str">
        <f>IFERROR(VLOOKUP(E206,Lookups!$A$2:$E$11,2,FALSE),"Product Not Found")</f>
        <v>27-inch Monitor</v>
      </c>
      <c r="AE206" t="str">
        <f>IFERROR(VLOOKUP(E206,Lookups!$A$2:$E$11,3,FALSE),"Category Not Found")</f>
        <v>Electronics</v>
      </c>
      <c r="AF206" t="str">
        <f>IFERROR(IF(L206=VLOOKUP(E206,Lookups!$A$2:$E$11,4,FALSE),"Price OK","Price Mismatch"),"Product Missing")</f>
        <v>Price OK</v>
      </c>
      <c r="AG206" t="str">
        <f t="shared" si="41"/>
        <v>Valid Email</v>
      </c>
      <c r="AH206" t="str">
        <f t="shared" si="42"/>
        <v>READY FOR REPORTING</v>
      </c>
      <c r="AI206" t="str">
        <f>IF(AND(LEFT(A206,LEN(Settings!$B$13))=Settings!$B$13,LEN(A206)=9),"Valid Format","Invalid Format")</f>
        <v>Valid Format</v>
      </c>
      <c r="AJ206" t="str">
        <f>IF(LEFT(C206,LEN(Settings!$B$14))=Settings!$B$14,"Valid Format","Invalid Format")</f>
        <v>Valid Format</v>
      </c>
      <c r="AK206" t="str">
        <f>IF(COUNTIF(Master_Data!$G$5:$G$14,C206)=1,"Known Customer","Customer Not in Master")</f>
        <v>Customer Not in Master</v>
      </c>
      <c r="AL206" t="str">
        <f>IF(U206&gt;=Settings!$B$11,"Target Met","Below Target")</f>
        <v>Target Met</v>
      </c>
      <c r="AM206" t="str">
        <f>IF(YEAR(B206)=Settings!$B$5,"Correct Year","Wrong Year")</f>
        <v>Correct Year</v>
      </c>
      <c r="AN206">
        <f t="shared" si="43"/>
        <v>4</v>
      </c>
    </row>
    <row r="207" spans="1:40">
      <c r="A207" t="str">
        <f>Raw_Data!A207</f>
        <v>ORD-10206</v>
      </c>
      <c r="B207" s="13">
        <f>Raw_Data!B207</f>
        <v>45973</v>
      </c>
      <c r="C207" t="str">
        <f>Raw_Data!C207</f>
        <v>C1105</v>
      </c>
      <c r="D207" t="str">
        <f>Raw_Data!D207</f>
        <v>client84@example.com</v>
      </c>
      <c r="E207" t="str">
        <f>Raw_Data!E207</f>
        <v>P1007</v>
      </c>
      <c r="F207" t="str">
        <f>Raw_Data!F207</f>
        <v>Office Chair</v>
      </c>
      <c r="G207" t="str">
        <f>Raw_Data!G207</f>
        <v>Furniture</v>
      </c>
      <c r="H207" t="str">
        <f>Raw_Data!H207</f>
        <v>West</v>
      </c>
      <c r="I207" t="str">
        <f>Raw_Data!I207</f>
        <v>Marketplace</v>
      </c>
      <c r="J207" t="str">
        <f>Raw_Data!J207</f>
        <v>Elena Stan</v>
      </c>
      <c r="K207">
        <f>Raw_Data!K207</f>
        <v>7</v>
      </c>
      <c r="L207" s="12">
        <f>Raw_Data!L207</f>
        <v>840</v>
      </c>
      <c r="M207" s="12">
        <f>Raw_Data!M207</f>
        <v>590</v>
      </c>
      <c r="N207" s="14">
        <f>Raw_Data!N207</f>
        <v>0</v>
      </c>
      <c r="O207" t="str">
        <f>Raw_Data!O207</f>
        <v>Bank Transfer</v>
      </c>
      <c r="P207" t="str">
        <f>Raw_Data!P207</f>
        <v>Completed</v>
      </c>
      <c r="Q207" s="12">
        <f t="shared" si="33"/>
        <v>5880</v>
      </c>
      <c r="R207" s="12">
        <f t="shared" si="34"/>
        <v>5880</v>
      </c>
      <c r="S207" s="12">
        <f t="shared" si="35"/>
        <v>4130</v>
      </c>
      <c r="T207" s="12">
        <f t="shared" si="36"/>
        <v>1750</v>
      </c>
      <c r="U207" s="11">
        <f t="shared" si="37"/>
        <v>0.29761904761904762</v>
      </c>
      <c r="V207" t="str">
        <f>IF(OR(A207="",COUNTIF($A$2:$A$301,A207)&gt;1,C207="",D207="",ISERROR(SEARCH("@",D207)),ISERROR(SEARCH(".",D207)),COUNTIF(Lookups!$A$2:$A$11,E207)=0,F207="",H207="",K207&lt;=0,L207&lt;0,M207&lt;0,N207&lt;0,N207&gt;0.5,COUNTIF(Lookups!$K$2:$K$4,P207)=0),"ERROR","VALID")</f>
        <v>VALID</v>
      </c>
      <c r="W207" s="2" t="str">
        <f>IF(A207="","Missing Order ID; ","")&amp;IF(COUNTIF($A$2:$A$301,A207)&gt;1,"Duplicate Order ID; ","")&amp;IF(C207="","Missing Customer ID; ","")&amp;IF(OR(D207="",ISERROR(SEARCH("@",D207)),ISERROR(SEARCH(".",D207))),"Invalid Email; ","")&amp;IF(COUNTIF(Lookups!$A$2:$A$11,E207)=0,"Unknown Product; ","")&amp;IF(F207="","Missing Product Name; ","")&amp;IF(H207="","Missing Region; ","")&amp;IF(K207&lt;=0,"Invalid Quantity; ","")&amp;IF(L207&lt;0,"Invalid Price; ","")&amp;IF(M207&lt;0,"Invalid Cost; ","")&amp;IF(OR(N207&lt;0,N207&gt;0.5),"Invalid Discount; ","")&amp;IF(COUNTIF(Lookups!$K$2:$K$4,P207)=0,"Invalid Status; ","")</f>
        <v/>
      </c>
      <c r="X207" s="15" t="str">
        <f t="shared" si="38"/>
        <v>2025-11</v>
      </c>
      <c r="Y207" t="str">
        <f t="shared" si="39"/>
        <v>Q4</v>
      </c>
      <c r="Z207" t="str">
        <f>IF(R207&gt;=Settings!$B$9,"High Value Customer",IF(R207&gt;=Settings!$B$10,"Medium Value Customer","Standard Customer"))</f>
        <v>High Value Customer</v>
      </c>
      <c r="AA207" t="str">
        <f>IF(R207&gt;=Settings!$B$9,"Large Order",IF(R207&gt;=Settings!$B$10,"Medium Order","Small Order"))</f>
        <v>Large Order</v>
      </c>
      <c r="AB207" t="str">
        <f>IF(N207=0,"No Discount",IF(N207&lt;=0.1,"Low Discount",IF(N207&lt;=Settings!$B$8,"Medium Discount","High Discount")))</f>
        <v>No Discount</v>
      </c>
      <c r="AC207" t="str">
        <f t="shared" si="40"/>
        <v>Profitable</v>
      </c>
      <c r="AD207" t="str">
        <f>IFERROR(VLOOKUP(E207,Lookups!$A$2:$E$11,2,FALSE),"Product Not Found")</f>
        <v>Office Chair</v>
      </c>
      <c r="AE207" t="str">
        <f>IFERROR(VLOOKUP(E207,Lookups!$A$2:$E$11,3,FALSE),"Category Not Found")</f>
        <v>Furniture</v>
      </c>
      <c r="AF207" t="str">
        <f>IFERROR(IF(L207=VLOOKUP(E207,Lookups!$A$2:$E$11,4,FALSE),"Price OK","Price Mismatch"),"Product Missing")</f>
        <v>Price OK</v>
      </c>
      <c r="AG207" t="str">
        <f t="shared" si="41"/>
        <v>Valid Email</v>
      </c>
      <c r="AH207" t="str">
        <f t="shared" si="42"/>
        <v>READY FOR REPORTING</v>
      </c>
      <c r="AI207" t="str">
        <f>IF(AND(LEFT(A207,LEN(Settings!$B$13))=Settings!$B$13,LEN(A207)=9),"Valid Format","Invalid Format")</f>
        <v>Valid Format</v>
      </c>
      <c r="AJ207" t="str">
        <f>IF(LEFT(C207,LEN(Settings!$B$14))=Settings!$B$14,"Valid Format","Invalid Format")</f>
        <v>Valid Format</v>
      </c>
      <c r="AK207" t="str">
        <f>IF(COUNTIF(Master_Data!$G$5:$G$14,C207)=1,"Known Customer","Customer Not in Master")</f>
        <v>Customer Not in Master</v>
      </c>
      <c r="AL207" t="str">
        <f>IF(U207&gt;=Settings!$B$11,"Target Met","Below Target")</f>
        <v>Target Met</v>
      </c>
      <c r="AM207" t="str">
        <f>IF(YEAR(B207)=Settings!$B$5,"Correct Year","Wrong Year")</f>
        <v>Correct Year</v>
      </c>
      <c r="AN207">
        <f t="shared" si="43"/>
        <v>4</v>
      </c>
    </row>
    <row r="208" spans="1:40">
      <c r="A208" t="str">
        <f>Raw_Data!A208</f>
        <v>ORD-10207</v>
      </c>
      <c r="B208" s="13">
        <f>Raw_Data!B208</f>
        <v>45913</v>
      </c>
      <c r="C208" t="str">
        <f>Raw_Data!C208</f>
        <v>C1113</v>
      </c>
      <c r="D208" t="str">
        <f>Raw_Data!D208</f>
        <v>client79@example.com</v>
      </c>
      <c r="E208" t="str">
        <f>Raw_Data!E208</f>
        <v>P1003</v>
      </c>
      <c r="F208" t="str">
        <f>Raw_Data!F208</f>
        <v>Mechanical Keyboard</v>
      </c>
      <c r="G208" t="str">
        <f>Raw_Data!G208</f>
        <v>Accessories</v>
      </c>
      <c r="H208" t="str">
        <f>Raw_Data!H208</f>
        <v>East</v>
      </c>
      <c r="I208" t="str">
        <f>Raw_Data!I208</f>
        <v>Online</v>
      </c>
      <c r="J208" t="str">
        <f>Raw_Data!J208</f>
        <v>Andrei Pop</v>
      </c>
      <c r="K208">
        <f>Raw_Data!K208</f>
        <v>9</v>
      </c>
      <c r="L208" s="12">
        <f>Raw_Data!L208</f>
        <v>265</v>
      </c>
      <c r="M208" s="12">
        <f>Raw_Data!M208</f>
        <v>155</v>
      </c>
      <c r="N208" s="14">
        <f>Raw_Data!N208</f>
        <v>0.1</v>
      </c>
      <c r="O208" t="str">
        <f>Raw_Data!O208</f>
        <v>Online Wallet</v>
      </c>
      <c r="P208" t="str">
        <f>Raw_Data!P208</f>
        <v>Completed</v>
      </c>
      <c r="Q208" s="12">
        <f t="shared" si="33"/>
        <v>2385</v>
      </c>
      <c r="R208" s="12">
        <f t="shared" si="34"/>
        <v>2146.5</v>
      </c>
      <c r="S208" s="12">
        <f t="shared" si="35"/>
        <v>1395</v>
      </c>
      <c r="T208" s="12">
        <f t="shared" si="36"/>
        <v>751.5</v>
      </c>
      <c r="U208" s="11">
        <f t="shared" si="37"/>
        <v>0.35010482180293501</v>
      </c>
      <c r="V208" t="str">
        <f>IF(OR(A208="",COUNTIF($A$2:$A$301,A208)&gt;1,C208="",D208="",ISERROR(SEARCH("@",D208)),ISERROR(SEARCH(".",D208)),COUNTIF(Lookups!$A$2:$A$11,E208)=0,F208="",H208="",K208&lt;=0,L208&lt;0,M208&lt;0,N208&lt;0,N208&gt;0.5,COUNTIF(Lookups!$K$2:$K$4,P208)=0),"ERROR","VALID")</f>
        <v>VALID</v>
      </c>
      <c r="W208" s="2" t="str">
        <f>IF(A208="","Missing Order ID; ","")&amp;IF(COUNTIF($A$2:$A$301,A208)&gt;1,"Duplicate Order ID; ","")&amp;IF(C208="","Missing Customer ID; ","")&amp;IF(OR(D208="",ISERROR(SEARCH("@",D208)),ISERROR(SEARCH(".",D208))),"Invalid Email; ","")&amp;IF(COUNTIF(Lookups!$A$2:$A$11,E208)=0,"Unknown Product; ","")&amp;IF(F208="","Missing Product Name; ","")&amp;IF(H208="","Missing Region; ","")&amp;IF(K208&lt;=0,"Invalid Quantity; ","")&amp;IF(L208&lt;0,"Invalid Price; ","")&amp;IF(M208&lt;0,"Invalid Cost; ","")&amp;IF(OR(N208&lt;0,N208&gt;0.5),"Invalid Discount; ","")&amp;IF(COUNTIF(Lookups!$K$2:$K$4,P208)=0,"Invalid Status; ","")</f>
        <v/>
      </c>
      <c r="X208" s="15" t="str">
        <f t="shared" si="38"/>
        <v>2025-09</v>
      </c>
      <c r="Y208" t="str">
        <f t="shared" si="39"/>
        <v>Q3</v>
      </c>
      <c r="Z208" t="str">
        <f>IF(R208&gt;=Settings!$B$9,"High Value Customer",IF(R208&gt;=Settings!$B$10,"Medium Value Customer","Standard Customer"))</f>
        <v>Medium Value Customer</v>
      </c>
      <c r="AA208" t="str">
        <f>IF(R208&gt;=Settings!$B$9,"Large Order",IF(R208&gt;=Settings!$B$10,"Medium Order","Small Order"))</f>
        <v>Medium Order</v>
      </c>
      <c r="AB208" t="str">
        <f>IF(N208=0,"No Discount",IF(N208&lt;=0.1,"Low Discount",IF(N208&lt;=Settings!$B$8,"Medium Discount","High Discount")))</f>
        <v>Low Discount</v>
      </c>
      <c r="AC208" t="str">
        <f t="shared" si="40"/>
        <v>Profitable</v>
      </c>
      <c r="AD208" t="str">
        <f>IFERROR(VLOOKUP(E208,Lookups!$A$2:$E$11,2,FALSE),"Product Not Found")</f>
        <v>Mechanical Keyboard</v>
      </c>
      <c r="AE208" t="str">
        <f>IFERROR(VLOOKUP(E208,Lookups!$A$2:$E$11,3,FALSE),"Category Not Found")</f>
        <v>Accessories</v>
      </c>
      <c r="AF208" t="str">
        <f>IFERROR(IF(L208=VLOOKUP(E208,Lookups!$A$2:$E$11,4,FALSE),"Price OK","Price Mismatch"),"Product Missing")</f>
        <v>Price OK</v>
      </c>
      <c r="AG208" t="str">
        <f t="shared" si="41"/>
        <v>Valid Email</v>
      </c>
      <c r="AH208" t="str">
        <f t="shared" si="42"/>
        <v>READY FOR REPORTING</v>
      </c>
      <c r="AI208" t="str">
        <f>IF(AND(LEFT(A208,LEN(Settings!$B$13))=Settings!$B$13,LEN(A208)=9),"Valid Format","Invalid Format")</f>
        <v>Valid Format</v>
      </c>
      <c r="AJ208" t="str">
        <f>IF(LEFT(C208,LEN(Settings!$B$14))=Settings!$B$14,"Valid Format","Invalid Format")</f>
        <v>Valid Format</v>
      </c>
      <c r="AK208" t="str">
        <f>IF(COUNTIF(Master_Data!$G$5:$G$14,C208)=1,"Known Customer","Customer Not in Master")</f>
        <v>Customer Not in Master</v>
      </c>
      <c r="AL208" t="str">
        <f>IF(U208&gt;=Settings!$B$11,"Target Met","Below Target")</f>
        <v>Target Met</v>
      </c>
      <c r="AM208" t="str">
        <f>IF(YEAR(B208)=Settings!$B$5,"Correct Year","Wrong Year")</f>
        <v>Correct Year</v>
      </c>
      <c r="AN208">
        <f t="shared" si="43"/>
        <v>4</v>
      </c>
    </row>
    <row r="209" spans="1:40">
      <c r="A209" t="str">
        <f>Raw_Data!A209</f>
        <v>ORD-10208</v>
      </c>
      <c r="B209" s="13">
        <f>Raw_Data!B209</f>
        <v>45892</v>
      </c>
      <c r="C209" t="str">
        <f>Raw_Data!C209</f>
        <v>C1046</v>
      </c>
      <c r="D209" t="str">
        <f>Raw_Data!D209</f>
        <v>client13@example.com</v>
      </c>
      <c r="E209" t="str">
        <f>Raw_Data!E209</f>
        <v>P1009</v>
      </c>
      <c r="F209" t="str">
        <f>Raw_Data!F209</f>
        <v>Webcam</v>
      </c>
      <c r="G209" t="str">
        <f>Raw_Data!G209</f>
        <v>Electronics</v>
      </c>
      <c r="H209" t="str">
        <f>Raw_Data!H209</f>
        <v>Bucharest</v>
      </c>
      <c r="I209" t="str">
        <f>Raw_Data!I209</f>
        <v>Store</v>
      </c>
      <c r="J209" t="str">
        <f>Raw_Data!J209</f>
        <v>Mihai Radu</v>
      </c>
      <c r="K209">
        <f>Raw_Data!K209</f>
        <v>4</v>
      </c>
      <c r="L209" s="12">
        <f>Raw_Data!L209</f>
        <v>230</v>
      </c>
      <c r="M209" s="12">
        <f>Raw_Data!M209</f>
        <v>132</v>
      </c>
      <c r="N209" s="14">
        <f>Raw_Data!N209</f>
        <v>0</v>
      </c>
      <c r="O209" t="str">
        <f>Raw_Data!O209</f>
        <v>Online Wallet</v>
      </c>
      <c r="P209" t="str">
        <f>Raw_Data!P209</f>
        <v>Returned</v>
      </c>
      <c r="Q209" s="12">
        <f t="shared" si="33"/>
        <v>920</v>
      </c>
      <c r="R209" s="12">
        <f t="shared" si="34"/>
        <v>920</v>
      </c>
      <c r="S209" s="12">
        <f t="shared" si="35"/>
        <v>528</v>
      </c>
      <c r="T209" s="12">
        <f t="shared" si="36"/>
        <v>392</v>
      </c>
      <c r="U209" s="11">
        <f t="shared" si="37"/>
        <v>0.42608695652173911</v>
      </c>
      <c r="V209" t="str">
        <f>IF(OR(A209="",COUNTIF($A$2:$A$301,A209)&gt;1,C209="",D209="",ISERROR(SEARCH("@",D209)),ISERROR(SEARCH(".",D209)),COUNTIF(Lookups!$A$2:$A$11,E209)=0,F209="",H209="",K209&lt;=0,L209&lt;0,M209&lt;0,N209&lt;0,N209&gt;0.5,COUNTIF(Lookups!$K$2:$K$4,P209)=0),"ERROR","VALID")</f>
        <v>VALID</v>
      </c>
      <c r="W209" s="2" t="str">
        <f>IF(A209="","Missing Order ID; ","")&amp;IF(COUNTIF($A$2:$A$301,A209)&gt;1,"Duplicate Order ID; ","")&amp;IF(C209="","Missing Customer ID; ","")&amp;IF(OR(D209="",ISERROR(SEARCH("@",D209)),ISERROR(SEARCH(".",D209))),"Invalid Email; ","")&amp;IF(COUNTIF(Lookups!$A$2:$A$11,E209)=0,"Unknown Product; ","")&amp;IF(F209="","Missing Product Name; ","")&amp;IF(H209="","Missing Region; ","")&amp;IF(K209&lt;=0,"Invalid Quantity; ","")&amp;IF(L209&lt;0,"Invalid Price; ","")&amp;IF(M209&lt;0,"Invalid Cost; ","")&amp;IF(OR(N209&lt;0,N209&gt;0.5),"Invalid Discount; ","")&amp;IF(COUNTIF(Lookups!$K$2:$K$4,P209)=0,"Invalid Status; ","")</f>
        <v/>
      </c>
      <c r="X209" s="15" t="str">
        <f t="shared" si="38"/>
        <v>2025-08</v>
      </c>
      <c r="Y209" t="str">
        <f t="shared" si="39"/>
        <v>Q3</v>
      </c>
      <c r="Z209" t="str">
        <f>IF(R209&gt;=Settings!$B$9,"High Value Customer",IF(R209&gt;=Settings!$B$10,"Medium Value Customer","Standard Customer"))</f>
        <v>Standard Customer</v>
      </c>
      <c r="AA209" t="str">
        <f>IF(R209&gt;=Settings!$B$9,"Large Order",IF(R209&gt;=Settings!$B$10,"Medium Order","Small Order"))</f>
        <v>Small Order</v>
      </c>
      <c r="AB209" t="str">
        <f>IF(N209=0,"No Discount",IF(N209&lt;=0.1,"Low Discount",IF(N209&lt;=Settings!$B$8,"Medium Discount","High Discount")))</f>
        <v>No Discount</v>
      </c>
      <c r="AC209" t="str">
        <f t="shared" si="40"/>
        <v>Profitable</v>
      </c>
      <c r="AD209" t="str">
        <f>IFERROR(VLOOKUP(E209,Lookups!$A$2:$E$11,2,FALSE),"Product Not Found")</f>
        <v>Webcam</v>
      </c>
      <c r="AE209" t="str">
        <f>IFERROR(VLOOKUP(E209,Lookups!$A$2:$E$11,3,FALSE),"Category Not Found")</f>
        <v>Electronics</v>
      </c>
      <c r="AF209" t="str">
        <f>IFERROR(IF(L209=VLOOKUP(E209,Lookups!$A$2:$E$11,4,FALSE),"Price OK","Price Mismatch"),"Product Missing")</f>
        <v>Price OK</v>
      </c>
      <c r="AG209" t="str">
        <f t="shared" si="41"/>
        <v>Valid Email</v>
      </c>
      <c r="AH209" t="str">
        <f t="shared" si="42"/>
        <v>READY FOR REPORTING</v>
      </c>
      <c r="AI209" t="str">
        <f>IF(AND(LEFT(A209,LEN(Settings!$B$13))=Settings!$B$13,LEN(A209)=9),"Valid Format","Invalid Format")</f>
        <v>Valid Format</v>
      </c>
      <c r="AJ209" t="str">
        <f>IF(LEFT(C209,LEN(Settings!$B$14))=Settings!$B$14,"Valid Format","Invalid Format")</f>
        <v>Valid Format</v>
      </c>
      <c r="AK209" t="str">
        <f>IF(COUNTIF(Master_Data!$G$5:$G$14,C209)=1,"Known Customer","Customer Not in Master")</f>
        <v>Customer Not in Master</v>
      </c>
      <c r="AL209" t="str">
        <f>IF(U209&gt;=Settings!$B$11,"Target Met","Below Target")</f>
        <v>Target Met</v>
      </c>
      <c r="AM209" t="str">
        <f>IF(YEAR(B209)=Settings!$B$5,"Correct Year","Wrong Year")</f>
        <v>Correct Year</v>
      </c>
      <c r="AN209">
        <f t="shared" si="43"/>
        <v>4</v>
      </c>
    </row>
    <row r="210" spans="1:40">
      <c r="A210" t="str">
        <f>Raw_Data!A210</f>
        <v>ORD-10209</v>
      </c>
      <c r="B210" s="13">
        <f>Raw_Data!B210</f>
        <v>45932</v>
      </c>
      <c r="C210" t="str">
        <f>Raw_Data!C210</f>
        <v>C1018</v>
      </c>
      <c r="D210" t="str">
        <f>Raw_Data!D210</f>
        <v>client68@example.com</v>
      </c>
      <c r="E210" t="str">
        <f>Raw_Data!E210</f>
        <v>P1005</v>
      </c>
      <c r="F210" t="str">
        <f>Raw_Data!F210</f>
        <v>24-inch Monitor</v>
      </c>
      <c r="G210" t="str">
        <f>Raw_Data!G210</f>
        <v>Electronics</v>
      </c>
      <c r="H210" t="str">
        <f>Raw_Data!H210</f>
        <v>South</v>
      </c>
      <c r="I210" t="str">
        <f>Raw_Data!I210</f>
        <v>Store</v>
      </c>
      <c r="J210" t="str">
        <f>Raw_Data!J210</f>
        <v>Elena Stan</v>
      </c>
      <c r="K210">
        <f>Raw_Data!K210</f>
        <v>1</v>
      </c>
      <c r="L210" s="12">
        <f>Raw_Data!L210</f>
        <v>720</v>
      </c>
      <c r="M210" s="12">
        <f>Raw_Data!M210</f>
        <v>510</v>
      </c>
      <c r="N210" s="14">
        <f>Raw_Data!N210</f>
        <v>0</v>
      </c>
      <c r="O210" t="str">
        <f>Raw_Data!O210</f>
        <v>Card</v>
      </c>
      <c r="P210" t="str">
        <f>Raw_Data!P210</f>
        <v>Completed</v>
      </c>
      <c r="Q210" s="12">
        <f t="shared" si="33"/>
        <v>720</v>
      </c>
      <c r="R210" s="12">
        <f t="shared" si="34"/>
        <v>720</v>
      </c>
      <c r="S210" s="12">
        <f t="shared" si="35"/>
        <v>510</v>
      </c>
      <c r="T210" s="12">
        <f t="shared" si="36"/>
        <v>210</v>
      </c>
      <c r="U210" s="11">
        <f t="shared" si="37"/>
        <v>0.29166666666666669</v>
      </c>
      <c r="V210" t="str">
        <f>IF(OR(A210="",COUNTIF($A$2:$A$301,A210)&gt;1,C210="",D210="",ISERROR(SEARCH("@",D210)),ISERROR(SEARCH(".",D210)),COUNTIF(Lookups!$A$2:$A$11,E210)=0,F210="",H210="",K210&lt;=0,L210&lt;0,M210&lt;0,N210&lt;0,N210&gt;0.5,COUNTIF(Lookups!$K$2:$K$4,P210)=0),"ERROR","VALID")</f>
        <v>VALID</v>
      </c>
      <c r="W210" s="2" t="str">
        <f>IF(A210="","Missing Order ID; ","")&amp;IF(COUNTIF($A$2:$A$301,A210)&gt;1,"Duplicate Order ID; ","")&amp;IF(C210="","Missing Customer ID; ","")&amp;IF(OR(D210="",ISERROR(SEARCH("@",D210)),ISERROR(SEARCH(".",D210))),"Invalid Email; ","")&amp;IF(COUNTIF(Lookups!$A$2:$A$11,E210)=0,"Unknown Product; ","")&amp;IF(F210="","Missing Product Name; ","")&amp;IF(H210="","Missing Region; ","")&amp;IF(K210&lt;=0,"Invalid Quantity; ","")&amp;IF(L210&lt;0,"Invalid Price; ","")&amp;IF(M210&lt;0,"Invalid Cost; ","")&amp;IF(OR(N210&lt;0,N210&gt;0.5),"Invalid Discount; ","")&amp;IF(COUNTIF(Lookups!$K$2:$K$4,P210)=0,"Invalid Status; ","")</f>
        <v/>
      </c>
      <c r="X210" s="15" t="str">
        <f t="shared" si="38"/>
        <v>2025-10</v>
      </c>
      <c r="Y210" t="str">
        <f t="shared" si="39"/>
        <v>Q4</v>
      </c>
      <c r="Z210" t="str">
        <f>IF(R210&gt;=Settings!$B$9,"High Value Customer",IF(R210&gt;=Settings!$B$10,"Medium Value Customer","Standard Customer"))</f>
        <v>Standard Customer</v>
      </c>
      <c r="AA210" t="str">
        <f>IF(R210&gt;=Settings!$B$9,"Large Order",IF(R210&gt;=Settings!$B$10,"Medium Order","Small Order"))</f>
        <v>Small Order</v>
      </c>
      <c r="AB210" t="str">
        <f>IF(N210=0,"No Discount",IF(N210&lt;=0.1,"Low Discount",IF(N210&lt;=Settings!$B$8,"Medium Discount","High Discount")))</f>
        <v>No Discount</v>
      </c>
      <c r="AC210" t="str">
        <f t="shared" si="40"/>
        <v>Profitable</v>
      </c>
      <c r="AD210" t="str">
        <f>IFERROR(VLOOKUP(E210,Lookups!$A$2:$E$11,2,FALSE),"Product Not Found")</f>
        <v>24-inch Monitor</v>
      </c>
      <c r="AE210" t="str">
        <f>IFERROR(VLOOKUP(E210,Lookups!$A$2:$E$11,3,FALSE),"Category Not Found")</f>
        <v>Electronics</v>
      </c>
      <c r="AF210" t="str">
        <f>IFERROR(IF(L210=VLOOKUP(E210,Lookups!$A$2:$E$11,4,FALSE),"Price OK","Price Mismatch"),"Product Missing")</f>
        <v>Price OK</v>
      </c>
      <c r="AG210" t="str">
        <f t="shared" si="41"/>
        <v>Valid Email</v>
      </c>
      <c r="AH210" t="str">
        <f t="shared" si="42"/>
        <v>READY FOR REPORTING</v>
      </c>
      <c r="AI210" t="str">
        <f>IF(AND(LEFT(A210,LEN(Settings!$B$13))=Settings!$B$13,LEN(A210)=9),"Valid Format","Invalid Format")</f>
        <v>Valid Format</v>
      </c>
      <c r="AJ210" t="str">
        <f>IF(LEFT(C210,LEN(Settings!$B$14))=Settings!$B$14,"Valid Format","Invalid Format")</f>
        <v>Valid Format</v>
      </c>
      <c r="AK210" t="str">
        <f>IF(COUNTIF(Master_Data!$G$5:$G$14,C210)=1,"Known Customer","Customer Not in Master")</f>
        <v>Customer Not in Master</v>
      </c>
      <c r="AL210" t="str">
        <f>IF(U210&gt;=Settings!$B$11,"Target Met","Below Target")</f>
        <v>Target Met</v>
      </c>
      <c r="AM210" t="str">
        <f>IF(YEAR(B210)=Settings!$B$5,"Correct Year","Wrong Year")</f>
        <v>Correct Year</v>
      </c>
      <c r="AN210">
        <f t="shared" si="43"/>
        <v>4</v>
      </c>
    </row>
    <row r="211" spans="1:40">
      <c r="A211" t="str">
        <f>Raw_Data!A211</f>
        <v>ORD-10210</v>
      </c>
      <c r="B211" s="13">
        <f>Raw_Data!B211</f>
        <v>45684</v>
      </c>
      <c r="C211" t="str">
        <f>Raw_Data!C211</f>
        <v>C1047</v>
      </c>
      <c r="D211" t="str">
        <f>Raw_Data!D211</f>
        <v>client142@example.com</v>
      </c>
      <c r="E211" t="str">
        <f>Raw_Data!E211</f>
        <v>P1007</v>
      </c>
      <c r="F211" t="str">
        <f>Raw_Data!F211</f>
        <v>Office Chair</v>
      </c>
      <c r="G211" t="str">
        <f>Raw_Data!G211</f>
        <v>Furniture</v>
      </c>
      <c r="H211" t="str">
        <f>Raw_Data!H211</f>
        <v>South</v>
      </c>
      <c r="I211" t="str">
        <f>Raw_Data!I211</f>
        <v>Online</v>
      </c>
      <c r="J211" t="str">
        <f>Raw_Data!J211</f>
        <v>Mihai Radu</v>
      </c>
      <c r="K211">
        <f>Raw_Data!K211</f>
        <v>10</v>
      </c>
      <c r="L211" s="12">
        <f>Raw_Data!L211</f>
        <v>840</v>
      </c>
      <c r="M211" s="12">
        <f>Raw_Data!M211</f>
        <v>590</v>
      </c>
      <c r="N211" s="14">
        <f>Raw_Data!N211</f>
        <v>0.15</v>
      </c>
      <c r="O211" t="str">
        <f>Raw_Data!O211</f>
        <v>Online Wallet</v>
      </c>
      <c r="P211" t="str">
        <f>Raw_Data!P211</f>
        <v>Completed</v>
      </c>
      <c r="Q211" s="12">
        <f t="shared" si="33"/>
        <v>8400</v>
      </c>
      <c r="R211" s="12">
        <f t="shared" si="34"/>
        <v>7140</v>
      </c>
      <c r="S211" s="12">
        <f t="shared" si="35"/>
        <v>5900</v>
      </c>
      <c r="T211" s="12">
        <f t="shared" si="36"/>
        <v>1240</v>
      </c>
      <c r="U211" s="11">
        <f t="shared" si="37"/>
        <v>0.17366946778711484</v>
      </c>
      <c r="V211" t="str">
        <f>IF(OR(A211="",COUNTIF($A$2:$A$301,A211)&gt;1,C211="",D211="",ISERROR(SEARCH("@",D211)),ISERROR(SEARCH(".",D211)),COUNTIF(Lookups!$A$2:$A$11,E211)=0,F211="",H211="",K211&lt;=0,L211&lt;0,M211&lt;0,N211&lt;0,N211&gt;0.5,COUNTIF(Lookups!$K$2:$K$4,P211)=0),"ERROR","VALID")</f>
        <v>VALID</v>
      </c>
      <c r="W211" s="2" t="str">
        <f>IF(A211="","Missing Order ID; ","")&amp;IF(COUNTIF($A$2:$A$301,A211)&gt;1,"Duplicate Order ID; ","")&amp;IF(C211="","Missing Customer ID; ","")&amp;IF(OR(D211="",ISERROR(SEARCH("@",D211)),ISERROR(SEARCH(".",D211))),"Invalid Email; ","")&amp;IF(COUNTIF(Lookups!$A$2:$A$11,E211)=0,"Unknown Product; ","")&amp;IF(F211="","Missing Product Name; ","")&amp;IF(H211="","Missing Region; ","")&amp;IF(K211&lt;=0,"Invalid Quantity; ","")&amp;IF(L211&lt;0,"Invalid Price; ","")&amp;IF(M211&lt;0,"Invalid Cost; ","")&amp;IF(OR(N211&lt;0,N211&gt;0.5),"Invalid Discount; ","")&amp;IF(COUNTIF(Lookups!$K$2:$K$4,P211)=0,"Invalid Status; ","")</f>
        <v/>
      </c>
      <c r="X211" s="15" t="str">
        <f t="shared" si="38"/>
        <v>2025-01</v>
      </c>
      <c r="Y211" t="str">
        <f t="shared" si="39"/>
        <v>Q1</v>
      </c>
      <c r="Z211" t="str">
        <f>IF(R211&gt;=Settings!$B$9,"High Value Customer",IF(R211&gt;=Settings!$B$10,"Medium Value Customer","Standard Customer"))</f>
        <v>High Value Customer</v>
      </c>
      <c r="AA211" t="str">
        <f>IF(R211&gt;=Settings!$B$9,"Large Order",IF(R211&gt;=Settings!$B$10,"Medium Order","Small Order"))</f>
        <v>Large Order</v>
      </c>
      <c r="AB211" t="str">
        <f>IF(N211=0,"No Discount",IF(N211&lt;=0.1,"Low Discount",IF(N211&lt;=Settings!$B$8,"Medium Discount","High Discount")))</f>
        <v>Medium Discount</v>
      </c>
      <c r="AC211" t="str">
        <f t="shared" si="40"/>
        <v>Profitable</v>
      </c>
      <c r="AD211" t="str">
        <f>IFERROR(VLOOKUP(E211,Lookups!$A$2:$E$11,2,FALSE),"Product Not Found")</f>
        <v>Office Chair</v>
      </c>
      <c r="AE211" t="str">
        <f>IFERROR(VLOOKUP(E211,Lookups!$A$2:$E$11,3,FALSE),"Category Not Found")</f>
        <v>Furniture</v>
      </c>
      <c r="AF211" t="str">
        <f>IFERROR(IF(L211=VLOOKUP(E211,Lookups!$A$2:$E$11,4,FALSE),"Price OK","Price Mismatch"),"Product Missing")</f>
        <v>Price OK</v>
      </c>
      <c r="AG211" t="str">
        <f t="shared" si="41"/>
        <v>Valid Email</v>
      </c>
      <c r="AH211" t="str">
        <f t="shared" si="42"/>
        <v>READY FOR REPORTING</v>
      </c>
      <c r="AI211" t="str">
        <f>IF(AND(LEFT(A211,LEN(Settings!$B$13))=Settings!$B$13,LEN(A211)=9),"Valid Format","Invalid Format")</f>
        <v>Valid Format</v>
      </c>
      <c r="AJ211" t="str">
        <f>IF(LEFT(C211,LEN(Settings!$B$14))=Settings!$B$14,"Valid Format","Invalid Format")</f>
        <v>Valid Format</v>
      </c>
      <c r="AK211" t="str">
        <f>IF(COUNTIF(Master_Data!$G$5:$G$14,C211)=1,"Known Customer","Customer Not in Master")</f>
        <v>Customer Not in Master</v>
      </c>
      <c r="AL211" t="str">
        <f>IF(U211&gt;=Settings!$B$11,"Target Met","Below Target")</f>
        <v>Below Target</v>
      </c>
      <c r="AM211" t="str">
        <f>IF(YEAR(B211)=Settings!$B$5,"Correct Year","Wrong Year")</f>
        <v>Correct Year</v>
      </c>
      <c r="AN211">
        <f t="shared" si="43"/>
        <v>3</v>
      </c>
    </row>
    <row r="212" spans="1:40">
      <c r="A212" t="str">
        <f>Raw_Data!A212</f>
        <v>ORD-10211</v>
      </c>
      <c r="B212" s="13">
        <f>Raw_Data!B212</f>
        <v>45801</v>
      </c>
      <c r="C212" t="str">
        <f>Raw_Data!C212</f>
        <v>C1016</v>
      </c>
      <c r="D212" t="str">
        <f>Raw_Data!D212</f>
        <v>client33@example.com</v>
      </c>
      <c r="E212" t="str">
        <f>Raw_Data!E212</f>
        <v>P1009</v>
      </c>
      <c r="F212" t="str">
        <f>Raw_Data!F212</f>
        <v>Webcam</v>
      </c>
      <c r="G212" t="str">
        <f>Raw_Data!G212</f>
        <v>Electronics</v>
      </c>
      <c r="H212" t="str">
        <f>Raw_Data!H212</f>
        <v>Bucharest</v>
      </c>
      <c r="I212" t="str">
        <f>Raw_Data!I212</f>
        <v>Store</v>
      </c>
      <c r="J212" t="str">
        <f>Raw_Data!J212</f>
        <v>Elena Stan</v>
      </c>
      <c r="K212">
        <f>Raw_Data!K212</f>
        <v>10</v>
      </c>
      <c r="L212" s="12">
        <f>Raw_Data!L212</f>
        <v>230</v>
      </c>
      <c r="M212" s="12">
        <f>Raw_Data!M212</f>
        <v>132</v>
      </c>
      <c r="N212" s="14">
        <f>Raw_Data!N212</f>
        <v>0.2</v>
      </c>
      <c r="O212" t="str">
        <f>Raw_Data!O212</f>
        <v>Cash</v>
      </c>
      <c r="P212" t="str">
        <f>Raw_Data!P212</f>
        <v>Returned</v>
      </c>
      <c r="Q212" s="12">
        <f t="shared" si="33"/>
        <v>2300</v>
      </c>
      <c r="R212" s="12">
        <f t="shared" si="34"/>
        <v>1840</v>
      </c>
      <c r="S212" s="12">
        <f t="shared" si="35"/>
        <v>1320</v>
      </c>
      <c r="T212" s="12">
        <f t="shared" si="36"/>
        <v>520</v>
      </c>
      <c r="U212" s="11">
        <f t="shared" si="37"/>
        <v>0.28260869565217389</v>
      </c>
      <c r="V212" t="str">
        <f>IF(OR(A212="",COUNTIF($A$2:$A$301,A212)&gt;1,C212="",D212="",ISERROR(SEARCH("@",D212)),ISERROR(SEARCH(".",D212)),COUNTIF(Lookups!$A$2:$A$11,E212)=0,F212="",H212="",K212&lt;=0,L212&lt;0,M212&lt;0,N212&lt;0,N212&gt;0.5,COUNTIF(Lookups!$K$2:$K$4,P212)=0),"ERROR","VALID")</f>
        <v>VALID</v>
      </c>
      <c r="W212" s="2" t="str">
        <f>IF(A212="","Missing Order ID; ","")&amp;IF(COUNTIF($A$2:$A$301,A212)&gt;1,"Duplicate Order ID; ","")&amp;IF(C212="","Missing Customer ID; ","")&amp;IF(OR(D212="",ISERROR(SEARCH("@",D212)),ISERROR(SEARCH(".",D212))),"Invalid Email; ","")&amp;IF(COUNTIF(Lookups!$A$2:$A$11,E212)=0,"Unknown Product; ","")&amp;IF(F212="","Missing Product Name; ","")&amp;IF(H212="","Missing Region; ","")&amp;IF(K212&lt;=0,"Invalid Quantity; ","")&amp;IF(L212&lt;0,"Invalid Price; ","")&amp;IF(M212&lt;0,"Invalid Cost; ","")&amp;IF(OR(N212&lt;0,N212&gt;0.5),"Invalid Discount; ","")&amp;IF(COUNTIF(Lookups!$K$2:$K$4,P212)=0,"Invalid Status; ","")</f>
        <v/>
      </c>
      <c r="X212" s="15" t="str">
        <f t="shared" si="38"/>
        <v>2025-05</v>
      </c>
      <c r="Y212" t="str">
        <f t="shared" si="39"/>
        <v>Q2</v>
      </c>
      <c r="Z212" t="str">
        <f>IF(R212&gt;=Settings!$B$9,"High Value Customer",IF(R212&gt;=Settings!$B$10,"Medium Value Customer","Standard Customer"))</f>
        <v>Standard Customer</v>
      </c>
      <c r="AA212" t="str">
        <f>IF(R212&gt;=Settings!$B$9,"Large Order",IF(R212&gt;=Settings!$B$10,"Medium Order","Small Order"))</f>
        <v>Small Order</v>
      </c>
      <c r="AB212" t="str">
        <f>IF(N212=0,"No Discount",IF(N212&lt;=0.1,"Low Discount",IF(N212&lt;=Settings!$B$8,"Medium Discount","High Discount")))</f>
        <v>Medium Discount</v>
      </c>
      <c r="AC212" t="str">
        <f t="shared" si="40"/>
        <v>Profitable</v>
      </c>
      <c r="AD212" t="str">
        <f>IFERROR(VLOOKUP(E212,Lookups!$A$2:$E$11,2,FALSE),"Product Not Found")</f>
        <v>Webcam</v>
      </c>
      <c r="AE212" t="str">
        <f>IFERROR(VLOOKUP(E212,Lookups!$A$2:$E$11,3,FALSE),"Category Not Found")</f>
        <v>Electronics</v>
      </c>
      <c r="AF212" t="str">
        <f>IFERROR(IF(L212=VLOOKUP(E212,Lookups!$A$2:$E$11,4,FALSE),"Price OK","Price Mismatch"),"Product Missing")</f>
        <v>Price OK</v>
      </c>
      <c r="AG212" t="str">
        <f t="shared" si="41"/>
        <v>Valid Email</v>
      </c>
      <c r="AH212" t="str">
        <f t="shared" si="42"/>
        <v>READY FOR REPORTING</v>
      </c>
      <c r="AI212" t="str">
        <f>IF(AND(LEFT(A212,LEN(Settings!$B$13))=Settings!$B$13,LEN(A212)=9),"Valid Format","Invalid Format")</f>
        <v>Valid Format</v>
      </c>
      <c r="AJ212" t="str">
        <f>IF(LEFT(C212,LEN(Settings!$B$14))=Settings!$B$14,"Valid Format","Invalid Format")</f>
        <v>Valid Format</v>
      </c>
      <c r="AK212" t="str">
        <f>IF(COUNTIF(Master_Data!$G$5:$G$14,C212)=1,"Known Customer","Customer Not in Master")</f>
        <v>Customer Not in Master</v>
      </c>
      <c r="AL212" t="str">
        <f>IF(U212&gt;=Settings!$B$11,"Target Met","Below Target")</f>
        <v>Target Met</v>
      </c>
      <c r="AM212" t="str">
        <f>IF(YEAR(B212)=Settings!$B$5,"Correct Year","Wrong Year")</f>
        <v>Correct Year</v>
      </c>
      <c r="AN212">
        <f t="shared" si="43"/>
        <v>4</v>
      </c>
    </row>
    <row r="213" spans="1:40">
      <c r="A213" t="str">
        <f>Raw_Data!A213</f>
        <v>ORD-10212</v>
      </c>
      <c r="B213" s="13">
        <f>Raw_Data!B213</f>
        <v>45845</v>
      </c>
      <c r="C213" t="str">
        <f>Raw_Data!C213</f>
        <v>C1066</v>
      </c>
      <c r="D213" t="str">
        <f>Raw_Data!D213</f>
        <v>client103@example.com</v>
      </c>
      <c r="E213" t="str">
        <f>Raw_Data!E213</f>
        <v>P1009</v>
      </c>
      <c r="F213" t="str">
        <f>Raw_Data!F213</f>
        <v>Webcam</v>
      </c>
      <c r="G213" t="str">
        <f>Raw_Data!G213</f>
        <v>Electronics</v>
      </c>
      <c r="H213" t="str">
        <f>Raw_Data!H213</f>
        <v>West</v>
      </c>
      <c r="I213" t="str">
        <f>Raw_Data!I213</f>
        <v>Online</v>
      </c>
      <c r="J213" t="str">
        <f>Raw_Data!J213</f>
        <v>Andrei Pop</v>
      </c>
      <c r="K213">
        <f>Raw_Data!K213</f>
        <v>3</v>
      </c>
      <c r="L213" s="12">
        <f>Raw_Data!L213</f>
        <v>230</v>
      </c>
      <c r="M213" s="12">
        <f>Raw_Data!M213</f>
        <v>132</v>
      </c>
      <c r="N213" s="14">
        <f>Raw_Data!N213</f>
        <v>0</v>
      </c>
      <c r="O213" t="str">
        <f>Raw_Data!O213</f>
        <v>Card</v>
      </c>
      <c r="P213" t="str">
        <f>Raw_Data!P213</f>
        <v>Returned</v>
      </c>
      <c r="Q213" s="12">
        <f t="shared" si="33"/>
        <v>690</v>
      </c>
      <c r="R213" s="12">
        <f t="shared" si="34"/>
        <v>690</v>
      </c>
      <c r="S213" s="12">
        <f t="shared" si="35"/>
        <v>396</v>
      </c>
      <c r="T213" s="12">
        <f t="shared" si="36"/>
        <v>294</v>
      </c>
      <c r="U213" s="11">
        <f t="shared" si="37"/>
        <v>0.42608695652173911</v>
      </c>
      <c r="V213" t="str">
        <f>IF(OR(A213="",COUNTIF($A$2:$A$301,A213)&gt;1,C213="",D213="",ISERROR(SEARCH("@",D213)),ISERROR(SEARCH(".",D213)),COUNTIF(Lookups!$A$2:$A$11,E213)=0,F213="",H213="",K213&lt;=0,L213&lt;0,M213&lt;0,N213&lt;0,N213&gt;0.5,COUNTIF(Lookups!$K$2:$K$4,P213)=0),"ERROR","VALID")</f>
        <v>VALID</v>
      </c>
      <c r="W213" s="2" t="str">
        <f>IF(A213="","Missing Order ID; ","")&amp;IF(COUNTIF($A$2:$A$301,A213)&gt;1,"Duplicate Order ID; ","")&amp;IF(C213="","Missing Customer ID; ","")&amp;IF(OR(D213="",ISERROR(SEARCH("@",D213)),ISERROR(SEARCH(".",D213))),"Invalid Email; ","")&amp;IF(COUNTIF(Lookups!$A$2:$A$11,E213)=0,"Unknown Product; ","")&amp;IF(F213="","Missing Product Name; ","")&amp;IF(H213="","Missing Region; ","")&amp;IF(K213&lt;=0,"Invalid Quantity; ","")&amp;IF(L213&lt;0,"Invalid Price; ","")&amp;IF(M213&lt;0,"Invalid Cost; ","")&amp;IF(OR(N213&lt;0,N213&gt;0.5),"Invalid Discount; ","")&amp;IF(COUNTIF(Lookups!$K$2:$K$4,P213)=0,"Invalid Status; ","")</f>
        <v/>
      </c>
      <c r="X213" s="15" t="str">
        <f t="shared" si="38"/>
        <v>2025-07</v>
      </c>
      <c r="Y213" t="str">
        <f t="shared" si="39"/>
        <v>Q3</v>
      </c>
      <c r="Z213" t="str">
        <f>IF(R213&gt;=Settings!$B$9,"High Value Customer",IF(R213&gt;=Settings!$B$10,"Medium Value Customer","Standard Customer"))</f>
        <v>Standard Customer</v>
      </c>
      <c r="AA213" t="str">
        <f>IF(R213&gt;=Settings!$B$9,"Large Order",IF(R213&gt;=Settings!$B$10,"Medium Order","Small Order"))</f>
        <v>Small Order</v>
      </c>
      <c r="AB213" t="str">
        <f>IF(N213=0,"No Discount",IF(N213&lt;=0.1,"Low Discount",IF(N213&lt;=Settings!$B$8,"Medium Discount","High Discount")))</f>
        <v>No Discount</v>
      </c>
      <c r="AC213" t="str">
        <f t="shared" si="40"/>
        <v>Profitable</v>
      </c>
      <c r="AD213" t="str">
        <f>IFERROR(VLOOKUP(E213,Lookups!$A$2:$E$11,2,FALSE),"Product Not Found")</f>
        <v>Webcam</v>
      </c>
      <c r="AE213" t="str">
        <f>IFERROR(VLOOKUP(E213,Lookups!$A$2:$E$11,3,FALSE),"Category Not Found")</f>
        <v>Electronics</v>
      </c>
      <c r="AF213" t="str">
        <f>IFERROR(IF(L213=VLOOKUP(E213,Lookups!$A$2:$E$11,4,FALSE),"Price OK","Price Mismatch"),"Product Missing")</f>
        <v>Price OK</v>
      </c>
      <c r="AG213" t="str">
        <f t="shared" si="41"/>
        <v>Valid Email</v>
      </c>
      <c r="AH213" t="str">
        <f t="shared" si="42"/>
        <v>READY FOR REPORTING</v>
      </c>
      <c r="AI213" t="str">
        <f>IF(AND(LEFT(A213,LEN(Settings!$B$13))=Settings!$B$13,LEN(A213)=9),"Valid Format","Invalid Format")</f>
        <v>Valid Format</v>
      </c>
      <c r="AJ213" t="str">
        <f>IF(LEFT(C213,LEN(Settings!$B$14))=Settings!$B$14,"Valid Format","Invalid Format")</f>
        <v>Valid Format</v>
      </c>
      <c r="AK213" t="str">
        <f>IF(COUNTIF(Master_Data!$G$5:$G$14,C213)=1,"Known Customer","Customer Not in Master")</f>
        <v>Customer Not in Master</v>
      </c>
      <c r="AL213" t="str">
        <f>IF(U213&gt;=Settings!$B$11,"Target Met","Below Target")</f>
        <v>Target Met</v>
      </c>
      <c r="AM213" t="str">
        <f>IF(YEAR(B213)=Settings!$B$5,"Correct Year","Wrong Year")</f>
        <v>Correct Year</v>
      </c>
      <c r="AN213">
        <f t="shared" si="43"/>
        <v>4</v>
      </c>
    </row>
    <row r="214" spans="1:40">
      <c r="A214" t="str">
        <f>Raw_Data!A214</f>
        <v>ORD-10213</v>
      </c>
      <c r="B214" s="13">
        <f>Raw_Data!B214</f>
        <v>45828</v>
      </c>
      <c r="C214" t="str">
        <f>Raw_Data!C214</f>
        <v>C1020</v>
      </c>
      <c r="D214" t="str">
        <f>Raw_Data!D214</f>
        <v>client156@example.com</v>
      </c>
      <c r="E214" t="str">
        <f>Raw_Data!E214</f>
        <v>P1003</v>
      </c>
      <c r="F214" t="str">
        <f>Raw_Data!F214</f>
        <v>Mechanical Keyboard</v>
      </c>
      <c r="G214" t="str">
        <f>Raw_Data!G214</f>
        <v>Accessories</v>
      </c>
      <c r="H214" t="str">
        <f>Raw_Data!H214</f>
        <v>West</v>
      </c>
      <c r="I214" t="str">
        <f>Raw_Data!I214</f>
        <v>Online</v>
      </c>
      <c r="J214" t="str">
        <f>Raw_Data!J214</f>
        <v>Elena Stan</v>
      </c>
      <c r="K214">
        <f>Raw_Data!K214</f>
        <v>8</v>
      </c>
      <c r="L214" s="12">
        <f>Raw_Data!L214</f>
        <v>265</v>
      </c>
      <c r="M214" s="12">
        <f>Raw_Data!M214</f>
        <v>155</v>
      </c>
      <c r="N214" s="14">
        <f>Raw_Data!N214</f>
        <v>0.15</v>
      </c>
      <c r="O214" t="str">
        <f>Raw_Data!O214</f>
        <v>Cash</v>
      </c>
      <c r="P214" t="str">
        <f>Raw_Data!P214</f>
        <v>Completed</v>
      </c>
      <c r="Q214" s="12">
        <f t="shared" si="33"/>
        <v>2120</v>
      </c>
      <c r="R214" s="12">
        <f t="shared" si="34"/>
        <v>1802</v>
      </c>
      <c r="S214" s="12">
        <f t="shared" si="35"/>
        <v>1240</v>
      </c>
      <c r="T214" s="12">
        <f t="shared" si="36"/>
        <v>562</v>
      </c>
      <c r="U214" s="11">
        <f t="shared" si="37"/>
        <v>0.31187569367369589</v>
      </c>
      <c r="V214" t="str">
        <f>IF(OR(A214="",COUNTIF($A$2:$A$301,A214)&gt;1,C214="",D214="",ISERROR(SEARCH("@",D214)),ISERROR(SEARCH(".",D214)),COUNTIF(Lookups!$A$2:$A$11,E214)=0,F214="",H214="",K214&lt;=0,L214&lt;0,M214&lt;0,N214&lt;0,N214&gt;0.5,COUNTIF(Lookups!$K$2:$K$4,P214)=0),"ERROR","VALID")</f>
        <v>VALID</v>
      </c>
      <c r="W214" s="2" t="str">
        <f>IF(A214="","Missing Order ID; ","")&amp;IF(COUNTIF($A$2:$A$301,A214)&gt;1,"Duplicate Order ID; ","")&amp;IF(C214="","Missing Customer ID; ","")&amp;IF(OR(D214="",ISERROR(SEARCH("@",D214)),ISERROR(SEARCH(".",D214))),"Invalid Email; ","")&amp;IF(COUNTIF(Lookups!$A$2:$A$11,E214)=0,"Unknown Product; ","")&amp;IF(F214="","Missing Product Name; ","")&amp;IF(H214="","Missing Region; ","")&amp;IF(K214&lt;=0,"Invalid Quantity; ","")&amp;IF(L214&lt;0,"Invalid Price; ","")&amp;IF(M214&lt;0,"Invalid Cost; ","")&amp;IF(OR(N214&lt;0,N214&gt;0.5),"Invalid Discount; ","")&amp;IF(COUNTIF(Lookups!$K$2:$K$4,P214)=0,"Invalid Status; ","")</f>
        <v/>
      </c>
      <c r="X214" s="15" t="str">
        <f t="shared" si="38"/>
        <v>2025-06</v>
      </c>
      <c r="Y214" t="str">
        <f t="shared" si="39"/>
        <v>Q2</v>
      </c>
      <c r="Z214" t="str">
        <f>IF(R214&gt;=Settings!$B$9,"High Value Customer",IF(R214&gt;=Settings!$B$10,"Medium Value Customer","Standard Customer"))</f>
        <v>Standard Customer</v>
      </c>
      <c r="AA214" t="str">
        <f>IF(R214&gt;=Settings!$B$9,"Large Order",IF(R214&gt;=Settings!$B$10,"Medium Order","Small Order"))</f>
        <v>Small Order</v>
      </c>
      <c r="AB214" t="str">
        <f>IF(N214=0,"No Discount",IF(N214&lt;=0.1,"Low Discount",IF(N214&lt;=Settings!$B$8,"Medium Discount","High Discount")))</f>
        <v>Medium Discount</v>
      </c>
      <c r="AC214" t="str">
        <f t="shared" si="40"/>
        <v>Profitable</v>
      </c>
      <c r="AD214" t="str">
        <f>IFERROR(VLOOKUP(E214,Lookups!$A$2:$E$11,2,FALSE),"Product Not Found")</f>
        <v>Mechanical Keyboard</v>
      </c>
      <c r="AE214" t="str">
        <f>IFERROR(VLOOKUP(E214,Lookups!$A$2:$E$11,3,FALSE),"Category Not Found")</f>
        <v>Accessories</v>
      </c>
      <c r="AF214" t="str">
        <f>IFERROR(IF(L214=VLOOKUP(E214,Lookups!$A$2:$E$11,4,FALSE),"Price OK","Price Mismatch"),"Product Missing")</f>
        <v>Price OK</v>
      </c>
      <c r="AG214" t="str">
        <f t="shared" si="41"/>
        <v>Valid Email</v>
      </c>
      <c r="AH214" t="str">
        <f t="shared" si="42"/>
        <v>READY FOR REPORTING</v>
      </c>
      <c r="AI214" t="str">
        <f>IF(AND(LEFT(A214,LEN(Settings!$B$13))=Settings!$B$13,LEN(A214)=9),"Valid Format","Invalid Format")</f>
        <v>Valid Format</v>
      </c>
      <c r="AJ214" t="str">
        <f>IF(LEFT(C214,LEN(Settings!$B$14))=Settings!$B$14,"Valid Format","Invalid Format")</f>
        <v>Valid Format</v>
      </c>
      <c r="AK214" t="str">
        <f>IF(COUNTIF(Master_Data!$G$5:$G$14,C214)=1,"Known Customer","Customer Not in Master")</f>
        <v>Customer Not in Master</v>
      </c>
      <c r="AL214" t="str">
        <f>IF(U214&gt;=Settings!$B$11,"Target Met","Below Target")</f>
        <v>Target Met</v>
      </c>
      <c r="AM214" t="str">
        <f>IF(YEAR(B214)=Settings!$B$5,"Correct Year","Wrong Year")</f>
        <v>Correct Year</v>
      </c>
      <c r="AN214">
        <f t="shared" si="43"/>
        <v>4</v>
      </c>
    </row>
    <row r="215" spans="1:40">
      <c r="A215" t="str">
        <f>Raw_Data!A215</f>
        <v>ORD-10214</v>
      </c>
      <c r="B215" s="13">
        <f>Raw_Data!B215</f>
        <v>45859</v>
      </c>
      <c r="C215" t="str">
        <f>Raw_Data!C215</f>
        <v>C1076</v>
      </c>
      <c r="D215" t="str">
        <f>Raw_Data!D215</f>
        <v>client87@example.com</v>
      </c>
      <c r="E215" t="str">
        <f>Raw_Data!E215</f>
        <v>P1003</v>
      </c>
      <c r="F215" t="str">
        <f>Raw_Data!F215</f>
        <v>Mechanical Keyboard</v>
      </c>
      <c r="G215" t="str">
        <f>Raw_Data!G215</f>
        <v>Accessories</v>
      </c>
      <c r="H215" t="str">
        <f>Raw_Data!H215</f>
        <v>West</v>
      </c>
      <c r="I215" t="str">
        <f>Raw_Data!I215</f>
        <v>Marketplace</v>
      </c>
      <c r="J215" t="str">
        <f>Raw_Data!J215</f>
        <v>Ioana Pavel</v>
      </c>
      <c r="K215">
        <f>Raw_Data!K215</f>
        <v>10</v>
      </c>
      <c r="L215" s="12">
        <f>Raw_Data!L215</f>
        <v>265</v>
      </c>
      <c r="M215" s="12">
        <f>Raw_Data!M215</f>
        <v>155</v>
      </c>
      <c r="N215" s="14">
        <f>Raw_Data!N215</f>
        <v>0.2</v>
      </c>
      <c r="O215" t="str">
        <f>Raw_Data!O215</f>
        <v>Online Wallet</v>
      </c>
      <c r="P215" t="str">
        <f>Raw_Data!P215</f>
        <v>Completed</v>
      </c>
      <c r="Q215" s="12">
        <f t="shared" si="33"/>
        <v>2650</v>
      </c>
      <c r="R215" s="12">
        <f t="shared" si="34"/>
        <v>2120</v>
      </c>
      <c r="S215" s="12">
        <f t="shared" si="35"/>
        <v>1550</v>
      </c>
      <c r="T215" s="12">
        <f t="shared" si="36"/>
        <v>570</v>
      </c>
      <c r="U215" s="11">
        <f t="shared" si="37"/>
        <v>0.26886792452830188</v>
      </c>
      <c r="V215" t="str">
        <f>IF(OR(A215="",COUNTIF($A$2:$A$301,A215)&gt;1,C215="",D215="",ISERROR(SEARCH("@",D215)),ISERROR(SEARCH(".",D215)),COUNTIF(Lookups!$A$2:$A$11,E215)=0,F215="",H215="",K215&lt;=0,L215&lt;0,M215&lt;0,N215&lt;0,N215&gt;0.5,COUNTIF(Lookups!$K$2:$K$4,P215)=0),"ERROR","VALID")</f>
        <v>VALID</v>
      </c>
      <c r="W215" s="2" t="str">
        <f>IF(A215="","Missing Order ID; ","")&amp;IF(COUNTIF($A$2:$A$301,A215)&gt;1,"Duplicate Order ID; ","")&amp;IF(C215="","Missing Customer ID; ","")&amp;IF(OR(D215="",ISERROR(SEARCH("@",D215)),ISERROR(SEARCH(".",D215))),"Invalid Email; ","")&amp;IF(COUNTIF(Lookups!$A$2:$A$11,E215)=0,"Unknown Product; ","")&amp;IF(F215="","Missing Product Name; ","")&amp;IF(H215="","Missing Region; ","")&amp;IF(K215&lt;=0,"Invalid Quantity; ","")&amp;IF(L215&lt;0,"Invalid Price; ","")&amp;IF(M215&lt;0,"Invalid Cost; ","")&amp;IF(OR(N215&lt;0,N215&gt;0.5),"Invalid Discount; ","")&amp;IF(COUNTIF(Lookups!$K$2:$K$4,P215)=0,"Invalid Status; ","")</f>
        <v/>
      </c>
      <c r="X215" s="15" t="str">
        <f t="shared" si="38"/>
        <v>2025-07</v>
      </c>
      <c r="Y215" t="str">
        <f t="shared" si="39"/>
        <v>Q3</v>
      </c>
      <c r="Z215" t="str">
        <f>IF(R215&gt;=Settings!$B$9,"High Value Customer",IF(R215&gt;=Settings!$B$10,"Medium Value Customer","Standard Customer"))</f>
        <v>Medium Value Customer</v>
      </c>
      <c r="AA215" t="str">
        <f>IF(R215&gt;=Settings!$B$9,"Large Order",IF(R215&gt;=Settings!$B$10,"Medium Order","Small Order"))</f>
        <v>Medium Order</v>
      </c>
      <c r="AB215" t="str">
        <f>IF(N215=0,"No Discount",IF(N215&lt;=0.1,"Low Discount",IF(N215&lt;=Settings!$B$8,"Medium Discount","High Discount")))</f>
        <v>Medium Discount</v>
      </c>
      <c r="AC215" t="str">
        <f t="shared" si="40"/>
        <v>Profitable</v>
      </c>
      <c r="AD215" t="str">
        <f>IFERROR(VLOOKUP(E215,Lookups!$A$2:$E$11,2,FALSE),"Product Not Found")</f>
        <v>Mechanical Keyboard</v>
      </c>
      <c r="AE215" t="str">
        <f>IFERROR(VLOOKUP(E215,Lookups!$A$2:$E$11,3,FALSE),"Category Not Found")</f>
        <v>Accessories</v>
      </c>
      <c r="AF215" t="str">
        <f>IFERROR(IF(L215=VLOOKUP(E215,Lookups!$A$2:$E$11,4,FALSE),"Price OK","Price Mismatch"),"Product Missing")</f>
        <v>Price OK</v>
      </c>
      <c r="AG215" t="str">
        <f t="shared" si="41"/>
        <v>Valid Email</v>
      </c>
      <c r="AH215" t="str">
        <f t="shared" si="42"/>
        <v>READY FOR REPORTING</v>
      </c>
      <c r="AI215" t="str">
        <f>IF(AND(LEFT(A215,LEN(Settings!$B$13))=Settings!$B$13,LEN(A215)=9),"Valid Format","Invalid Format")</f>
        <v>Valid Format</v>
      </c>
      <c r="AJ215" t="str">
        <f>IF(LEFT(C215,LEN(Settings!$B$14))=Settings!$B$14,"Valid Format","Invalid Format")</f>
        <v>Valid Format</v>
      </c>
      <c r="AK215" t="str">
        <f>IF(COUNTIF(Master_Data!$G$5:$G$14,C215)=1,"Known Customer","Customer Not in Master")</f>
        <v>Customer Not in Master</v>
      </c>
      <c r="AL215" t="str">
        <f>IF(U215&gt;=Settings!$B$11,"Target Met","Below Target")</f>
        <v>Target Met</v>
      </c>
      <c r="AM215" t="str">
        <f>IF(YEAR(B215)=Settings!$B$5,"Correct Year","Wrong Year")</f>
        <v>Correct Year</v>
      </c>
      <c r="AN215">
        <f t="shared" si="43"/>
        <v>4</v>
      </c>
    </row>
    <row r="216" spans="1:40">
      <c r="A216" t="str">
        <f>Raw_Data!A216</f>
        <v>ORD-10215</v>
      </c>
      <c r="B216" s="13">
        <f>Raw_Data!B216</f>
        <v>45811</v>
      </c>
      <c r="C216" t="str">
        <f>Raw_Data!C216</f>
        <v>C1043</v>
      </c>
      <c r="D216" t="str">
        <f>Raw_Data!D216</f>
        <v>client173@example.com</v>
      </c>
      <c r="E216" t="str">
        <f>Raw_Data!E216</f>
        <v>P1010</v>
      </c>
      <c r="F216" t="str">
        <f>Raw_Data!F216</f>
        <v>Headset</v>
      </c>
      <c r="G216" t="str">
        <f>Raw_Data!G216</f>
        <v>Electronics</v>
      </c>
      <c r="H216" t="str">
        <f>Raw_Data!H216</f>
        <v>Bucharest</v>
      </c>
      <c r="I216" t="str">
        <f>Raw_Data!I216</f>
        <v>Store</v>
      </c>
      <c r="J216" t="str">
        <f>Raw_Data!J216</f>
        <v>Ioana Pavel</v>
      </c>
      <c r="K216">
        <f>Raw_Data!K216</f>
        <v>8</v>
      </c>
      <c r="L216" s="12">
        <f>Raw_Data!L216</f>
        <v>195</v>
      </c>
      <c r="M216" s="12">
        <f>Raw_Data!M216</f>
        <v>105</v>
      </c>
      <c r="N216" s="14">
        <f>Raw_Data!N216</f>
        <v>0</v>
      </c>
      <c r="O216" t="str">
        <f>Raw_Data!O216</f>
        <v>Cash</v>
      </c>
      <c r="P216" t="str">
        <f>Raw_Data!P216</f>
        <v>Completed</v>
      </c>
      <c r="Q216" s="12">
        <f t="shared" si="33"/>
        <v>1560</v>
      </c>
      <c r="R216" s="12">
        <f t="shared" si="34"/>
        <v>1560</v>
      </c>
      <c r="S216" s="12">
        <f t="shared" si="35"/>
        <v>840</v>
      </c>
      <c r="T216" s="12">
        <f t="shared" si="36"/>
        <v>720</v>
      </c>
      <c r="U216" s="11">
        <f t="shared" si="37"/>
        <v>0.46153846153846156</v>
      </c>
      <c r="V216" t="str">
        <f>IF(OR(A216="",COUNTIF($A$2:$A$301,A216)&gt;1,C216="",D216="",ISERROR(SEARCH("@",D216)),ISERROR(SEARCH(".",D216)),COUNTIF(Lookups!$A$2:$A$11,E216)=0,F216="",H216="",K216&lt;=0,L216&lt;0,M216&lt;0,N216&lt;0,N216&gt;0.5,COUNTIF(Lookups!$K$2:$K$4,P216)=0),"ERROR","VALID")</f>
        <v>VALID</v>
      </c>
      <c r="W216" s="2" t="str">
        <f>IF(A216="","Missing Order ID; ","")&amp;IF(COUNTIF($A$2:$A$301,A216)&gt;1,"Duplicate Order ID; ","")&amp;IF(C216="","Missing Customer ID; ","")&amp;IF(OR(D216="",ISERROR(SEARCH("@",D216)),ISERROR(SEARCH(".",D216))),"Invalid Email; ","")&amp;IF(COUNTIF(Lookups!$A$2:$A$11,E216)=0,"Unknown Product; ","")&amp;IF(F216="","Missing Product Name; ","")&amp;IF(H216="","Missing Region; ","")&amp;IF(K216&lt;=0,"Invalid Quantity; ","")&amp;IF(L216&lt;0,"Invalid Price; ","")&amp;IF(M216&lt;0,"Invalid Cost; ","")&amp;IF(OR(N216&lt;0,N216&gt;0.5),"Invalid Discount; ","")&amp;IF(COUNTIF(Lookups!$K$2:$K$4,P216)=0,"Invalid Status; ","")</f>
        <v/>
      </c>
      <c r="X216" s="15" t="str">
        <f t="shared" si="38"/>
        <v>2025-06</v>
      </c>
      <c r="Y216" t="str">
        <f t="shared" si="39"/>
        <v>Q2</v>
      </c>
      <c r="Z216" t="str">
        <f>IF(R216&gt;=Settings!$B$9,"High Value Customer",IF(R216&gt;=Settings!$B$10,"Medium Value Customer","Standard Customer"))</f>
        <v>Standard Customer</v>
      </c>
      <c r="AA216" t="str">
        <f>IF(R216&gt;=Settings!$B$9,"Large Order",IF(R216&gt;=Settings!$B$10,"Medium Order","Small Order"))</f>
        <v>Small Order</v>
      </c>
      <c r="AB216" t="str">
        <f>IF(N216=0,"No Discount",IF(N216&lt;=0.1,"Low Discount",IF(N216&lt;=Settings!$B$8,"Medium Discount","High Discount")))</f>
        <v>No Discount</v>
      </c>
      <c r="AC216" t="str">
        <f t="shared" si="40"/>
        <v>Profitable</v>
      </c>
      <c r="AD216" t="str">
        <f>IFERROR(VLOOKUP(E216,Lookups!$A$2:$E$11,2,FALSE),"Product Not Found")</f>
        <v>Headset</v>
      </c>
      <c r="AE216" t="str">
        <f>IFERROR(VLOOKUP(E216,Lookups!$A$2:$E$11,3,FALSE),"Category Not Found")</f>
        <v>Electronics</v>
      </c>
      <c r="AF216" t="str">
        <f>IFERROR(IF(L216=VLOOKUP(E216,Lookups!$A$2:$E$11,4,FALSE),"Price OK","Price Mismatch"),"Product Missing")</f>
        <v>Price OK</v>
      </c>
      <c r="AG216" t="str">
        <f t="shared" si="41"/>
        <v>Valid Email</v>
      </c>
      <c r="AH216" t="str">
        <f t="shared" si="42"/>
        <v>READY FOR REPORTING</v>
      </c>
      <c r="AI216" t="str">
        <f>IF(AND(LEFT(A216,LEN(Settings!$B$13))=Settings!$B$13,LEN(A216)=9),"Valid Format","Invalid Format")</f>
        <v>Valid Format</v>
      </c>
      <c r="AJ216" t="str">
        <f>IF(LEFT(C216,LEN(Settings!$B$14))=Settings!$B$14,"Valid Format","Invalid Format")</f>
        <v>Valid Format</v>
      </c>
      <c r="AK216" t="str">
        <f>IF(COUNTIF(Master_Data!$G$5:$G$14,C216)=1,"Known Customer","Customer Not in Master")</f>
        <v>Customer Not in Master</v>
      </c>
      <c r="AL216" t="str">
        <f>IF(U216&gt;=Settings!$B$11,"Target Met","Below Target")</f>
        <v>Target Met</v>
      </c>
      <c r="AM216" t="str">
        <f>IF(YEAR(B216)=Settings!$B$5,"Correct Year","Wrong Year")</f>
        <v>Correct Year</v>
      </c>
      <c r="AN216">
        <f t="shared" si="43"/>
        <v>4</v>
      </c>
    </row>
    <row r="217" spans="1:40">
      <c r="A217" t="str">
        <f>Raw_Data!A217</f>
        <v>ORD-10216</v>
      </c>
      <c r="B217" s="13">
        <f>Raw_Data!B217</f>
        <v>45963</v>
      </c>
      <c r="C217" t="str">
        <f>Raw_Data!C217</f>
        <v>C1101</v>
      </c>
      <c r="D217" t="str">
        <f>Raw_Data!D217</f>
        <v>client149@example.com</v>
      </c>
      <c r="E217" t="str">
        <f>Raw_Data!E217</f>
        <v>P1001</v>
      </c>
      <c r="F217" t="str">
        <f>Raw_Data!F217</f>
        <v>Laptop Stand</v>
      </c>
      <c r="G217" t="str">
        <f>Raw_Data!G217</f>
        <v>Accessories</v>
      </c>
      <c r="H217" t="str">
        <f>Raw_Data!H217</f>
        <v>West</v>
      </c>
      <c r="I217" t="str">
        <f>Raw_Data!I217</f>
        <v>Online</v>
      </c>
      <c r="J217" t="str">
        <f>Raw_Data!J217</f>
        <v>Andrei Pop</v>
      </c>
      <c r="K217">
        <f>Raw_Data!K217</f>
        <v>8</v>
      </c>
      <c r="L217" s="12">
        <f>Raw_Data!L217</f>
        <v>95</v>
      </c>
      <c r="M217" s="12">
        <f>Raw_Data!M217</f>
        <v>52</v>
      </c>
      <c r="N217" s="14">
        <f>Raw_Data!N217</f>
        <v>0.05</v>
      </c>
      <c r="O217" t="str">
        <f>Raw_Data!O217</f>
        <v>Online Wallet</v>
      </c>
      <c r="P217" t="str">
        <f>Raw_Data!P217</f>
        <v>Cancelled</v>
      </c>
      <c r="Q217" s="12">
        <f t="shared" si="33"/>
        <v>760</v>
      </c>
      <c r="R217" s="12">
        <f t="shared" si="34"/>
        <v>722</v>
      </c>
      <c r="S217" s="12">
        <f t="shared" si="35"/>
        <v>416</v>
      </c>
      <c r="T217" s="12">
        <f t="shared" si="36"/>
        <v>306</v>
      </c>
      <c r="U217" s="11">
        <f t="shared" si="37"/>
        <v>0.42382271468144045</v>
      </c>
      <c r="V217" t="str">
        <f>IF(OR(A217="",COUNTIF($A$2:$A$301,A217)&gt;1,C217="",D217="",ISERROR(SEARCH("@",D217)),ISERROR(SEARCH(".",D217)),COUNTIF(Lookups!$A$2:$A$11,E217)=0,F217="",H217="",K217&lt;=0,L217&lt;0,M217&lt;0,N217&lt;0,N217&gt;0.5,COUNTIF(Lookups!$K$2:$K$4,P217)=0),"ERROR","VALID")</f>
        <v>VALID</v>
      </c>
      <c r="W217" s="2" t="str">
        <f>IF(A217="","Missing Order ID; ","")&amp;IF(COUNTIF($A$2:$A$301,A217)&gt;1,"Duplicate Order ID; ","")&amp;IF(C217="","Missing Customer ID; ","")&amp;IF(OR(D217="",ISERROR(SEARCH("@",D217)),ISERROR(SEARCH(".",D217))),"Invalid Email; ","")&amp;IF(COUNTIF(Lookups!$A$2:$A$11,E217)=0,"Unknown Product; ","")&amp;IF(F217="","Missing Product Name; ","")&amp;IF(H217="","Missing Region; ","")&amp;IF(K217&lt;=0,"Invalid Quantity; ","")&amp;IF(L217&lt;0,"Invalid Price; ","")&amp;IF(M217&lt;0,"Invalid Cost; ","")&amp;IF(OR(N217&lt;0,N217&gt;0.5),"Invalid Discount; ","")&amp;IF(COUNTIF(Lookups!$K$2:$K$4,P217)=0,"Invalid Status; ","")</f>
        <v/>
      </c>
      <c r="X217" s="15" t="str">
        <f t="shared" si="38"/>
        <v>2025-11</v>
      </c>
      <c r="Y217" t="str">
        <f t="shared" si="39"/>
        <v>Q4</v>
      </c>
      <c r="Z217" t="str">
        <f>IF(R217&gt;=Settings!$B$9,"High Value Customer",IF(R217&gt;=Settings!$B$10,"Medium Value Customer","Standard Customer"))</f>
        <v>Standard Customer</v>
      </c>
      <c r="AA217" t="str">
        <f>IF(R217&gt;=Settings!$B$9,"Large Order",IF(R217&gt;=Settings!$B$10,"Medium Order","Small Order"))</f>
        <v>Small Order</v>
      </c>
      <c r="AB217" t="str">
        <f>IF(N217=0,"No Discount",IF(N217&lt;=0.1,"Low Discount",IF(N217&lt;=Settings!$B$8,"Medium Discount","High Discount")))</f>
        <v>Low Discount</v>
      </c>
      <c r="AC217" t="str">
        <f t="shared" si="40"/>
        <v>Profitable</v>
      </c>
      <c r="AD217" t="str">
        <f>IFERROR(VLOOKUP(E217,Lookups!$A$2:$E$11,2,FALSE),"Product Not Found")</f>
        <v>Laptop Stand</v>
      </c>
      <c r="AE217" t="str">
        <f>IFERROR(VLOOKUP(E217,Lookups!$A$2:$E$11,3,FALSE),"Category Not Found")</f>
        <v>Accessories</v>
      </c>
      <c r="AF217" t="str">
        <f>IFERROR(IF(L217=VLOOKUP(E217,Lookups!$A$2:$E$11,4,FALSE),"Price OK","Price Mismatch"),"Product Missing")</f>
        <v>Price OK</v>
      </c>
      <c r="AG217" t="str">
        <f t="shared" si="41"/>
        <v>Valid Email</v>
      </c>
      <c r="AH217" t="str">
        <f t="shared" si="42"/>
        <v>READY FOR REPORTING</v>
      </c>
      <c r="AI217" t="str">
        <f>IF(AND(LEFT(A217,LEN(Settings!$B$13))=Settings!$B$13,LEN(A217)=9),"Valid Format","Invalid Format")</f>
        <v>Valid Format</v>
      </c>
      <c r="AJ217" t="str">
        <f>IF(LEFT(C217,LEN(Settings!$B$14))=Settings!$B$14,"Valid Format","Invalid Format")</f>
        <v>Valid Format</v>
      </c>
      <c r="AK217" t="str">
        <f>IF(COUNTIF(Master_Data!$G$5:$G$14,C217)=1,"Known Customer","Customer Not in Master")</f>
        <v>Customer Not in Master</v>
      </c>
      <c r="AL217" t="str">
        <f>IF(U217&gt;=Settings!$B$11,"Target Met","Below Target")</f>
        <v>Target Met</v>
      </c>
      <c r="AM217" t="str">
        <f>IF(YEAR(B217)=Settings!$B$5,"Correct Year","Wrong Year")</f>
        <v>Correct Year</v>
      </c>
      <c r="AN217">
        <f t="shared" si="43"/>
        <v>4</v>
      </c>
    </row>
    <row r="218" spans="1:40">
      <c r="A218" t="str">
        <f>Raw_Data!A218</f>
        <v>ORD-10217</v>
      </c>
      <c r="B218" s="13">
        <f>Raw_Data!B218</f>
        <v>45926</v>
      </c>
      <c r="C218" t="str">
        <f>Raw_Data!C218</f>
        <v>C1100</v>
      </c>
      <c r="D218" t="str">
        <f>Raw_Data!D218</f>
        <v>client98@example.com</v>
      </c>
      <c r="E218" t="str">
        <f>Raw_Data!E218</f>
        <v>P1003</v>
      </c>
      <c r="F218" t="str">
        <f>Raw_Data!F218</f>
        <v>Mechanical Keyboard</v>
      </c>
      <c r="G218" t="str">
        <f>Raw_Data!G218</f>
        <v>Accessories</v>
      </c>
      <c r="H218" t="str">
        <f>Raw_Data!H218</f>
        <v>North</v>
      </c>
      <c r="I218" t="str">
        <f>Raw_Data!I218</f>
        <v>Marketplace</v>
      </c>
      <c r="J218" t="str">
        <f>Raw_Data!J218</f>
        <v>Maria Ionescu</v>
      </c>
      <c r="K218">
        <f>Raw_Data!K218</f>
        <v>11</v>
      </c>
      <c r="L218" s="12">
        <f>Raw_Data!L218</f>
        <v>265</v>
      </c>
      <c r="M218" s="12">
        <f>Raw_Data!M218</f>
        <v>155</v>
      </c>
      <c r="N218" s="14">
        <f>Raw_Data!N218</f>
        <v>0.2</v>
      </c>
      <c r="O218" t="str">
        <f>Raw_Data!O218</f>
        <v>Card</v>
      </c>
      <c r="P218" t="str">
        <f>Raw_Data!P218</f>
        <v>Returned</v>
      </c>
      <c r="Q218" s="12">
        <f t="shared" si="33"/>
        <v>2915</v>
      </c>
      <c r="R218" s="12">
        <f t="shared" si="34"/>
        <v>2332</v>
      </c>
      <c r="S218" s="12">
        <f t="shared" si="35"/>
        <v>1705</v>
      </c>
      <c r="T218" s="12">
        <f t="shared" si="36"/>
        <v>627</v>
      </c>
      <c r="U218" s="11">
        <f t="shared" si="37"/>
        <v>0.26886792452830188</v>
      </c>
      <c r="V218" t="str">
        <f>IF(OR(A218="",COUNTIF($A$2:$A$301,A218)&gt;1,C218="",D218="",ISERROR(SEARCH("@",D218)),ISERROR(SEARCH(".",D218)),COUNTIF(Lookups!$A$2:$A$11,E218)=0,F218="",H218="",K218&lt;=0,L218&lt;0,M218&lt;0,N218&lt;0,N218&gt;0.5,COUNTIF(Lookups!$K$2:$K$4,P218)=0),"ERROR","VALID")</f>
        <v>VALID</v>
      </c>
      <c r="W218" s="2" t="str">
        <f>IF(A218="","Missing Order ID; ","")&amp;IF(COUNTIF($A$2:$A$301,A218)&gt;1,"Duplicate Order ID; ","")&amp;IF(C218="","Missing Customer ID; ","")&amp;IF(OR(D218="",ISERROR(SEARCH("@",D218)),ISERROR(SEARCH(".",D218))),"Invalid Email; ","")&amp;IF(COUNTIF(Lookups!$A$2:$A$11,E218)=0,"Unknown Product; ","")&amp;IF(F218="","Missing Product Name; ","")&amp;IF(H218="","Missing Region; ","")&amp;IF(K218&lt;=0,"Invalid Quantity; ","")&amp;IF(L218&lt;0,"Invalid Price; ","")&amp;IF(M218&lt;0,"Invalid Cost; ","")&amp;IF(OR(N218&lt;0,N218&gt;0.5),"Invalid Discount; ","")&amp;IF(COUNTIF(Lookups!$K$2:$K$4,P218)=0,"Invalid Status; ","")</f>
        <v/>
      </c>
      <c r="X218" s="15" t="str">
        <f t="shared" si="38"/>
        <v>2025-09</v>
      </c>
      <c r="Y218" t="str">
        <f t="shared" si="39"/>
        <v>Q3</v>
      </c>
      <c r="Z218" t="str">
        <f>IF(R218&gt;=Settings!$B$9,"High Value Customer",IF(R218&gt;=Settings!$B$10,"Medium Value Customer","Standard Customer"))</f>
        <v>Medium Value Customer</v>
      </c>
      <c r="AA218" t="str">
        <f>IF(R218&gt;=Settings!$B$9,"Large Order",IF(R218&gt;=Settings!$B$10,"Medium Order","Small Order"))</f>
        <v>Medium Order</v>
      </c>
      <c r="AB218" t="str">
        <f>IF(N218=0,"No Discount",IF(N218&lt;=0.1,"Low Discount",IF(N218&lt;=Settings!$B$8,"Medium Discount","High Discount")))</f>
        <v>Medium Discount</v>
      </c>
      <c r="AC218" t="str">
        <f t="shared" si="40"/>
        <v>Profitable</v>
      </c>
      <c r="AD218" t="str">
        <f>IFERROR(VLOOKUP(E218,Lookups!$A$2:$E$11,2,FALSE),"Product Not Found")</f>
        <v>Mechanical Keyboard</v>
      </c>
      <c r="AE218" t="str">
        <f>IFERROR(VLOOKUP(E218,Lookups!$A$2:$E$11,3,FALSE),"Category Not Found")</f>
        <v>Accessories</v>
      </c>
      <c r="AF218" t="str">
        <f>IFERROR(IF(L218=VLOOKUP(E218,Lookups!$A$2:$E$11,4,FALSE),"Price OK","Price Mismatch"),"Product Missing")</f>
        <v>Price OK</v>
      </c>
      <c r="AG218" t="str">
        <f t="shared" si="41"/>
        <v>Valid Email</v>
      </c>
      <c r="AH218" t="str">
        <f t="shared" si="42"/>
        <v>READY FOR REPORTING</v>
      </c>
      <c r="AI218" t="str">
        <f>IF(AND(LEFT(A218,LEN(Settings!$B$13))=Settings!$B$13,LEN(A218)=9),"Valid Format","Invalid Format")</f>
        <v>Valid Format</v>
      </c>
      <c r="AJ218" t="str">
        <f>IF(LEFT(C218,LEN(Settings!$B$14))=Settings!$B$14,"Valid Format","Invalid Format")</f>
        <v>Valid Format</v>
      </c>
      <c r="AK218" t="str">
        <f>IF(COUNTIF(Master_Data!$G$5:$G$14,C218)=1,"Known Customer","Customer Not in Master")</f>
        <v>Customer Not in Master</v>
      </c>
      <c r="AL218" t="str">
        <f>IF(U218&gt;=Settings!$B$11,"Target Met","Below Target")</f>
        <v>Target Met</v>
      </c>
      <c r="AM218" t="str">
        <f>IF(YEAR(B218)=Settings!$B$5,"Correct Year","Wrong Year")</f>
        <v>Correct Year</v>
      </c>
      <c r="AN218">
        <f t="shared" si="43"/>
        <v>4</v>
      </c>
    </row>
    <row r="219" spans="1:40">
      <c r="A219" t="str">
        <f>Raw_Data!A219</f>
        <v>ORD-10218</v>
      </c>
      <c r="B219" s="13">
        <f>Raw_Data!B219</f>
        <v>46016</v>
      </c>
      <c r="C219" t="str">
        <f>Raw_Data!C219</f>
        <v>C1057</v>
      </c>
      <c r="D219" t="str">
        <f>Raw_Data!D219</f>
        <v>client81@example.com</v>
      </c>
      <c r="E219" t="str">
        <f>Raw_Data!E219</f>
        <v>P1010</v>
      </c>
      <c r="F219" t="str">
        <f>Raw_Data!F219</f>
        <v>Headset</v>
      </c>
      <c r="G219" t="str">
        <f>Raw_Data!G219</f>
        <v>Electronics</v>
      </c>
      <c r="H219" t="str">
        <f>Raw_Data!H219</f>
        <v>East</v>
      </c>
      <c r="I219" t="str">
        <f>Raw_Data!I219</f>
        <v>Online</v>
      </c>
      <c r="J219" t="str">
        <f>Raw_Data!J219</f>
        <v>Mihai Radu</v>
      </c>
      <c r="K219">
        <f>Raw_Data!K219</f>
        <v>2</v>
      </c>
      <c r="L219" s="12">
        <f>Raw_Data!L219</f>
        <v>195</v>
      </c>
      <c r="M219" s="12">
        <f>Raw_Data!M219</f>
        <v>105</v>
      </c>
      <c r="N219" s="14">
        <f>Raw_Data!N219</f>
        <v>0</v>
      </c>
      <c r="O219" t="str">
        <f>Raw_Data!O219</f>
        <v>Bank Transfer</v>
      </c>
      <c r="P219" t="str">
        <f>Raw_Data!P219</f>
        <v>Completed</v>
      </c>
      <c r="Q219" s="12">
        <f t="shared" si="33"/>
        <v>390</v>
      </c>
      <c r="R219" s="12">
        <f t="shared" si="34"/>
        <v>390</v>
      </c>
      <c r="S219" s="12">
        <f t="shared" si="35"/>
        <v>210</v>
      </c>
      <c r="T219" s="12">
        <f t="shared" si="36"/>
        <v>180</v>
      </c>
      <c r="U219" s="11">
        <f t="shared" si="37"/>
        <v>0.46153846153846156</v>
      </c>
      <c r="V219" t="str">
        <f>IF(OR(A219="",COUNTIF($A$2:$A$301,A219)&gt;1,C219="",D219="",ISERROR(SEARCH("@",D219)),ISERROR(SEARCH(".",D219)),COUNTIF(Lookups!$A$2:$A$11,E219)=0,F219="",H219="",K219&lt;=0,L219&lt;0,M219&lt;0,N219&lt;0,N219&gt;0.5,COUNTIF(Lookups!$K$2:$K$4,P219)=0),"ERROR","VALID")</f>
        <v>VALID</v>
      </c>
      <c r="W219" s="2" t="str">
        <f>IF(A219="","Missing Order ID; ","")&amp;IF(COUNTIF($A$2:$A$301,A219)&gt;1,"Duplicate Order ID; ","")&amp;IF(C219="","Missing Customer ID; ","")&amp;IF(OR(D219="",ISERROR(SEARCH("@",D219)),ISERROR(SEARCH(".",D219))),"Invalid Email; ","")&amp;IF(COUNTIF(Lookups!$A$2:$A$11,E219)=0,"Unknown Product; ","")&amp;IF(F219="","Missing Product Name; ","")&amp;IF(H219="","Missing Region; ","")&amp;IF(K219&lt;=0,"Invalid Quantity; ","")&amp;IF(L219&lt;0,"Invalid Price; ","")&amp;IF(M219&lt;0,"Invalid Cost; ","")&amp;IF(OR(N219&lt;0,N219&gt;0.5),"Invalid Discount; ","")&amp;IF(COUNTIF(Lookups!$K$2:$K$4,P219)=0,"Invalid Status; ","")</f>
        <v/>
      </c>
      <c r="X219" s="15" t="str">
        <f t="shared" si="38"/>
        <v>2025-12</v>
      </c>
      <c r="Y219" t="str">
        <f t="shared" si="39"/>
        <v>Q4</v>
      </c>
      <c r="Z219" t="str">
        <f>IF(R219&gt;=Settings!$B$9,"High Value Customer",IF(R219&gt;=Settings!$B$10,"Medium Value Customer","Standard Customer"))</f>
        <v>Standard Customer</v>
      </c>
      <c r="AA219" t="str">
        <f>IF(R219&gt;=Settings!$B$9,"Large Order",IF(R219&gt;=Settings!$B$10,"Medium Order","Small Order"))</f>
        <v>Small Order</v>
      </c>
      <c r="AB219" t="str">
        <f>IF(N219=0,"No Discount",IF(N219&lt;=0.1,"Low Discount",IF(N219&lt;=Settings!$B$8,"Medium Discount","High Discount")))</f>
        <v>No Discount</v>
      </c>
      <c r="AC219" t="str">
        <f t="shared" si="40"/>
        <v>Profitable</v>
      </c>
      <c r="AD219" t="str">
        <f>IFERROR(VLOOKUP(E219,Lookups!$A$2:$E$11,2,FALSE),"Product Not Found")</f>
        <v>Headset</v>
      </c>
      <c r="AE219" t="str">
        <f>IFERROR(VLOOKUP(E219,Lookups!$A$2:$E$11,3,FALSE),"Category Not Found")</f>
        <v>Electronics</v>
      </c>
      <c r="AF219" t="str">
        <f>IFERROR(IF(L219=VLOOKUP(E219,Lookups!$A$2:$E$11,4,FALSE),"Price OK","Price Mismatch"),"Product Missing")</f>
        <v>Price OK</v>
      </c>
      <c r="AG219" t="str">
        <f t="shared" si="41"/>
        <v>Valid Email</v>
      </c>
      <c r="AH219" t="str">
        <f t="shared" si="42"/>
        <v>READY FOR REPORTING</v>
      </c>
      <c r="AI219" t="str">
        <f>IF(AND(LEFT(A219,LEN(Settings!$B$13))=Settings!$B$13,LEN(A219)=9),"Valid Format","Invalid Format")</f>
        <v>Valid Format</v>
      </c>
      <c r="AJ219" t="str">
        <f>IF(LEFT(C219,LEN(Settings!$B$14))=Settings!$B$14,"Valid Format","Invalid Format")</f>
        <v>Valid Format</v>
      </c>
      <c r="AK219" t="str">
        <f>IF(COUNTIF(Master_Data!$G$5:$G$14,C219)=1,"Known Customer","Customer Not in Master")</f>
        <v>Customer Not in Master</v>
      </c>
      <c r="AL219" t="str">
        <f>IF(U219&gt;=Settings!$B$11,"Target Met","Below Target")</f>
        <v>Target Met</v>
      </c>
      <c r="AM219" t="str">
        <f>IF(YEAR(B219)=Settings!$B$5,"Correct Year","Wrong Year")</f>
        <v>Correct Year</v>
      </c>
      <c r="AN219">
        <f t="shared" si="43"/>
        <v>4</v>
      </c>
    </row>
    <row r="220" spans="1:40">
      <c r="A220" t="str">
        <f>Raw_Data!A220</f>
        <v>ORD-10219</v>
      </c>
      <c r="B220" s="13">
        <f>Raw_Data!B220</f>
        <v>45914</v>
      </c>
      <c r="C220" t="str">
        <f>Raw_Data!C220</f>
        <v>C1094</v>
      </c>
      <c r="D220" t="str">
        <f>Raw_Data!D220</f>
        <v>client16@example.com</v>
      </c>
      <c r="E220" t="str">
        <f>Raw_Data!E220</f>
        <v>P1007</v>
      </c>
      <c r="F220" t="str">
        <f>Raw_Data!F220</f>
        <v>Office Chair</v>
      </c>
      <c r="G220" t="str">
        <f>Raw_Data!G220</f>
        <v>Furniture</v>
      </c>
      <c r="H220" t="str">
        <f>Raw_Data!H220</f>
        <v>North</v>
      </c>
      <c r="I220" t="str">
        <f>Raw_Data!I220</f>
        <v>Marketplace</v>
      </c>
      <c r="J220" t="str">
        <f>Raw_Data!J220</f>
        <v>Maria Ionescu</v>
      </c>
      <c r="K220">
        <f>Raw_Data!K220</f>
        <v>10</v>
      </c>
      <c r="L220" s="12">
        <f>Raw_Data!L220</f>
        <v>840</v>
      </c>
      <c r="M220" s="12">
        <f>Raw_Data!M220</f>
        <v>590</v>
      </c>
      <c r="N220" s="14">
        <f>Raw_Data!N220</f>
        <v>0.1</v>
      </c>
      <c r="O220" t="str">
        <f>Raw_Data!O220</f>
        <v>Cash</v>
      </c>
      <c r="P220" t="str">
        <f>Raw_Data!P220</f>
        <v>Cancelled</v>
      </c>
      <c r="Q220" s="12">
        <f t="shared" si="33"/>
        <v>8400</v>
      </c>
      <c r="R220" s="12">
        <f t="shared" si="34"/>
        <v>7560</v>
      </c>
      <c r="S220" s="12">
        <f t="shared" si="35"/>
        <v>5900</v>
      </c>
      <c r="T220" s="12">
        <f t="shared" si="36"/>
        <v>1660</v>
      </c>
      <c r="U220" s="11">
        <f t="shared" si="37"/>
        <v>0.21957671957671956</v>
      </c>
      <c r="V220" t="str">
        <f>IF(OR(A220="",COUNTIF($A$2:$A$301,A220)&gt;1,C220="",D220="",ISERROR(SEARCH("@",D220)),ISERROR(SEARCH(".",D220)),COUNTIF(Lookups!$A$2:$A$11,E220)=0,F220="",H220="",K220&lt;=0,L220&lt;0,M220&lt;0,N220&lt;0,N220&gt;0.5,COUNTIF(Lookups!$K$2:$K$4,P220)=0),"ERROR","VALID")</f>
        <v>VALID</v>
      </c>
      <c r="W220" s="2" t="str">
        <f>IF(A220="","Missing Order ID; ","")&amp;IF(COUNTIF($A$2:$A$301,A220)&gt;1,"Duplicate Order ID; ","")&amp;IF(C220="","Missing Customer ID; ","")&amp;IF(OR(D220="",ISERROR(SEARCH("@",D220)),ISERROR(SEARCH(".",D220))),"Invalid Email; ","")&amp;IF(COUNTIF(Lookups!$A$2:$A$11,E220)=0,"Unknown Product; ","")&amp;IF(F220="","Missing Product Name; ","")&amp;IF(H220="","Missing Region; ","")&amp;IF(K220&lt;=0,"Invalid Quantity; ","")&amp;IF(L220&lt;0,"Invalid Price; ","")&amp;IF(M220&lt;0,"Invalid Cost; ","")&amp;IF(OR(N220&lt;0,N220&gt;0.5),"Invalid Discount; ","")&amp;IF(COUNTIF(Lookups!$K$2:$K$4,P220)=0,"Invalid Status; ","")</f>
        <v/>
      </c>
      <c r="X220" s="15" t="str">
        <f t="shared" si="38"/>
        <v>2025-09</v>
      </c>
      <c r="Y220" t="str">
        <f t="shared" si="39"/>
        <v>Q3</v>
      </c>
      <c r="Z220" t="str">
        <f>IF(R220&gt;=Settings!$B$9,"High Value Customer",IF(R220&gt;=Settings!$B$10,"Medium Value Customer","Standard Customer"))</f>
        <v>High Value Customer</v>
      </c>
      <c r="AA220" t="str">
        <f>IF(R220&gt;=Settings!$B$9,"Large Order",IF(R220&gt;=Settings!$B$10,"Medium Order","Small Order"))</f>
        <v>Large Order</v>
      </c>
      <c r="AB220" t="str">
        <f>IF(N220=0,"No Discount",IF(N220&lt;=0.1,"Low Discount",IF(N220&lt;=Settings!$B$8,"Medium Discount","High Discount")))</f>
        <v>Low Discount</v>
      </c>
      <c r="AC220" t="str">
        <f t="shared" si="40"/>
        <v>Profitable</v>
      </c>
      <c r="AD220" t="str">
        <f>IFERROR(VLOOKUP(E220,Lookups!$A$2:$E$11,2,FALSE),"Product Not Found")</f>
        <v>Office Chair</v>
      </c>
      <c r="AE220" t="str">
        <f>IFERROR(VLOOKUP(E220,Lookups!$A$2:$E$11,3,FALSE),"Category Not Found")</f>
        <v>Furniture</v>
      </c>
      <c r="AF220" t="str">
        <f>IFERROR(IF(L220=VLOOKUP(E220,Lookups!$A$2:$E$11,4,FALSE),"Price OK","Price Mismatch"),"Product Missing")</f>
        <v>Price OK</v>
      </c>
      <c r="AG220" t="str">
        <f t="shared" si="41"/>
        <v>Valid Email</v>
      </c>
      <c r="AH220" t="str">
        <f t="shared" si="42"/>
        <v>READY FOR REPORTING</v>
      </c>
      <c r="AI220" t="str">
        <f>IF(AND(LEFT(A220,LEN(Settings!$B$13))=Settings!$B$13,LEN(A220)=9),"Valid Format","Invalid Format")</f>
        <v>Valid Format</v>
      </c>
      <c r="AJ220" t="str">
        <f>IF(LEFT(C220,LEN(Settings!$B$14))=Settings!$B$14,"Valid Format","Invalid Format")</f>
        <v>Valid Format</v>
      </c>
      <c r="AK220" t="str">
        <f>IF(COUNTIF(Master_Data!$G$5:$G$14,C220)=1,"Known Customer","Customer Not in Master")</f>
        <v>Customer Not in Master</v>
      </c>
      <c r="AL220" t="str">
        <f>IF(U220&gt;=Settings!$B$11,"Target Met","Below Target")</f>
        <v>Below Target</v>
      </c>
      <c r="AM220" t="str">
        <f>IF(YEAR(B220)=Settings!$B$5,"Correct Year","Wrong Year")</f>
        <v>Correct Year</v>
      </c>
      <c r="AN220">
        <f t="shared" si="43"/>
        <v>3</v>
      </c>
    </row>
    <row r="221" spans="1:40">
      <c r="A221" t="str">
        <f>Raw_Data!A221</f>
        <v>ORD-10220</v>
      </c>
      <c r="B221" s="13">
        <f>Raw_Data!B221</f>
        <v>45927</v>
      </c>
      <c r="C221" t="str">
        <f>Raw_Data!C221</f>
        <v>C1059</v>
      </c>
      <c r="D221" t="str">
        <f>Raw_Data!D221</f>
        <v>client137@example.com</v>
      </c>
      <c r="E221" t="str">
        <f>Raw_Data!E221</f>
        <v>P1008</v>
      </c>
      <c r="F221" t="str">
        <f>Raw_Data!F221</f>
        <v>Standing Desk</v>
      </c>
      <c r="G221" t="str">
        <f>Raw_Data!G221</f>
        <v>Furniture</v>
      </c>
      <c r="H221" t="str">
        <f>Raw_Data!H221</f>
        <v>South</v>
      </c>
      <c r="I221" t="str">
        <f>Raw_Data!I221</f>
        <v>Marketplace</v>
      </c>
      <c r="J221" t="str">
        <f>Raw_Data!J221</f>
        <v>Elena Stan</v>
      </c>
      <c r="K221">
        <f>Raw_Data!K221</f>
        <v>7</v>
      </c>
      <c r="L221" s="12">
        <f>Raw_Data!L221</f>
        <v>1450</v>
      </c>
      <c r="M221" s="12">
        <f>Raw_Data!M221</f>
        <v>1030</v>
      </c>
      <c r="N221" s="14">
        <f>Raw_Data!N221</f>
        <v>0.05</v>
      </c>
      <c r="O221" t="str">
        <f>Raw_Data!O221</f>
        <v>Cash</v>
      </c>
      <c r="P221" t="str">
        <f>Raw_Data!P221</f>
        <v>Completed</v>
      </c>
      <c r="Q221" s="12">
        <f t="shared" si="33"/>
        <v>10150</v>
      </c>
      <c r="R221" s="12">
        <f t="shared" si="34"/>
        <v>9642.5</v>
      </c>
      <c r="S221" s="12">
        <f t="shared" si="35"/>
        <v>7210</v>
      </c>
      <c r="T221" s="12">
        <f t="shared" si="36"/>
        <v>2432.5</v>
      </c>
      <c r="U221" s="11">
        <f t="shared" si="37"/>
        <v>0.25226860254083483</v>
      </c>
      <c r="V221" t="str">
        <f>IF(OR(A221="",COUNTIF($A$2:$A$301,A221)&gt;1,C221="",D221="",ISERROR(SEARCH("@",D221)),ISERROR(SEARCH(".",D221)),COUNTIF(Lookups!$A$2:$A$11,E221)=0,F221="",H221="",K221&lt;=0,L221&lt;0,M221&lt;0,N221&lt;0,N221&gt;0.5,COUNTIF(Lookups!$K$2:$K$4,P221)=0),"ERROR","VALID")</f>
        <v>VALID</v>
      </c>
      <c r="W221" s="2" t="str">
        <f>IF(A221="","Missing Order ID; ","")&amp;IF(COUNTIF($A$2:$A$301,A221)&gt;1,"Duplicate Order ID; ","")&amp;IF(C221="","Missing Customer ID; ","")&amp;IF(OR(D221="",ISERROR(SEARCH("@",D221)),ISERROR(SEARCH(".",D221))),"Invalid Email; ","")&amp;IF(COUNTIF(Lookups!$A$2:$A$11,E221)=0,"Unknown Product; ","")&amp;IF(F221="","Missing Product Name; ","")&amp;IF(H221="","Missing Region; ","")&amp;IF(K221&lt;=0,"Invalid Quantity; ","")&amp;IF(L221&lt;0,"Invalid Price; ","")&amp;IF(M221&lt;0,"Invalid Cost; ","")&amp;IF(OR(N221&lt;0,N221&gt;0.5),"Invalid Discount; ","")&amp;IF(COUNTIF(Lookups!$K$2:$K$4,P221)=0,"Invalid Status; ","")</f>
        <v/>
      </c>
      <c r="X221" s="15" t="str">
        <f t="shared" si="38"/>
        <v>2025-09</v>
      </c>
      <c r="Y221" t="str">
        <f t="shared" si="39"/>
        <v>Q3</v>
      </c>
      <c r="Z221" t="str">
        <f>IF(R221&gt;=Settings!$B$9,"High Value Customer",IF(R221&gt;=Settings!$B$10,"Medium Value Customer","Standard Customer"))</f>
        <v>High Value Customer</v>
      </c>
      <c r="AA221" t="str">
        <f>IF(R221&gt;=Settings!$B$9,"Large Order",IF(R221&gt;=Settings!$B$10,"Medium Order","Small Order"))</f>
        <v>Large Order</v>
      </c>
      <c r="AB221" t="str">
        <f>IF(N221=0,"No Discount",IF(N221&lt;=0.1,"Low Discount",IF(N221&lt;=Settings!$B$8,"Medium Discount","High Discount")))</f>
        <v>Low Discount</v>
      </c>
      <c r="AC221" t="str">
        <f t="shared" si="40"/>
        <v>Profitable</v>
      </c>
      <c r="AD221" t="str">
        <f>IFERROR(VLOOKUP(E221,Lookups!$A$2:$E$11,2,FALSE),"Product Not Found")</f>
        <v>Standing Desk</v>
      </c>
      <c r="AE221" t="str">
        <f>IFERROR(VLOOKUP(E221,Lookups!$A$2:$E$11,3,FALSE),"Category Not Found")</f>
        <v>Furniture</v>
      </c>
      <c r="AF221" t="str">
        <f>IFERROR(IF(L221=VLOOKUP(E221,Lookups!$A$2:$E$11,4,FALSE),"Price OK","Price Mismatch"),"Product Missing")</f>
        <v>Price OK</v>
      </c>
      <c r="AG221" t="str">
        <f t="shared" si="41"/>
        <v>Valid Email</v>
      </c>
      <c r="AH221" t="str">
        <f t="shared" si="42"/>
        <v>READY FOR REPORTING</v>
      </c>
      <c r="AI221" t="str">
        <f>IF(AND(LEFT(A221,LEN(Settings!$B$13))=Settings!$B$13,LEN(A221)=9),"Valid Format","Invalid Format")</f>
        <v>Valid Format</v>
      </c>
      <c r="AJ221" t="str">
        <f>IF(LEFT(C221,LEN(Settings!$B$14))=Settings!$B$14,"Valid Format","Invalid Format")</f>
        <v>Valid Format</v>
      </c>
      <c r="AK221" t="str">
        <f>IF(COUNTIF(Master_Data!$G$5:$G$14,C221)=1,"Known Customer","Customer Not in Master")</f>
        <v>Customer Not in Master</v>
      </c>
      <c r="AL221" t="str">
        <f>IF(U221&gt;=Settings!$B$11,"Target Met","Below Target")</f>
        <v>Target Met</v>
      </c>
      <c r="AM221" t="str">
        <f>IF(YEAR(B221)=Settings!$B$5,"Correct Year","Wrong Year")</f>
        <v>Correct Year</v>
      </c>
      <c r="AN221">
        <f t="shared" si="43"/>
        <v>4</v>
      </c>
    </row>
    <row r="222" spans="1:40">
      <c r="A222" t="str">
        <f>Raw_Data!A222</f>
        <v>ORD-10221</v>
      </c>
      <c r="B222" s="13">
        <f>Raw_Data!B222</f>
        <v>45905</v>
      </c>
      <c r="C222" t="str">
        <f>Raw_Data!C222</f>
        <v>C1072</v>
      </c>
      <c r="D222" t="str">
        <f>Raw_Data!D222</f>
        <v>client77@example.com</v>
      </c>
      <c r="E222" t="str">
        <f>Raw_Data!E222</f>
        <v>P1010</v>
      </c>
      <c r="F222" t="str">
        <f>Raw_Data!F222</f>
        <v>Headset</v>
      </c>
      <c r="G222" t="str">
        <f>Raw_Data!G222</f>
        <v>Electronics</v>
      </c>
      <c r="H222" t="str">
        <f>Raw_Data!H222</f>
        <v>North</v>
      </c>
      <c r="I222" t="str">
        <f>Raw_Data!I222</f>
        <v>Store</v>
      </c>
      <c r="J222" t="str">
        <f>Raw_Data!J222</f>
        <v>Elena Stan</v>
      </c>
      <c r="K222">
        <f>Raw_Data!K222</f>
        <v>4</v>
      </c>
      <c r="L222" s="12">
        <f>Raw_Data!L222</f>
        <v>195</v>
      </c>
      <c r="M222" s="12">
        <f>Raw_Data!M222</f>
        <v>105</v>
      </c>
      <c r="N222" s="14">
        <f>Raw_Data!N222</f>
        <v>0</v>
      </c>
      <c r="O222" t="str">
        <f>Raw_Data!O222</f>
        <v>Bank Transfer</v>
      </c>
      <c r="P222" t="str">
        <f>Raw_Data!P222</f>
        <v>Completed</v>
      </c>
      <c r="Q222" s="12">
        <f t="shared" si="33"/>
        <v>780</v>
      </c>
      <c r="R222" s="12">
        <f t="shared" si="34"/>
        <v>780</v>
      </c>
      <c r="S222" s="12">
        <f t="shared" si="35"/>
        <v>420</v>
      </c>
      <c r="T222" s="12">
        <f t="shared" si="36"/>
        <v>360</v>
      </c>
      <c r="U222" s="11">
        <f t="shared" si="37"/>
        <v>0.46153846153846156</v>
      </c>
      <c r="V222" t="str">
        <f>IF(OR(A222="",COUNTIF($A$2:$A$301,A222)&gt;1,C222="",D222="",ISERROR(SEARCH("@",D222)),ISERROR(SEARCH(".",D222)),COUNTIF(Lookups!$A$2:$A$11,E222)=0,F222="",H222="",K222&lt;=0,L222&lt;0,M222&lt;0,N222&lt;0,N222&gt;0.5,COUNTIF(Lookups!$K$2:$K$4,P222)=0),"ERROR","VALID")</f>
        <v>VALID</v>
      </c>
      <c r="W222" s="2" t="str">
        <f>IF(A222="","Missing Order ID; ","")&amp;IF(COUNTIF($A$2:$A$301,A222)&gt;1,"Duplicate Order ID; ","")&amp;IF(C222="","Missing Customer ID; ","")&amp;IF(OR(D222="",ISERROR(SEARCH("@",D222)),ISERROR(SEARCH(".",D222))),"Invalid Email; ","")&amp;IF(COUNTIF(Lookups!$A$2:$A$11,E222)=0,"Unknown Product; ","")&amp;IF(F222="","Missing Product Name; ","")&amp;IF(H222="","Missing Region; ","")&amp;IF(K222&lt;=0,"Invalid Quantity; ","")&amp;IF(L222&lt;0,"Invalid Price; ","")&amp;IF(M222&lt;0,"Invalid Cost; ","")&amp;IF(OR(N222&lt;0,N222&gt;0.5),"Invalid Discount; ","")&amp;IF(COUNTIF(Lookups!$K$2:$K$4,P222)=0,"Invalid Status; ","")</f>
        <v/>
      </c>
      <c r="X222" s="15" t="str">
        <f t="shared" si="38"/>
        <v>2025-09</v>
      </c>
      <c r="Y222" t="str">
        <f t="shared" si="39"/>
        <v>Q3</v>
      </c>
      <c r="Z222" t="str">
        <f>IF(R222&gt;=Settings!$B$9,"High Value Customer",IF(R222&gt;=Settings!$B$10,"Medium Value Customer","Standard Customer"))</f>
        <v>Standard Customer</v>
      </c>
      <c r="AA222" t="str">
        <f>IF(R222&gt;=Settings!$B$9,"Large Order",IF(R222&gt;=Settings!$B$10,"Medium Order","Small Order"))</f>
        <v>Small Order</v>
      </c>
      <c r="AB222" t="str">
        <f>IF(N222=0,"No Discount",IF(N222&lt;=0.1,"Low Discount",IF(N222&lt;=Settings!$B$8,"Medium Discount","High Discount")))</f>
        <v>No Discount</v>
      </c>
      <c r="AC222" t="str">
        <f t="shared" si="40"/>
        <v>Profitable</v>
      </c>
      <c r="AD222" t="str">
        <f>IFERROR(VLOOKUP(E222,Lookups!$A$2:$E$11,2,FALSE),"Product Not Found")</f>
        <v>Headset</v>
      </c>
      <c r="AE222" t="str">
        <f>IFERROR(VLOOKUP(E222,Lookups!$A$2:$E$11,3,FALSE),"Category Not Found")</f>
        <v>Electronics</v>
      </c>
      <c r="AF222" t="str">
        <f>IFERROR(IF(L222=VLOOKUP(E222,Lookups!$A$2:$E$11,4,FALSE),"Price OK","Price Mismatch"),"Product Missing")</f>
        <v>Price OK</v>
      </c>
      <c r="AG222" t="str">
        <f t="shared" si="41"/>
        <v>Valid Email</v>
      </c>
      <c r="AH222" t="str">
        <f t="shared" si="42"/>
        <v>READY FOR REPORTING</v>
      </c>
      <c r="AI222" t="str">
        <f>IF(AND(LEFT(A222,LEN(Settings!$B$13))=Settings!$B$13,LEN(A222)=9),"Valid Format","Invalid Format")</f>
        <v>Valid Format</v>
      </c>
      <c r="AJ222" t="str">
        <f>IF(LEFT(C222,LEN(Settings!$B$14))=Settings!$B$14,"Valid Format","Invalid Format")</f>
        <v>Valid Format</v>
      </c>
      <c r="AK222" t="str">
        <f>IF(COUNTIF(Master_Data!$G$5:$G$14,C222)=1,"Known Customer","Customer Not in Master")</f>
        <v>Customer Not in Master</v>
      </c>
      <c r="AL222" t="str">
        <f>IF(U222&gt;=Settings!$B$11,"Target Met","Below Target")</f>
        <v>Target Met</v>
      </c>
      <c r="AM222" t="str">
        <f>IF(YEAR(B222)=Settings!$B$5,"Correct Year","Wrong Year")</f>
        <v>Correct Year</v>
      </c>
      <c r="AN222">
        <f t="shared" si="43"/>
        <v>4</v>
      </c>
    </row>
    <row r="223" spans="1:40">
      <c r="A223" t="str">
        <f>Raw_Data!A223</f>
        <v>ORD-10222</v>
      </c>
      <c r="B223" s="13">
        <f>Raw_Data!B223</f>
        <v>45820</v>
      </c>
      <c r="C223" t="str">
        <f>Raw_Data!C223</f>
        <v>C1120</v>
      </c>
      <c r="D223" t="str">
        <f>Raw_Data!D223</f>
        <v>client71@example.com</v>
      </c>
      <c r="E223" t="str">
        <f>Raw_Data!E223</f>
        <v>P1008</v>
      </c>
      <c r="F223" t="str">
        <f>Raw_Data!F223</f>
        <v>Standing Desk</v>
      </c>
      <c r="G223" t="str">
        <f>Raw_Data!G223</f>
        <v>Furniture</v>
      </c>
      <c r="H223" t="str">
        <f>Raw_Data!H223</f>
        <v>South</v>
      </c>
      <c r="I223" t="str">
        <f>Raw_Data!I223</f>
        <v>Online</v>
      </c>
      <c r="J223" t="str">
        <f>Raw_Data!J223</f>
        <v>Ioana Pavel</v>
      </c>
      <c r="K223">
        <f>Raw_Data!K223</f>
        <v>8</v>
      </c>
      <c r="L223" s="12">
        <f>Raw_Data!L223</f>
        <v>1450</v>
      </c>
      <c r="M223" s="12">
        <f>Raw_Data!M223</f>
        <v>1030</v>
      </c>
      <c r="N223" s="14">
        <f>Raw_Data!N223</f>
        <v>0.05</v>
      </c>
      <c r="O223" t="str">
        <f>Raw_Data!O223</f>
        <v>Online Wallet</v>
      </c>
      <c r="P223" t="str">
        <f>Raw_Data!P223</f>
        <v>Returned</v>
      </c>
      <c r="Q223" s="12">
        <f t="shared" si="33"/>
        <v>11600</v>
      </c>
      <c r="R223" s="12">
        <f t="shared" si="34"/>
        <v>11020</v>
      </c>
      <c r="S223" s="12">
        <f t="shared" si="35"/>
        <v>8240</v>
      </c>
      <c r="T223" s="12">
        <f t="shared" si="36"/>
        <v>2780</v>
      </c>
      <c r="U223" s="11">
        <f t="shared" si="37"/>
        <v>0.25226860254083483</v>
      </c>
      <c r="V223" t="str">
        <f>IF(OR(A223="",COUNTIF($A$2:$A$301,A223)&gt;1,C223="",D223="",ISERROR(SEARCH("@",D223)),ISERROR(SEARCH(".",D223)),COUNTIF(Lookups!$A$2:$A$11,E223)=0,F223="",H223="",K223&lt;=0,L223&lt;0,M223&lt;0,N223&lt;0,N223&gt;0.5,COUNTIF(Lookups!$K$2:$K$4,P223)=0),"ERROR","VALID")</f>
        <v>VALID</v>
      </c>
      <c r="W223" s="2" t="str">
        <f>IF(A223="","Missing Order ID; ","")&amp;IF(COUNTIF($A$2:$A$301,A223)&gt;1,"Duplicate Order ID; ","")&amp;IF(C223="","Missing Customer ID; ","")&amp;IF(OR(D223="",ISERROR(SEARCH("@",D223)),ISERROR(SEARCH(".",D223))),"Invalid Email; ","")&amp;IF(COUNTIF(Lookups!$A$2:$A$11,E223)=0,"Unknown Product; ","")&amp;IF(F223="","Missing Product Name; ","")&amp;IF(H223="","Missing Region; ","")&amp;IF(K223&lt;=0,"Invalid Quantity; ","")&amp;IF(L223&lt;0,"Invalid Price; ","")&amp;IF(M223&lt;0,"Invalid Cost; ","")&amp;IF(OR(N223&lt;0,N223&gt;0.5),"Invalid Discount; ","")&amp;IF(COUNTIF(Lookups!$K$2:$K$4,P223)=0,"Invalid Status; ","")</f>
        <v/>
      </c>
      <c r="X223" s="15" t="str">
        <f t="shared" si="38"/>
        <v>2025-06</v>
      </c>
      <c r="Y223" t="str">
        <f t="shared" si="39"/>
        <v>Q2</v>
      </c>
      <c r="Z223" t="str">
        <f>IF(R223&gt;=Settings!$B$9,"High Value Customer",IF(R223&gt;=Settings!$B$10,"Medium Value Customer","Standard Customer"))</f>
        <v>High Value Customer</v>
      </c>
      <c r="AA223" t="str">
        <f>IF(R223&gt;=Settings!$B$9,"Large Order",IF(R223&gt;=Settings!$B$10,"Medium Order","Small Order"))</f>
        <v>Large Order</v>
      </c>
      <c r="AB223" t="str">
        <f>IF(N223=0,"No Discount",IF(N223&lt;=0.1,"Low Discount",IF(N223&lt;=Settings!$B$8,"Medium Discount","High Discount")))</f>
        <v>Low Discount</v>
      </c>
      <c r="AC223" t="str">
        <f t="shared" si="40"/>
        <v>Profitable</v>
      </c>
      <c r="AD223" t="str">
        <f>IFERROR(VLOOKUP(E223,Lookups!$A$2:$E$11,2,FALSE),"Product Not Found")</f>
        <v>Standing Desk</v>
      </c>
      <c r="AE223" t="str">
        <f>IFERROR(VLOOKUP(E223,Lookups!$A$2:$E$11,3,FALSE),"Category Not Found")</f>
        <v>Furniture</v>
      </c>
      <c r="AF223" t="str">
        <f>IFERROR(IF(L223=VLOOKUP(E223,Lookups!$A$2:$E$11,4,FALSE),"Price OK","Price Mismatch"),"Product Missing")</f>
        <v>Price OK</v>
      </c>
      <c r="AG223" t="str">
        <f t="shared" si="41"/>
        <v>Valid Email</v>
      </c>
      <c r="AH223" t="str">
        <f t="shared" si="42"/>
        <v>READY FOR REPORTING</v>
      </c>
      <c r="AI223" t="str">
        <f>IF(AND(LEFT(A223,LEN(Settings!$B$13))=Settings!$B$13,LEN(A223)=9),"Valid Format","Invalid Format")</f>
        <v>Valid Format</v>
      </c>
      <c r="AJ223" t="str">
        <f>IF(LEFT(C223,LEN(Settings!$B$14))=Settings!$B$14,"Valid Format","Invalid Format")</f>
        <v>Valid Format</v>
      </c>
      <c r="AK223" t="str">
        <f>IF(COUNTIF(Master_Data!$G$5:$G$14,C223)=1,"Known Customer","Customer Not in Master")</f>
        <v>Customer Not in Master</v>
      </c>
      <c r="AL223" t="str">
        <f>IF(U223&gt;=Settings!$B$11,"Target Met","Below Target")</f>
        <v>Target Met</v>
      </c>
      <c r="AM223" t="str">
        <f>IF(YEAR(B223)=Settings!$B$5,"Correct Year","Wrong Year")</f>
        <v>Correct Year</v>
      </c>
      <c r="AN223">
        <f t="shared" si="43"/>
        <v>4</v>
      </c>
    </row>
    <row r="224" spans="1:40">
      <c r="A224" t="str">
        <f>Raw_Data!A224</f>
        <v>ORD-10223</v>
      </c>
      <c r="B224" s="13">
        <f>Raw_Data!B224</f>
        <v>45834</v>
      </c>
      <c r="C224" t="str">
        <f>Raw_Data!C224</f>
        <v>C1037</v>
      </c>
      <c r="D224" t="str">
        <f>Raw_Data!D224</f>
        <v>client21@example.com</v>
      </c>
      <c r="E224" t="str">
        <f>Raw_Data!E224</f>
        <v>P1007</v>
      </c>
      <c r="F224" t="str">
        <f>Raw_Data!F224</f>
        <v>Office Chair</v>
      </c>
      <c r="G224" t="str">
        <f>Raw_Data!G224</f>
        <v>Furniture</v>
      </c>
      <c r="H224" t="str">
        <f>Raw_Data!H224</f>
        <v>South</v>
      </c>
      <c r="I224" t="str">
        <f>Raw_Data!I224</f>
        <v>Store</v>
      </c>
      <c r="J224" t="str">
        <f>Raw_Data!J224</f>
        <v>Elena Stan</v>
      </c>
      <c r="K224">
        <f>Raw_Data!K224</f>
        <v>3</v>
      </c>
      <c r="L224" s="12">
        <f>Raw_Data!L224</f>
        <v>840</v>
      </c>
      <c r="M224" s="12">
        <f>Raw_Data!M224</f>
        <v>590</v>
      </c>
      <c r="N224" s="14">
        <f>Raw_Data!N224</f>
        <v>0.05</v>
      </c>
      <c r="O224" t="str">
        <f>Raw_Data!O224</f>
        <v>Online Wallet</v>
      </c>
      <c r="P224" t="str">
        <f>Raw_Data!P224</f>
        <v>Completed</v>
      </c>
      <c r="Q224" s="12">
        <f t="shared" si="33"/>
        <v>2520</v>
      </c>
      <c r="R224" s="12">
        <f t="shared" si="34"/>
        <v>2394</v>
      </c>
      <c r="S224" s="12">
        <f t="shared" si="35"/>
        <v>1770</v>
      </c>
      <c r="T224" s="12">
        <f t="shared" si="36"/>
        <v>624</v>
      </c>
      <c r="U224" s="11">
        <f t="shared" si="37"/>
        <v>0.26065162907268169</v>
      </c>
      <c r="V224" t="str">
        <f>IF(OR(A224="",COUNTIF($A$2:$A$301,A224)&gt;1,C224="",D224="",ISERROR(SEARCH("@",D224)),ISERROR(SEARCH(".",D224)),COUNTIF(Lookups!$A$2:$A$11,E224)=0,F224="",H224="",K224&lt;=0,L224&lt;0,M224&lt;0,N224&lt;0,N224&gt;0.5,COUNTIF(Lookups!$K$2:$K$4,P224)=0),"ERROR","VALID")</f>
        <v>VALID</v>
      </c>
      <c r="W224" s="2" t="str">
        <f>IF(A224="","Missing Order ID; ","")&amp;IF(COUNTIF($A$2:$A$301,A224)&gt;1,"Duplicate Order ID; ","")&amp;IF(C224="","Missing Customer ID; ","")&amp;IF(OR(D224="",ISERROR(SEARCH("@",D224)),ISERROR(SEARCH(".",D224))),"Invalid Email; ","")&amp;IF(COUNTIF(Lookups!$A$2:$A$11,E224)=0,"Unknown Product; ","")&amp;IF(F224="","Missing Product Name; ","")&amp;IF(H224="","Missing Region; ","")&amp;IF(K224&lt;=0,"Invalid Quantity; ","")&amp;IF(L224&lt;0,"Invalid Price; ","")&amp;IF(M224&lt;0,"Invalid Cost; ","")&amp;IF(OR(N224&lt;0,N224&gt;0.5),"Invalid Discount; ","")&amp;IF(COUNTIF(Lookups!$K$2:$K$4,P224)=0,"Invalid Status; ","")</f>
        <v/>
      </c>
      <c r="X224" s="15" t="str">
        <f t="shared" si="38"/>
        <v>2025-06</v>
      </c>
      <c r="Y224" t="str">
        <f t="shared" si="39"/>
        <v>Q2</v>
      </c>
      <c r="Z224" t="str">
        <f>IF(R224&gt;=Settings!$B$9,"High Value Customer",IF(R224&gt;=Settings!$B$10,"Medium Value Customer","Standard Customer"))</f>
        <v>Medium Value Customer</v>
      </c>
      <c r="AA224" t="str">
        <f>IF(R224&gt;=Settings!$B$9,"Large Order",IF(R224&gt;=Settings!$B$10,"Medium Order","Small Order"))</f>
        <v>Medium Order</v>
      </c>
      <c r="AB224" t="str">
        <f>IF(N224=0,"No Discount",IF(N224&lt;=0.1,"Low Discount",IF(N224&lt;=Settings!$B$8,"Medium Discount","High Discount")))</f>
        <v>Low Discount</v>
      </c>
      <c r="AC224" t="str">
        <f t="shared" si="40"/>
        <v>Profitable</v>
      </c>
      <c r="AD224" t="str">
        <f>IFERROR(VLOOKUP(E224,Lookups!$A$2:$E$11,2,FALSE),"Product Not Found")</f>
        <v>Office Chair</v>
      </c>
      <c r="AE224" t="str">
        <f>IFERROR(VLOOKUP(E224,Lookups!$A$2:$E$11,3,FALSE),"Category Not Found")</f>
        <v>Furniture</v>
      </c>
      <c r="AF224" t="str">
        <f>IFERROR(IF(L224=VLOOKUP(E224,Lookups!$A$2:$E$11,4,FALSE),"Price OK","Price Mismatch"),"Product Missing")</f>
        <v>Price OK</v>
      </c>
      <c r="AG224" t="str">
        <f t="shared" si="41"/>
        <v>Valid Email</v>
      </c>
      <c r="AH224" t="str">
        <f t="shared" si="42"/>
        <v>READY FOR REPORTING</v>
      </c>
      <c r="AI224" t="str">
        <f>IF(AND(LEFT(A224,LEN(Settings!$B$13))=Settings!$B$13,LEN(A224)=9),"Valid Format","Invalid Format")</f>
        <v>Valid Format</v>
      </c>
      <c r="AJ224" t="str">
        <f>IF(LEFT(C224,LEN(Settings!$B$14))=Settings!$B$14,"Valid Format","Invalid Format")</f>
        <v>Valid Format</v>
      </c>
      <c r="AK224" t="str">
        <f>IF(COUNTIF(Master_Data!$G$5:$G$14,C224)=1,"Known Customer","Customer Not in Master")</f>
        <v>Customer Not in Master</v>
      </c>
      <c r="AL224" t="str">
        <f>IF(U224&gt;=Settings!$B$11,"Target Met","Below Target")</f>
        <v>Target Met</v>
      </c>
      <c r="AM224" t="str">
        <f>IF(YEAR(B224)=Settings!$B$5,"Correct Year","Wrong Year")</f>
        <v>Correct Year</v>
      </c>
      <c r="AN224">
        <f t="shared" si="43"/>
        <v>4</v>
      </c>
    </row>
    <row r="225" spans="1:40">
      <c r="A225" t="str">
        <f>Raw_Data!A225</f>
        <v>ORD-10224</v>
      </c>
      <c r="B225" s="13">
        <f>Raw_Data!B225</f>
        <v>45761</v>
      </c>
      <c r="C225" t="str">
        <f>Raw_Data!C225</f>
        <v>C1090</v>
      </c>
      <c r="D225" t="str">
        <f>Raw_Data!D225</f>
        <v>client70@example.com</v>
      </c>
      <c r="E225" t="str">
        <f>Raw_Data!E225</f>
        <v>P1004</v>
      </c>
      <c r="F225" t="str">
        <f>Raw_Data!F225</f>
        <v>USB-C Hub</v>
      </c>
      <c r="G225" t="str">
        <f>Raw_Data!G225</f>
        <v>Accessories</v>
      </c>
      <c r="H225" t="str">
        <f>Raw_Data!H225</f>
        <v>North</v>
      </c>
      <c r="I225" t="str">
        <f>Raw_Data!I225</f>
        <v>Online</v>
      </c>
      <c r="J225" t="str">
        <f>Raw_Data!J225</f>
        <v>Ioana Pavel</v>
      </c>
      <c r="K225">
        <f>Raw_Data!K225</f>
        <v>9</v>
      </c>
      <c r="L225" s="12">
        <f>Raw_Data!L225</f>
        <v>175</v>
      </c>
      <c r="M225" s="12">
        <f>Raw_Data!M225</f>
        <v>98</v>
      </c>
      <c r="N225" s="14">
        <f>Raw_Data!N225</f>
        <v>0.05</v>
      </c>
      <c r="O225" t="str">
        <f>Raw_Data!O225</f>
        <v>Bank Transfer</v>
      </c>
      <c r="P225" t="str">
        <f>Raw_Data!P225</f>
        <v>Returned</v>
      </c>
      <c r="Q225" s="12">
        <f t="shared" si="33"/>
        <v>1575</v>
      </c>
      <c r="R225" s="12">
        <f t="shared" si="34"/>
        <v>1496.25</v>
      </c>
      <c r="S225" s="12">
        <f t="shared" si="35"/>
        <v>882</v>
      </c>
      <c r="T225" s="12">
        <f t="shared" si="36"/>
        <v>614.25</v>
      </c>
      <c r="U225" s="11">
        <f t="shared" si="37"/>
        <v>0.41052631578947368</v>
      </c>
      <c r="V225" t="str">
        <f>IF(OR(A225="",COUNTIF($A$2:$A$301,A225)&gt;1,C225="",D225="",ISERROR(SEARCH("@",D225)),ISERROR(SEARCH(".",D225)),COUNTIF(Lookups!$A$2:$A$11,E225)=0,F225="",H225="",K225&lt;=0,L225&lt;0,M225&lt;0,N225&lt;0,N225&gt;0.5,COUNTIF(Lookups!$K$2:$K$4,P225)=0),"ERROR","VALID")</f>
        <v>VALID</v>
      </c>
      <c r="W225" s="2" t="str">
        <f>IF(A225="","Missing Order ID; ","")&amp;IF(COUNTIF($A$2:$A$301,A225)&gt;1,"Duplicate Order ID; ","")&amp;IF(C225="","Missing Customer ID; ","")&amp;IF(OR(D225="",ISERROR(SEARCH("@",D225)),ISERROR(SEARCH(".",D225))),"Invalid Email; ","")&amp;IF(COUNTIF(Lookups!$A$2:$A$11,E225)=0,"Unknown Product; ","")&amp;IF(F225="","Missing Product Name; ","")&amp;IF(H225="","Missing Region; ","")&amp;IF(K225&lt;=0,"Invalid Quantity; ","")&amp;IF(L225&lt;0,"Invalid Price; ","")&amp;IF(M225&lt;0,"Invalid Cost; ","")&amp;IF(OR(N225&lt;0,N225&gt;0.5),"Invalid Discount; ","")&amp;IF(COUNTIF(Lookups!$K$2:$K$4,P225)=0,"Invalid Status; ","")</f>
        <v/>
      </c>
      <c r="X225" s="15" t="str">
        <f t="shared" si="38"/>
        <v>2025-04</v>
      </c>
      <c r="Y225" t="str">
        <f t="shared" si="39"/>
        <v>Q2</v>
      </c>
      <c r="Z225" t="str">
        <f>IF(R225&gt;=Settings!$B$9,"High Value Customer",IF(R225&gt;=Settings!$B$10,"Medium Value Customer","Standard Customer"))</f>
        <v>Standard Customer</v>
      </c>
      <c r="AA225" t="str">
        <f>IF(R225&gt;=Settings!$B$9,"Large Order",IF(R225&gt;=Settings!$B$10,"Medium Order","Small Order"))</f>
        <v>Small Order</v>
      </c>
      <c r="AB225" t="str">
        <f>IF(N225=0,"No Discount",IF(N225&lt;=0.1,"Low Discount",IF(N225&lt;=Settings!$B$8,"Medium Discount","High Discount")))</f>
        <v>Low Discount</v>
      </c>
      <c r="AC225" t="str">
        <f t="shared" si="40"/>
        <v>Profitable</v>
      </c>
      <c r="AD225" t="str">
        <f>IFERROR(VLOOKUP(E225,Lookups!$A$2:$E$11,2,FALSE),"Product Not Found")</f>
        <v>USB-C Hub</v>
      </c>
      <c r="AE225" t="str">
        <f>IFERROR(VLOOKUP(E225,Lookups!$A$2:$E$11,3,FALSE),"Category Not Found")</f>
        <v>Accessories</v>
      </c>
      <c r="AF225" t="str">
        <f>IFERROR(IF(L225=VLOOKUP(E225,Lookups!$A$2:$E$11,4,FALSE),"Price OK","Price Mismatch"),"Product Missing")</f>
        <v>Price OK</v>
      </c>
      <c r="AG225" t="str">
        <f t="shared" si="41"/>
        <v>Valid Email</v>
      </c>
      <c r="AH225" t="str">
        <f t="shared" si="42"/>
        <v>READY FOR REPORTING</v>
      </c>
      <c r="AI225" t="str">
        <f>IF(AND(LEFT(A225,LEN(Settings!$B$13))=Settings!$B$13,LEN(A225)=9),"Valid Format","Invalid Format")</f>
        <v>Valid Format</v>
      </c>
      <c r="AJ225" t="str">
        <f>IF(LEFT(C225,LEN(Settings!$B$14))=Settings!$B$14,"Valid Format","Invalid Format")</f>
        <v>Valid Format</v>
      </c>
      <c r="AK225" t="str">
        <f>IF(COUNTIF(Master_Data!$G$5:$G$14,C225)=1,"Known Customer","Customer Not in Master")</f>
        <v>Customer Not in Master</v>
      </c>
      <c r="AL225" t="str">
        <f>IF(U225&gt;=Settings!$B$11,"Target Met","Below Target")</f>
        <v>Target Met</v>
      </c>
      <c r="AM225" t="str">
        <f>IF(YEAR(B225)=Settings!$B$5,"Correct Year","Wrong Year")</f>
        <v>Correct Year</v>
      </c>
      <c r="AN225">
        <f t="shared" si="43"/>
        <v>4</v>
      </c>
    </row>
    <row r="226" spans="1:40">
      <c r="A226" t="str">
        <f>Raw_Data!A226</f>
        <v>ORD-10225</v>
      </c>
      <c r="B226" s="13">
        <f>Raw_Data!B226</f>
        <v>45683</v>
      </c>
      <c r="C226" t="str">
        <f>Raw_Data!C226</f>
        <v>C1082</v>
      </c>
      <c r="D226" t="str">
        <f>Raw_Data!D226</f>
        <v>client60@example.com</v>
      </c>
      <c r="E226" t="str">
        <f>Raw_Data!E226</f>
        <v>P1004</v>
      </c>
      <c r="F226" t="str">
        <f>Raw_Data!F226</f>
        <v>USB-C Hub</v>
      </c>
      <c r="G226" t="str">
        <f>Raw_Data!G226</f>
        <v>Accessories</v>
      </c>
      <c r="H226" t="str">
        <f>Raw_Data!H226</f>
        <v>Bucharest</v>
      </c>
      <c r="I226" t="str">
        <f>Raw_Data!I226</f>
        <v>Online</v>
      </c>
      <c r="J226" t="str">
        <f>Raw_Data!J226</f>
        <v>Mihai Radu</v>
      </c>
      <c r="K226">
        <f>Raw_Data!K226</f>
        <v>11</v>
      </c>
      <c r="L226" s="12">
        <f>Raw_Data!L226</f>
        <v>175</v>
      </c>
      <c r="M226" s="12">
        <f>Raw_Data!M226</f>
        <v>98</v>
      </c>
      <c r="N226" s="14">
        <f>Raw_Data!N226</f>
        <v>0.15</v>
      </c>
      <c r="O226" t="str">
        <f>Raw_Data!O226</f>
        <v>Cash</v>
      </c>
      <c r="P226" t="str">
        <f>Raw_Data!P226</f>
        <v>Completed</v>
      </c>
      <c r="Q226" s="12">
        <f t="shared" si="33"/>
        <v>1925</v>
      </c>
      <c r="R226" s="12">
        <f t="shared" si="34"/>
        <v>1636.25</v>
      </c>
      <c r="S226" s="12">
        <f t="shared" si="35"/>
        <v>1078</v>
      </c>
      <c r="T226" s="12">
        <f t="shared" si="36"/>
        <v>558.25</v>
      </c>
      <c r="U226" s="11">
        <f t="shared" si="37"/>
        <v>0.3411764705882353</v>
      </c>
      <c r="V226" t="str">
        <f>IF(OR(A226="",COUNTIF($A$2:$A$301,A226)&gt;1,C226="",D226="",ISERROR(SEARCH("@",D226)),ISERROR(SEARCH(".",D226)),COUNTIF(Lookups!$A$2:$A$11,E226)=0,F226="",H226="",K226&lt;=0,L226&lt;0,M226&lt;0,N226&lt;0,N226&gt;0.5,COUNTIF(Lookups!$K$2:$K$4,P226)=0),"ERROR","VALID")</f>
        <v>VALID</v>
      </c>
      <c r="W226" s="2" t="str">
        <f>IF(A226="","Missing Order ID; ","")&amp;IF(COUNTIF($A$2:$A$301,A226)&gt;1,"Duplicate Order ID; ","")&amp;IF(C226="","Missing Customer ID; ","")&amp;IF(OR(D226="",ISERROR(SEARCH("@",D226)),ISERROR(SEARCH(".",D226))),"Invalid Email; ","")&amp;IF(COUNTIF(Lookups!$A$2:$A$11,E226)=0,"Unknown Product; ","")&amp;IF(F226="","Missing Product Name; ","")&amp;IF(H226="","Missing Region; ","")&amp;IF(K226&lt;=0,"Invalid Quantity; ","")&amp;IF(L226&lt;0,"Invalid Price; ","")&amp;IF(M226&lt;0,"Invalid Cost; ","")&amp;IF(OR(N226&lt;0,N226&gt;0.5),"Invalid Discount; ","")&amp;IF(COUNTIF(Lookups!$K$2:$K$4,P226)=0,"Invalid Status; ","")</f>
        <v/>
      </c>
      <c r="X226" s="15" t="str">
        <f t="shared" si="38"/>
        <v>2025-01</v>
      </c>
      <c r="Y226" t="str">
        <f t="shared" si="39"/>
        <v>Q1</v>
      </c>
      <c r="Z226" t="str">
        <f>IF(R226&gt;=Settings!$B$9,"High Value Customer",IF(R226&gt;=Settings!$B$10,"Medium Value Customer","Standard Customer"))</f>
        <v>Standard Customer</v>
      </c>
      <c r="AA226" t="str">
        <f>IF(R226&gt;=Settings!$B$9,"Large Order",IF(R226&gt;=Settings!$B$10,"Medium Order","Small Order"))</f>
        <v>Small Order</v>
      </c>
      <c r="AB226" t="str">
        <f>IF(N226=0,"No Discount",IF(N226&lt;=0.1,"Low Discount",IF(N226&lt;=Settings!$B$8,"Medium Discount","High Discount")))</f>
        <v>Medium Discount</v>
      </c>
      <c r="AC226" t="str">
        <f t="shared" si="40"/>
        <v>Profitable</v>
      </c>
      <c r="AD226" t="str">
        <f>IFERROR(VLOOKUP(E226,Lookups!$A$2:$E$11,2,FALSE),"Product Not Found")</f>
        <v>USB-C Hub</v>
      </c>
      <c r="AE226" t="str">
        <f>IFERROR(VLOOKUP(E226,Lookups!$A$2:$E$11,3,FALSE),"Category Not Found")</f>
        <v>Accessories</v>
      </c>
      <c r="AF226" t="str">
        <f>IFERROR(IF(L226=VLOOKUP(E226,Lookups!$A$2:$E$11,4,FALSE),"Price OK","Price Mismatch"),"Product Missing")</f>
        <v>Price OK</v>
      </c>
      <c r="AG226" t="str">
        <f t="shared" si="41"/>
        <v>Valid Email</v>
      </c>
      <c r="AH226" t="str">
        <f t="shared" si="42"/>
        <v>READY FOR REPORTING</v>
      </c>
      <c r="AI226" t="str">
        <f>IF(AND(LEFT(A226,LEN(Settings!$B$13))=Settings!$B$13,LEN(A226)=9),"Valid Format","Invalid Format")</f>
        <v>Valid Format</v>
      </c>
      <c r="AJ226" t="str">
        <f>IF(LEFT(C226,LEN(Settings!$B$14))=Settings!$B$14,"Valid Format","Invalid Format")</f>
        <v>Valid Format</v>
      </c>
      <c r="AK226" t="str">
        <f>IF(COUNTIF(Master_Data!$G$5:$G$14,C226)=1,"Known Customer","Customer Not in Master")</f>
        <v>Customer Not in Master</v>
      </c>
      <c r="AL226" t="str">
        <f>IF(U226&gt;=Settings!$B$11,"Target Met","Below Target")</f>
        <v>Target Met</v>
      </c>
      <c r="AM226" t="str">
        <f>IF(YEAR(B226)=Settings!$B$5,"Correct Year","Wrong Year")</f>
        <v>Correct Year</v>
      </c>
      <c r="AN226">
        <f t="shared" si="43"/>
        <v>4</v>
      </c>
    </row>
    <row r="227" spans="1:40">
      <c r="A227" t="str">
        <f>Raw_Data!A227</f>
        <v>ORD-10226</v>
      </c>
      <c r="B227" s="13">
        <f>Raw_Data!B227</f>
        <v>45709</v>
      </c>
      <c r="C227" t="str">
        <f>Raw_Data!C227</f>
        <v>C1124</v>
      </c>
      <c r="D227" t="str">
        <f>Raw_Data!D227</f>
        <v>client141@example.com</v>
      </c>
      <c r="E227" t="str">
        <f>Raw_Data!E227</f>
        <v>P1008</v>
      </c>
      <c r="F227">
        <f>Raw_Data!F227</f>
        <v>0</v>
      </c>
      <c r="G227" t="str">
        <f>Raw_Data!G227</f>
        <v>Furniture</v>
      </c>
      <c r="H227" t="str">
        <f>Raw_Data!H227</f>
        <v>North</v>
      </c>
      <c r="I227" t="str">
        <f>Raw_Data!I227</f>
        <v>Store</v>
      </c>
      <c r="J227" t="str">
        <f>Raw_Data!J227</f>
        <v>Mihai Radu</v>
      </c>
      <c r="K227">
        <f>Raw_Data!K227</f>
        <v>11</v>
      </c>
      <c r="L227" s="12">
        <f>Raw_Data!L227</f>
        <v>1450</v>
      </c>
      <c r="M227" s="12">
        <f>Raw_Data!M227</f>
        <v>1030</v>
      </c>
      <c r="N227" s="14">
        <f>Raw_Data!N227</f>
        <v>0</v>
      </c>
      <c r="O227" t="str">
        <f>Raw_Data!O227</f>
        <v>Online Wallet</v>
      </c>
      <c r="P227" t="str">
        <f>Raw_Data!P227</f>
        <v>Completed</v>
      </c>
      <c r="Q227" s="12">
        <f t="shared" si="33"/>
        <v>15950</v>
      </c>
      <c r="R227" s="12">
        <f t="shared" si="34"/>
        <v>15950</v>
      </c>
      <c r="S227" s="12">
        <f t="shared" si="35"/>
        <v>11330</v>
      </c>
      <c r="T227" s="12">
        <f t="shared" si="36"/>
        <v>4620</v>
      </c>
      <c r="U227" s="11">
        <f t="shared" si="37"/>
        <v>0.28965517241379313</v>
      </c>
      <c r="V227" t="str">
        <f>IF(OR(A227="",COUNTIF($A$2:$A$301,A227)&gt;1,C227="",D227="",ISERROR(SEARCH("@",D227)),ISERROR(SEARCH(".",D227)),COUNTIF(Lookups!$A$2:$A$11,E227)=0,F227="",H227="",K227&lt;=0,L227&lt;0,M227&lt;0,N227&lt;0,N227&gt;0.5,COUNTIF(Lookups!$K$2:$K$4,P227)=0),"ERROR","VALID")</f>
        <v>VALID</v>
      </c>
      <c r="W227" s="2" t="str">
        <f>IF(A227="","Missing Order ID; ","")&amp;IF(COUNTIF($A$2:$A$301,A227)&gt;1,"Duplicate Order ID; ","")&amp;IF(C227="","Missing Customer ID; ","")&amp;IF(OR(D227="",ISERROR(SEARCH("@",D227)),ISERROR(SEARCH(".",D227))),"Invalid Email; ","")&amp;IF(COUNTIF(Lookups!$A$2:$A$11,E227)=0,"Unknown Product; ","")&amp;IF(F227="","Missing Product Name; ","")&amp;IF(H227="","Missing Region; ","")&amp;IF(K227&lt;=0,"Invalid Quantity; ","")&amp;IF(L227&lt;0,"Invalid Price; ","")&amp;IF(M227&lt;0,"Invalid Cost; ","")&amp;IF(OR(N227&lt;0,N227&gt;0.5),"Invalid Discount; ","")&amp;IF(COUNTIF(Lookups!$K$2:$K$4,P227)=0,"Invalid Status; ","")</f>
        <v/>
      </c>
      <c r="X227" s="15" t="str">
        <f t="shared" si="38"/>
        <v>2025-02</v>
      </c>
      <c r="Y227" t="str">
        <f t="shared" si="39"/>
        <v>Q1</v>
      </c>
      <c r="Z227" t="str">
        <f>IF(R227&gt;=Settings!$B$9,"High Value Customer",IF(R227&gt;=Settings!$B$10,"Medium Value Customer","Standard Customer"))</f>
        <v>High Value Customer</v>
      </c>
      <c r="AA227" t="str">
        <f>IF(R227&gt;=Settings!$B$9,"Large Order",IF(R227&gt;=Settings!$B$10,"Medium Order","Small Order"))</f>
        <v>Large Order</v>
      </c>
      <c r="AB227" t="str">
        <f>IF(N227=0,"No Discount",IF(N227&lt;=0.1,"Low Discount",IF(N227&lt;=Settings!$B$8,"Medium Discount","High Discount")))</f>
        <v>No Discount</v>
      </c>
      <c r="AC227" t="str">
        <f t="shared" si="40"/>
        <v>Profitable</v>
      </c>
      <c r="AD227" t="str">
        <f>IFERROR(VLOOKUP(E227,Lookups!$A$2:$E$11,2,FALSE),"Product Not Found")</f>
        <v>Standing Desk</v>
      </c>
      <c r="AE227" t="str">
        <f>IFERROR(VLOOKUP(E227,Lookups!$A$2:$E$11,3,FALSE),"Category Not Found")</f>
        <v>Furniture</v>
      </c>
      <c r="AF227" t="str">
        <f>IFERROR(IF(L227=VLOOKUP(E227,Lookups!$A$2:$E$11,4,FALSE),"Price OK","Price Mismatch"),"Product Missing")</f>
        <v>Price OK</v>
      </c>
      <c r="AG227" t="str">
        <f t="shared" si="41"/>
        <v>Valid Email</v>
      </c>
      <c r="AH227" t="str">
        <f t="shared" si="42"/>
        <v>READY FOR REPORTING</v>
      </c>
      <c r="AI227" t="str">
        <f>IF(AND(LEFT(A227,LEN(Settings!$B$13))=Settings!$B$13,LEN(A227)=9),"Valid Format","Invalid Format")</f>
        <v>Valid Format</v>
      </c>
      <c r="AJ227" t="str">
        <f>IF(LEFT(C227,LEN(Settings!$B$14))=Settings!$B$14,"Valid Format","Invalid Format")</f>
        <v>Valid Format</v>
      </c>
      <c r="AK227" t="str">
        <f>IF(COUNTIF(Master_Data!$G$5:$G$14,C227)=1,"Known Customer","Customer Not in Master")</f>
        <v>Customer Not in Master</v>
      </c>
      <c r="AL227" t="str">
        <f>IF(U227&gt;=Settings!$B$11,"Target Met","Below Target")</f>
        <v>Target Met</v>
      </c>
      <c r="AM227" t="str">
        <f>IF(YEAR(B227)=Settings!$B$5,"Correct Year","Wrong Year")</f>
        <v>Correct Year</v>
      </c>
      <c r="AN227">
        <f t="shared" si="43"/>
        <v>4</v>
      </c>
    </row>
    <row r="228" spans="1:40">
      <c r="A228" t="str">
        <f>Raw_Data!A228</f>
        <v>ORD-10227</v>
      </c>
      <c r="B228" s="13">
        <f>Raw_Data!B228</f>
        <v>45805</v>
      </c>
      <c r="C228" t="str">
        <f>Raw_Data!C228</f>
        <v>C1008</v>
      </c>
      <c r="D228" t="str">
        <f>Raw_Data!D228</f>
        <v>client23@example.com</v>
      </c>
      <c r="E228" t="str">
        <f>Raw_Data!E228</f>
        <v>P1004</v>
      </c>
      <c r="F228" t="str">
        <f>Raw_Data!F228</f>
        <v>USB-C Hub</v>
      </c>
      <c r="G228" t="str">
        <f>Raw_Data!G228</f>
        <v>Accessories</v>
      </c>
      <c r="H228" t="str">
        <f>Raw_Data!H228</f>
        <v>West</v>
      </c>
      <c r="I228" t="str">
        <f>Raw_Data!I228</f>
        <v>Online</v>
      </c>
      <c r="J228" t="str">
        <f>Raw_Data!J228</f>
        <v>Ioana Pavel</v>
      </c>
      <c r="K228">
        <f>Raw_Data!K228</f>
        <v>6</v>
      </c>
      <c r="L228" s="12">
        <f>Raw_Data!L228</f>
        <v>175</v>
      </c>
      <c r="M228" s="12">
        <f>Raw_Data!M228</f>
        <v>98</v>
      </c>
      <c r="N228" s="14">
        <f>Raw_Data!N228</f>
        <v>0.05</v>
      </c>
      <c r="O228" t="str">
        <f>Raw_Data!O228</f>
        <v>Card</v>
      </c>
      <c r="P228" t="str">
        <f>Raw_Data!P228</f>
        <v>Cancelled</v>
      </c>
      <c r="Q228" s="12">
        <f t="shared" si="33"/>
        <v>1050</v>
      </c>
      <c r="R228" s="12">
        <f t="shared" si="34"/>
        <v>997.5</v>
      </c>
      <c r="S228" s="12">
        <f t="shared" si="35"/>
        <v>588</v>
      </c>
      <c r="T228" s="12">
        <f t="shared" si="36"/>
        <v>409.5</v>
      </c>
      <c r="U228" s="11">
        <f t="shared" si="37"/>
        <v>0.41052631578947368</v>
      </c>
      <c r="V228" t="str">
        <f>IF(OR(A228="",COUNTIF($A$2:$A$301,A228)&gt;1,C228="",D228="",ISERROR(SEARCH("@",D228)),ISERROR(SEARCH(".",D228)),COUNTIF(Lookups!$A$2:$A$11,E228)=0,F228="",H228="",K228&lt;=0,L228&lt;0,M228&lt;0,N228&lt;0,N228&gt;0.5,COUNTIF(Lookups!$K$2:$K$4,P228)=0),"ERROR","VALID")</f>
        <v>VALID</v>
      </c>
      <c r="W228" s="2" t="str">
        <f>IF(A228="","Missing Order ID; ","")&amp;IF(COUNTIF($A$2:$A$301,A228)&gt;1,"Duplicate Order ID; ","")&amp;IF(C228="","Missing Customer ID; ","")&amp;IF(OR(D228="",ISERROR(SEARCH("@",D228)),ISERROR(SEARCH(".",D228))),"Invalid Email; ","")&amp;IF(COUNTIF(Lookups!$A$2:$A$11,E228)=0,"Unknown Product; ","")&amp;IF(F228="","Missing Product Name; ","")&amp;IF(H228="","Missing Region; ","")&amp;IF(K228&lt;=0,"Invalid Quantity; ","")&amp;IF(L228&lt;0,"Invalid Price; ","")&amp;IF(M228&lt;0,"Invalid Cost; ","")&amp;IF(OR(N228&lt;0,N228&gt;0.5),"Invalid Discount; ","")&amp;IF(COUNTIF(Lookups!$K$2:$K$4,P228)=0,"Invalid Status; ","")</f>
        <v/>
      </c>
      <c r="X228" s="15" t="str">
        <f t="shared" si="38"/>
        <v>2025-05</v>
      </c>
      <c r="Y228" t="str">
        <f t="shared" si="39"/>
        <v>Q2</v>
      </c>
      <c r="Z228" t="str">
        <f>IF(R228&gt;=Settings!$B$9,"High Value Customer",IF(R228&gt;=Settings!$B$10,"Medium Value Customer","Standard Customer"))</f>
        <v>Standard Customer</v>
      </c>
      <c r="AA228" t="str">
        <f>IF(R228&gt;=Settings!$B$9,"Large Order",IF(R228&gt;=Settings!$B$10,"Medium Order","Small Order"))</f>
        <v>Small Order</v>
      </c>
      <c r="AB228" t="str">
        <f>IF(N228=0,"No Discount",IF(N228&lt;=0.1,"Low Discount",IF(N228&lt;=Settings!$B$8,"Medium Discount","High Discount")))</f>
        <v>Low Discount</v>
      </c>
      <c r="AC228" t="str">
        <f t="shared" si="40"/>
        <v>Profitable</v>
      </c>
      <c r="AD228" t="str">
        <f>IFERROR(VLOOKUP(E228,Lookups!$A$2:$E$11,2,FALSE),"Product Not Found")</f>
        <v>USB-C Hub</v>
      </c>
      <c r="AE228" t="str">
        <f>IFERROR(VLOOKUP(E228,Lookups!$A$2:$E$11,3,FALSE),"Category Not Found")</f>
        <v>Accessories</v>
      </c>
      <c r="AF228" t="str">
        <f>IFERROR(IF(L228=VLOOKUP(E228,Lookups!$A$2:$E$11,4,FALSE),"Price OK","Price Mismatch"),"Product Missing")</f>
        <v>Price OK</v>
      </c>
      <c r="AG228" t="str">
        <f t="shared" si="41"/>
        <v>Valid Email</v>
      </c>
      <c r="AH228" t="str">
        <f t="shared" si="42"/>
        <v>READY FOR REPORTING</v>
      </c>
      <c r="AI228" t="str">
        <f>IF(AND(LEFT(A228,LEN(Settings!$B$13))=Settings!$B$13,LEN(A228)=9),"Valid Format","Invalid Format")</f>
        <v>Valid Format</v>
      </c>
      <c r="AJ228" t="str">
        <f>IF(LEFT(C228,LEN(Settings!$B$14))=Settings!$B$14,"Valid Format","Invalid Format")</f>
        <v>Valid Format</v>
      </c>
      <c r="AK228" t="str">
        <f>IF(COUNTIF(Master_Data!$G$5:$G$14,C228)=1,"Known Customer","Customer Not in Master")</f>
        <v>Known Customer</v>
      </c>
      <c r="AL228" t="str">
        <f>IF(U228&gt;=Settings!$B$11,"Target Met","Below Target")</f>
        <v>Target Met</v>
      </c>
      <c r="AM228" t="str">
        <f>IF(YEAR(B228)=Settings!$B$5,"Correct Year","Wrong Year")</f>
        <v>Correct Year</v>
      </c>
      <c r="AN228">
        <f t="shared" si="43"/>
        <v>5</v>
      </c>
    </row>
    <row r="229" spans="1:40">
      <c r="A229" t="str">
        <f>Raw_Data!A229</f>
        <v>ORD-10228</v>
      </c>
      <c r="B229" s="13">
        <f>Raw_Data!B229</f>
        <v>45871</v>
      </c>
      <c r="C229" t="str">
        <f>Raw_Data!C229</f>
        <v>C1101</v>
      </c>
      <c r="D229" t="str">
        <f>Raw_Data!D229</f>
        <v>client127@example.com</v>
      </c>
      <c r="E229" t="str">
        <f>Raw_Data!E229</f>
        <v>P1003</v>
      </c>
      <c r="F229" t="str">
        <f>Raw_Data!F229</f>
        <v>Mechanical Keyboard</v>
      </c>
      <c r="G229" t="str">
        <f>Raw_Data!G229</f>
        <v>Accessories</v>
      </c>
      <c r="H229" t="str">
        <f>Raw_Data!H229</f>
        <v>North</v>
      </c>
      <c r="I229" t="str">
        <f>Raw_Data!I229</f>
        <v>Marketplace</v>
      </c>
      <c r="J229" t="str">
        <f>Raw_Data!J229</f>
        <v>Elena Stan</v>
      </c>
      <c r="K229">
        <f>Raw_Data!K229</f>
        <v>3</v>
      </c>
      <c r="L229" s="12">
        <f>Raw_Data!L229</f>
        <v>265</v>
      </c>
      <c r="M229" s="12">
        <f>Raw_Data!M229</f>
        <v>155</v>
      </c>
      <c r="N229" s="14">
        <f>Raw_Data!N229</f>
        <v>0</v>
      </c>
      <c r="O229" t="str">
        <f>Raw_Data!O229</f>
        <v>Card</v>
      </c>
      <c r="P229" t="str">
        <f>Raw_Data!P229</f>
        <v>Completed</v>
      </c>
      <c r="Q229" s="12">
        <f t="shared" si="33"/>
        <v>795</v>
      </c>
      <c r="R229" s="12">
        <f t="shared" si="34"/>
        <v>795</v>
      </c>
      <c r="S229" s="12">
        <f t="shared" si="35"/>
        <v>465</v>
      </c>
      <c r="T229" s="12">
        <f t="shared" si="36"/>
        <v>330</v>
      </c>
      <c r="U229" s="11">
        <f t="shared" si="37"/>
        <v>0.41509433962264153</v>
      </c>
      <c r="V229" t="str">
        <f>IF(OR(A229="",COUNTIF($A$2:$A$301,A229)&gt;1,C229="",D229="",ISERROR(SEARCH("@",D229)),ISERROR(SEARCH(".",D229)),COUNTIF(Lookups!$A$2:$A$11,E229)=0,F229="",H229="",K229&lt;=0,L229&lt;0,M229&lt;0,N229&lt;0,N229&gt;0.5,COUNTIF(Lookups!$K$2:$K$4,P229)=0),"ERROR","VALID")</f>
        <v>VALID</v>
      </c>
      <c r="W229" s="2" t="str">
        <f>IF(A229="","Missing Order ID; ","")&amp;IF(COUNTIF($A$2:$A$301,A229)&gt;1,"Duplicate Order ID; ","")&amp;IF(C229="","Missing Customer ID; ","")&amp;IF(OR(D229="",ISERROR(SEARCH("@",D229)),ISERROR(SEARCH(".",D229))),"Invalid Email; ","")&amp;IF(COUNTIF(Lookups!$A$2:$A$11,E229)=0,"Unknown Product; ","")&amp;IF(F229="","Missing Product Name; ","")&amp;IF(H229="","Missing Region; ","")&amp;IF(K229&lt;=0,"Invalid Quantity; ","")&amp;IF(L229&lt;0,"Invalid Price; ","")&amp;IF(M229&lt;0,"Invalid Cost; ","")&amp;IF(OR(N229&lt;0,N229&gt;0.5),"Invalid Discount; ","")&amp;IF(COUNTIF(Lookups!$K$2:$K$4,P229)=0,"Invalid Status; ","")</f>
        <v/>
      </c>
      <c r="X229" s="15" t="str">
        <f t="shared" si="38"/>
        <v>2025-08</v>
      </c>
      <c r="Y229" t="str">
        <f t="shared" si="39"/>
        <v>Q3</v>
      </c>
      <c r="Z229" t="str">
        <f>IF(R229&gt;=Settings!$B$9,"High Value Customer",IF(R229&gt;=Settings!$B$10,"Medium Value Customer","Standard Customer"))</f>
        <v>Standard Customer</v>
      </c>
      <c r="AA229" t="str">
        <f>IF(R229&gt;=Settings!$B$9,"Large Order",IF(R229&gt;=Settings!$B$10,"Medium Order","Small Order"))</f>
        <v>Small Order</v>
      </c>
      <c r="AB229" t="str">
        <f>IF(N229=0,"No Discount",IF(N229&lt;=0.1,"Low Discount",IF(N229&lt;=Settings!$B$8,"Medium Discount","High Discount")))</f>
        <v>No Discount</v>
      </c>
      <c r="AC229" t="str">
        <f t="shared" si="40"/>
        <v>Profitable</v>
      </c>
      <c r="AD229" t="str">
        <f>IFERROR(VLOOKUP(E229,Lookups!$A$2:$E$11,2,FALSE),"Product Not Found")</f>
        <v>Mechanical Keyboard</v>
      </c>
      <c r="AE229" t="str">
        <f>IFERROR(VLOOKUP(E229,Lookups!$A$2:$E$11,3,FALSE),"Category Not Found")</f>
        <v>Accessories</v>
      </c>
      <c r="AF229" t="str">
        <f>IFERROR(IF(L229=VLOOKUP(E229,Lookups!$A$2:$E$11,4,FALSE),"Price OK","Price Mismatch"),"Product Missing")</f>
        <v>Price OK</v>
      </c>
      <c r="AG229" t="str">
        <f t="shared" si="41"/>
        <v>Valid Email</v>
      </c>
      <c r="AH229" t="str">
        <f t="shared" si="42"/>
        <v>READY FOR REPORTING</v>
      </c>
      <c r="AI229" t="str">
        <f>IF(AND(LEFT(A229,LEN(Settings!$B$13))=Settings!$B$13,LEN(A229)=9),"Valid Format","Invalid Format")</f>
        <v>Valid Format</v>
      </c>
      <c r="AJ229" t="str">
        <f>IF(LEFT(C229,LEN(Settings!$B$14))=Settings!$B$14,"Valid Format","Invalid Format")</f>
        <v>Valid Format</v>
      </c>
      <c r="AK229" t="str">
        <f>IF(COUNTIF(Master_Data!$G$5:$G$14,C229)=1,"Known Customer","Customer Not in Master")</f>
        <v>Customer Not in Master</v>
      </c>
      <c r="AL229" t="str">
        <f>IF(U229&gt;=Settings!$B$11,"Target Met","Below Target")</f>
        <v>Target Met</v>
      </c>
      <c r="AM229" t="str">
        <f>IF(YEAR(B229)=Settings!$B$5,"Correct Year","Wrong Year")</f>
        <v>Correct Year</v>
      </c>
      <c r="AN229">
        <f t="shared" si="43"/>
        <v>4</v>
      </c>
    </row>
    <row r="230" spans="1:40">
      <c r="A230" t="str">
        <f>Raw_Data!A230</f>
        <v>ORD-10229</v>
      </c>
      <c r="B230" s="13">
        <f>Raw_Data!B230</f>
        <v>45810</v>
      </c>
      <c r="C230" t="str">
        <f>Raw_Data!C230</f>
        <v>C1119</v>
      </c>
      <c r="D230" t="str">
        <f>Raw_Data!D230</f>
        <v>client86@example.com</v>
      </c>
      <c r="E230" t="str">
        <f>Raw_Data!E230</f>
        <v>P1001</v>
      </c>
      <c r="F230" t="str">
        <f>Raw_Data!F230</f>
        <v>Laptop Stand</v>
      </c>
      <c r="G230" t="str">
        <f>Raw_Data!G230</f>
        <v>Accessories</v>
      </c>
      <c r="H230" t="str">
        <f>Raw_Data!H230</f>
        <v>South</v>
      </c>
      <c r="I230" t="str">
        <f>Raw_Data!I230</f>
        <v>Store</v>
      </c>
      <c r="J230" t="str">
        <f>Raw_Data!J230</f>
        <v>Ioana Pavel</v>
      </c>
      <c r="K230">
        <f>Raw_Data!K230</f>
        <v>10</v>
      </c>
      <c r="L230" s="12">
        <f>Raw_Data!L230</f>
        <v>95</v>
      </c>
      <c r="M230" s="12">
        <f>Raw_Data!M230</f>
        <v>52</v>
      </c>
      <c r="N230" s="14">
        <f>Raw_Data!N230</f>
        <v>0.15</v>
      </c>
      <c r="O230" t="str">
        <f>Raw_Data!O230</f>
        <v>Online Wallet</v>
      </c>
      <c r="P230" t="str">
        <f>Raw_Data!P230</f>
        <v>Completed</v>
      </c>
      <c r="Q230" s="12">
        <f t="shared" si="33"/>
        <v>950</v>
      </c>
      <c r="R230" s="12">
        <f t="shared" si="34"/>
        <v>807.5</v>
      </c>
      <c r="S230" s="12">
        <f t="shared" si="35"/>
        <v>520</v>
      </c>
      <c r="T230" s="12">
        <f t="shared" si="36"/>
        <v>287.5</v>
      </c>
      <c r="U230" s="11">
        <f t="shared" si="37"/>
        <v>0.35603715170278638</v>
      </c>
      <c r="V230" t="str">
        <f>IF(OR(A230="",COUNTIF($A$2:$A$301,A230)&gt;1,C230="",D230="",ISERROR(SEARCH("@",D230)),ISERROR(SEARCH(".",D230)),COUNTIF(Lookups!$A$2:$A$11,E230)=0,F230="",H230="",K230&lt;=0,L230&lt;0,M230&lt;0,N230&lt;0,N230&gt;0.5,COUNTIF(Lookups!$K$2:$K$4,P230)=0),"ERROR","VALID")</f>
        <v>VALID</v>
      </c>
      <c r="W230" s="2" t="str">
        <f>IF(A230="","Missing Order ID; ","")&amp;IF(COUNTIF($A$2:$A$301,A230)&gt;1,"Duplicate Order ID; ","")&amp;IF(C230="","Missing Customer ID; ","")&amp;IF(OR(D230="",ISERROR(SEARCH("@",D230)),ISERROR(SEARCH(".",D230))),"Invalid Email; ","")&amp;IF(COUNTIF(Lookups!$A$2:$A$11,E230)=0,"Unknown Product; ","")&amp;IF(F230="","Missing Product Name; ","")&amp;IF(H230="","Missing Region; ","")&amp;IF(K230&lt;=0,"Invalid Quantity; ","")&amp;IF(L230&lt;0,"Invalid Price; ","")&amp;IF(M230&lt;0,"Invalid Cost; ","")&amp;IF(OR(N230&lt;0,N230&gt;0.5),"Invalid Discount; ","")&amp;IF(COUNTIF(Lookups!$K$2:$K$4,P230)=0,"Invalid Status; ","")</f>
        <v/>
      </c>
      <c r="X230" s="15" t="str">
        <f t="shared" si="38"/>
        <v>2025-06</v>
      </c>
      <c r="Y230" t="str">
        <f t="shared" si="39"/>
        <v>Q2</v>
      </c>
      <c r="Z230" t="str">
        <f>IF(R230&gt;=Settings!$B$9,"High Value Customer",IF(R230&gt;=Settings!$B$10,"Medium Value Customer","Standard Customer"))</f>
        <v>Standard Customer</v>
      </c>
      <c r="AA230" t="str">
        <f>IF(R230&gt;=Settings!$B$9,"Large Order",IF(R230&gt;=Settings!$B$10,"Medium Order","Small Order"))</f>
        <v>Small Order</v>
      </c>
      <c r="AB230" t="str">
        <f>IF(N230=0,"No Discount",IF(N230&lt;=0.1,"Low Discount",IF(N230&lt;=Settings!$B$8,"Medium Discount","High Discount")))</f>
        <v>Medium Discount</v>
      </c>
      <c r="AC230" t="str">
        <f t="shared" si="40"/>
        <v>Profitable</v>
      </c>
      <c r="AD230" t="str">
        <f>IFERROR(VLOOKUP(E230,Lookups!$A$2:$E$11,2,FALSE),"Product Not Found")</f>
        <v>Laptop Stand</v>
      </c>
      <c r="AE230" t="str">
        <f>IFERROR(VLOOKUP(E230,Lookups!$A$2:$E$11,3,FALSE),"Category Not Found")</f>
        <v>Accessories</v>
      </c>
      <c r="AF230" t="str">
        <f>IFERROR(IF(L230=VLOOKUP(E230,Lookups!$A$2:$E$11,4,FALSE),"Price OK","Price Mismatch"),"Product Missing")</f>
        <v>Price OK</v>
      </c>
      <c r="AG230" t="str">
        <f t="shared" si="41"/>
        <v>Valid Email</v>
      </c>
      <c r="AH230" t="str">
        <f t="shared" si="42"/>
        <v>READY FOR REPORTING</v>
      </c>
      <c r="AI230" t="str">
        <f>IF(AND(LEFT(A230,LEN(Settings!$B$13))=Settings!$B$13,LEN(A230)=9),"Valid Format","Invalid Format")</f>
        <v>Valid Format</v>
      </c>
      <c r="AJ230" t="str">
        <f>IF(LEFT(C230,LEN(Settings!$B$14))=Settings!$B$14,"Valid Format","Invalid Format")</f>
        <v>Valid Format</v>
      </c>
      <c r="AK230" t="str">
        <f>IF(COUNTIF(Master_Data!$G$5:$G$14,C230)=1,"Known Customer","Customer Not in Master")</f>
        <v>Customer Not in Master</v>
      </c>
      <c r="AL230" t="str">
        <f>IF(U230&gt;=Settings!$B$11,"Target Met","Below Target")</f>
        <v>Target Met</v>
      </c>
      <c r="AM230" t="str">
        <f>IF(YEAR(B230)=Settings!$B$5,"Correct Year","Wrong Year")</f>
        <v>Correct Year</v>
      </c>
      <c r="AN230">
        <f t="shared" si="43"/>
        <v>4</v>
      </c>
    </row>
    <row r="231" spans="1:40">
      <c r="A231" t="str">
        <f>Raw_Data!A231</f>
        <v>ORD-10230</v>
      </c>
      <c r="B231" s="13">
        <f>Raw_Data!B231</f>
        <v>45916</v>
      </c>
      <c r="C231" t="str">
        <f>Raw_Data!C231</f>
        <v>C1104</v>
      </c>
      <c r="D231" t="str">
        <f>Raw_Data!D231</f>
        <v>client29@example.com</v>
      </c>
      <c r="E231" t="str">
        <f>Raw_Data!E231</f>
        <v>P1003</v>
      </c>
      <c r="F231" t="str">
        <f>Raw_Data!F231</f>
        <v>Mechanical Keyboard</v>
      </c>
      <c r="G231" t="str">
        <f>Raw_Data!G231</f>
        <v>Accessories</v>
      </c>
      <c r="H231" t="str">
        <f>Raw_Data!H231</f>
        <v>South</v>
      </c>
      <c r="I231" t="str">
        <f>Raw_Data!I231</f>
        <v>Online</v>
      </c>
      <c r="J231" t="str">
        <f>Raw_Data!J231</f>
        <v>Mihai Radu</v>
      </c>
      <c r="K231">
        <f>Raw_Data!K231</f>
        <v>8</v>
      </c>
      <c r="L231" s="12">
        <f>Raw_Data!L231</f>
        <v>265</v>
      </c>
      <c r="M231" s="12">
        <f>Raw_Data!M231</f>
        <v>155</v>
      </c>
      <c r="N231" s="14">
        <f>Raw_Data!N231</f>
        <v>0.05</v>
      </c>
      <c r="O231" t="str">
        <f>Raw_Data!O231</f>
        <v>Cash</v>
      </c>
      <c r="P231" t="str">
        <f>Raw_Data!P231</f>
        <v>Completed</v>
      </c>
      <c r="Q231" s="12">
        <f t="shared" si="33"/>
        <v>2120</v>
      </c>
      <c r="R231" s="12">
        <f t="shared" si="34"/>
        <v>2014</v>
      </c>
      <c r="S231" s="12">
        <f t="shared" si="35"/>
        <v>1240</v>
      </c>
      <c r="T231" s="12">
        <f t="shared" si="36"/>
        <v>774</v>
      </c>
      <c r="U231" s="11">
        <f t="shared" si="37"/>
        <v>0.3843098311817279</v>
      </c>
      <c r="V231" t="str">
        <f>IF(OR(A231="",COUNTIF($A$2:$A$301,A231)&gt;1,C231="",D231="",ISERROR(SEARCH("@",D231)),ISERROR(SEARCH(".",D231)),COUNTIF(Lookups!$A$2:$A$11,E231)=0,F231="",H231="",K231&lt;=0,L231&lt;0,M231&lt;0,N231&lt;0,N231&gt;0.5,COUNTIF(Lookups!$K$2:$K$4,P231)=0),"ERROR","VALID")</f>
        <v>VALID</v>
      </c>
      <c r="W231" s="2" t="str">
        <f>IF(A231="","Missing Order ID; ","")&amp;IF(COUNTIF($A$2:$A$301,A231)&gt;1,"Duplicate Order ID; ","")&amp;IF(C231="","Missing Customer ID; ","")&amp;IF(OR(D231="",ISERROR(SEARCH("@",D231)),ISERROR(SEARCH(".",D231))),"Invalid Email; ","")&amp;IF(COUNTIF(Lookups!$A$2:$A$11,E231)=0,"Unknown Product; ","")&amp;IF(F231="","Missing Product Name; ","")&amp;IF(H231="","Missing Region; ","")&amp;IF(K231&lt;=0,"Invalid Quantity; ","")&amp;IF(L231&lt;0,"Invalid Price; ","")&amp;IF(M231&lt;0,"Invalid Cost; ","")&amp;IF(OR(N231&lt;0,N231&gt;0.5),"Invalid Discount; ","")&amp;IF(COUNTIF(Lookups!$K$2:$K$4,P231)=0,"Invalid Status; ","")</f>
        <v/>
      </c>
      <c r="X231" s="15" t="str">
        <f t="shared" si="38"/>
        <v>2025-09</v>
      </c>
      <c r="Y231" t="str">
        <f t="shared" si="39"/>
        <v>Q3</v>
      </c>
      <c r="Z231" t="str">
        <f>IF(R231&gt;=Settings!$B$9,"High Value Customer",IF(R231&gt;=Settings!$B$10,"Medium Value Customer","Standard Customer"))</f>
        <v>Medium Value Customer</v>
      </c>
      <c r="AA231" t="str">
        <f>IF(R231&gt;=Settings!$B$9,"Large Order",IF(R231&gt;=Settings!$B$10,"Medium Order","Small Order"))</f>
        <v>Medium Order</v>
      </c>
      <c r="AB231" t="str">
        <f>IF(N231=0,"No Discount",IF(N231&lt;=0.1,"Low Discount",IF(N231&lt;=Settings!$B$8,"Medium Discount","High Discount")))</f>
        <v>Low Discount</v>
      </c>
      <c r="AC231" t="str">
        <f t="shared" si="40"/>
        <v>Profitable</v>
      </c>
      <c r="AD231" t="str">
        <f>IFERROR(VLOOKUP(E231,Lookups!$A$2:$E$11,2,FALSE),"Product Not Found")</f>
        <v>Mechanical Keyboard</v>
      </c>
      <c r="AE231" t="str">
        <f>IFERROR(VLOOKUP(E231,Lookups!$A$2:$E$11,3,FALSE),"Category Not Found")</f>
        <v>Accessories</v>
      </c>
      <c r="AF231" t="str">
        <f>IFERROR(IF(L231=VLOOKUP(E231,Lookups!$A$2:$E$11,4,FALSE),"Price OK","Price Mismatch"),"Product Missing")</f>
        <v>Price OK</v>
      </c>
      <c r="AG231" t="str">
        <f t="shared" si="41"/>
        <v>Valid Email</v>
      </c>
      <c r="AH231" t="str">
        <f t="shared" si="42"/>
        <v>READY FOR REPORTING</v>
      </c>
      <c r="AI231" t="str">
        <f>IF(AND(LEFT(A231,LEN(Settings!$B$13))=Settings!$B$13,LEN(A231)=9),"Valid Format","Invalid Format")</f>
        <v>Valid Format</v>
      </c>
      <c r="AJ231" t="str">
        <f>IF(LEFT(C231,LEN(Settings!$B$14))=Settings!$B$14,"Valid Format","Invalid Format")</f>
        <v>Valid Format</v>
      </c>
      <c r="AK231" t="str">
        <f>IF(COUNTIF(Master_Data!$G$5:$G$14,C231)=1,"Known Customer","Customer Not in Master")</f>
        <v>Customer Not in Master</v>
      </c>
      <c r="AL231" t="str">
        <f>IF(U231&gt;=Settings!$B$11,"Target Met","Below Target")</f>
        <v>Target Met</v>
      </c>
      <c r="AM231" t="str">
        <f>IF(YEAR(B231)=Settings!$B$5,"Correct Year","Wrong Year")</f>
        <v>Correct Year</v>
      </c>
      <c r="AN231">
        <f t="shared" si="43"/>
        <v>4</v>
      </c>
    </row>
    <row r="232" spans="1:40">
      <c r="A232" t="str">
        <f>Raw_Data!A232</f>
        <v>ORD-10231</v>
      </c>
      <c r="B232" s="13">
        <f>Raw_Data!B232</f>
        <v>45665</v>
      </c>
      <c r="C232" t="str">
        <f>Raw_Data!C232</f>
        <v>C1073</v>
      </c>
      <c r="D232" t="str">
        <f>Raw_Data!D232</f>
        <v>client173@example.com</v>
      </c>
      <c r="E232" t="str">
        <f>Raw_Data!E232</f>
        <v>P1003</v>
      </c>
      <c r="F232" t="str">
        <f>Raw_Data!F232</f>
        <v>Mechanical Keyboard</v>
      </c>
      <c r="G232" t="str">
        <f>Raw_Data!G232</f>
        <v>Accessories</v>
      </c>
      <c r="H232" t="str">
        <f>Raw_Data!H232</f>
        <v>North</v>
      </c>
      <c r="I232" t="str">
        <f>Raw_Data!I232</f>
        <v>Online</v>
      </c>
      <c r="J232" t="str">
        <f>Raw_Data!J232</f>
        <v>Ioana Pavel</v>
      </c>
      <c r="K232">
        <f>Raw_Data!K232</f>
        <v>12</v>
      </c>
      <c r="L232" s="12">
        <f>Raw_Data!L232</f>
        <v>265</v>
      </c>
      <c r="M232" s="12">
        <f>Raw_Data!M232</f>
        <v>155</v>
      </c>
      <c r="N232" s="14">
        <f>Raw_Data!N232</f>
        <v>0.05</v>
      </c>
      <c r="O232" t="str">
        <f>Raw_Data!O232</f>
        <v>Online Wallet</v>
      </c>
      <c r="P232" t="str">
        <f>Raw_Data!P232</f>
        <v>Completed</v>
      </c>
      <c r="Q232" s="12">
        <f t="shared" si="33"/>
        <v>3180</v>
      </c>
      <c r="R232" s="12">
        <f t="shared" si="34"/>
        <v>3021</v>
      </c>
      <c r="S232" s="12">
        <f t="shared" si="35"/>
        <v>1860</v>
      </c>
      <c r="T232" s="12">
        <f t="shared" si="36"/>
        <v>1161</v>
      </c>
      <c r="U232" s="11">
        <f t="shared" si="37"/>
        <v>0.3843098311817279</v>
      </c>
      <c r="V232" t="str">
        <f>IF(OR(A232="",COUNTIF($A$2:$A$301,A232)&gt;1,C232="",D232="",ISERROR(SEARCH("@",D232)),ISERROR(SEARCH(".",D232)),COUNTIF(Lookups!$A$2:$A$11,E232)=0,F232="",H232="",K232&lt;=0,L232&lt;0,M232&lt;0,N232&lt;0,N232&gt;0.5,COUNTIF(Lookups!$K$2:$K$4,P232)=0),"ERROR","VALID")</f>
        <v>VALID</v>
      </c>
      <c r="W232" s="2" t="str">
        <f>IF(A232="","Missing Order ID; ","")&amp;IF(COUNTIF($A$2:$A$301,A232)&gt;1,"Duplicate Order ID; ","")&amp;IF(C232="","Missing Customer ID; ","")&amp;IF(OR(D232="",ISERROR(SEARCH("@",D232)),ISERROR(SEARCH(".",D232))),"Invalid Email; ","")&amp;IF(COUNTIF(Lookups!$A$2:$A$11,E232)=0,"Unknown Product; ","")&amp;IF(F232="","Missing Product Name; ","")&amp;IF(H232="","Missing Region; ","")&amp;IF(K232&lt;=0,"Invalid Quantity; ","")&amp;IF(L232&lt;0,"Invalid Price; ","")&amp;IF(M232&lt;0,"Invalid Cost; ","")&amp;IF(OR(N232&lt;0,N232&gt;0.5),"Invalid Discount; ","")&amp;IF(COUNTIF(Lookups!$K$2:$K$4,P232)=0,"Invalid Status; ","")</f>
        <v/>
      </c>
      <c r="X232" s="15" t="str">
        <f t="shared" si="38"/>
        <v>2025-01</v>
      </c>
      <c r="Y232" t="str">
        <f t="shared" si="39"/>
        <v>Q1</v>
      </c>
      <c r="Z232" t="str">
        <f>IF(R232&gt;=Settings!$B$9,"High Value Customer",IF(R232&gt;=Settings!$B$10,"Medium Value Customer","Standard Customer"))</f>
        <v>Medium Value Customer</v>
      </c>
      <c r="AA232" t="str">
        <f>IF(R232&gt;=Settings!$B$9,"Large Order",IF(R232&gt;=Settings!$B$10,"Medium Order","Small Order"))</f>
        <v>Medium Order</v>
      </c>
      <c r="AB232" t="str">
        <f>IF(N232=0,"No Discount",IF(N232&lt;=0.1,"Low Discount",IF(N232&lt;=Settings!$B$8,"Medium Discount","High Discount")))</f>
        <v>Low Discount</v>
      </c>
      <c r="AC232" t="str">
        <f t="shared" si="40"/>
        <v>Profitable</v>
      </c>
      <c r="AD232" t="str">
        <f>IFERROR(VLOOKUP(E232,Lookups!$A$2:$E$11,2,FALSE),"Product Not Found")</f>
        <v>Mechanical Keyboard</v>
      </c>
      <c r="AE232" t="str">
        <f>IFERROR(VLOOKUP(E232,Lookups!$A$2:$E$11,3,FALSE),"Category Not Found")</f>
        <v>Accessories</v>
      </c>
      <c r="AF232" t="str">
        <f>IFERROR(IF(L232=VLOOKUP(E232,Lookups!$A$2:$E$11,4,FALSE),"Price OK","Price Mismatch"),"Product Missing")</f>
        <v>Price OK</v>
      </c>
      <c r="AG232" t="str">
        <f t="shared" si="41"/>
        <v>Valid Email</v>
      </c>
      <c r="AH232" t="str">
        <f t="shared" si="42"/>
        <v>READY FOR REPORTING</v>
      </c>
      <c r="AI232" t="str">
        <f>IF(AND(LEFT(A232,LEN(Settings!$B$13))=Settings!$B$13,LEN(A232)=9),"Valid Format","Invalid Format")</f>
        <v>Valid Format</v>
      </c>
      <c r="AJ232" t="str">
        <f>IF(LEFT(C232,LEN(Settings!$B$14))=Settings!$B$14,"Valid Format","Invalid Format")</f>
        <v>Valid Format</v>
      </c>
      <c r="AK232" t="str">
        <f>IF(COUNTIF(Master_Data!$G$5:$G$14,C232)=1,"Known Customer","Customer Not in Master")</f>
        <v>Customer Not in Master</v>
      </c>
      <c r="AL232" t="str">
        <f>IF(U232&gt;=Settings!$B$11,"Target Met","Below Target")</f>
        <v>Target Met</v>
      </c>
      <c r="AM232" t="str">
        <f>IF(YEAR(B232)=Settings!$B$5,"Correct Year","Wrong Year")</f>
        <v>Correct Year</v>
      </c>
      <c r="AN232">
        <f t="shared" si="43"/>
        <v>4</v>
      </c>
    </row>
    <row r="233" spans="1:40">
      <c r="A233" t="str">
        <f>Raw_Data!A233</f>
        <v>ORD-10232</v>
      </c>
      <c r="B233" s="13">
        <f>Raw_Data!B233</f>
        <v>45921</v>
      </c>
      <c r="C233" t="str">
        <f>Raw_Data!C233</f>
        <v>C1086</v>
      </c>
      <c r="D233" t="str">
        <f>Raw_Data!D233</f>
        <v>client25@example.com</v>
      </c>
      <c r="E233" t="str">
        <f>Raw_Data!E233</f>
        <v>P1007</v>
      </c>
      <c r="F233" t="str">
        <f>Raw_Data!F233</f>
        <v>Office Chair</v>
      </c>
      <c r="G233" t="str">
        <f>Raw_Data!G233</f>
        <v>Furniture</v>
      </c>
      <c r="H233" t="str">
        <f>Raw_Data!H233</f>
        <v>North</v>
      </c>
      <c r="I233" t="str">
        <f>Raw_Data!I233</f>
        <v>Online</v>
      </c>
      <c r="J233" t="str">
        <f>Raw_Data!J233</f>
        <v>Mihai Radu</v>
      </c>
      <c r="K233">
        <f>Raw_Data!K233</f>
        <v>6</v>
      </c>
      <c r="L233" s="12">
        <f>Raw_Data!L233</f>
        <v>840</v>
      </c>
      <c r="M233" s="12">
        <f>Raw_Data!M233</f>
        <v>590</v>
      </c>
      <c r="N233" s="14">
        <f>Raw_Data!N233</f>
        <v>0</v>
      </c>
      <c r="O233" t="str">
        <f>Raw_Data!O233</f>
        <v>Cash</v>
      </c>
      <c r="P233" t="str">
        <f>Raw_Data!P233</f>
        <v>Completed</v>
      </c>
      <c r="Q233" s="12">
        <f t="shared" si="33"/>
        <v>5040</v>
      </c>
      <c r="R233" s="12">
        <f t="shared" si="34"/>
        <v>5040</v>
      </c>
      <c r="S233" s="12">
        <f t="shared" si="35"/>
        <v>3540</v>
      </c>
      <c r="T233" s="12">
        <f t="shared" si="36"/>
        <v>1500</v>
      </c>
      <c r="U233" s="11">
        <f t="shared" si="37"/>
        <v>0.29761904761904762</v>
      </c>
      <c r="V233" t="str">
        <f>IF(OR(A233="",COUNTIF($A$2:$A$301,A233)&gt;1,C233="",D233="",ISERROR(SEARCH("@",D233)),ISERROR(SEARCH(".",D233)),COUNTIF(Lookups!$A$2:$A$11,E233)=0,F233="",H233="",K233&lt;=0,L233&lt;0,M233&lt;0,N233&lt;0,N233&gt;0.5,COUNTIF(Lookups!$K$2:$K$4,P233)=0),"ERROR","VALID")</f>
        <v>VALID</v>
      </c>
      <c r="W233" s="2" t="str">
        <f>IF(A233="","Missing Order ID; ","")&amp;IF(COUNTIF($A$2:$A$301,A233)&gt;1,"Duplicate Order ID; ","")&amp;IF(C233="","Missing Customer ID; ","")&amp;IF(OR(D233="",ISERROR(SEARCH("@",D233)),ISERROR(SEARCH(".",D233))),"Invalid Email; ","")&amp;IF(COUNTIF(Lookups!$A$2:$A$11,E233)=0,"Unknown Product; ","")&amp;IF(F233="","Missing Product Name; ","")&amp;IF(H233="","Missing Region; ","")&amp;IF(K233&lt;=0,"Invalid Quantity; ","")&amp;IF(L233&lt;0,"Invalid Price; ","")&amp;IF(M233&lt;0,"Invalid Cost; ","")&amp;IF(OR(N233&lt;0,N233&gt;0.5),"Invalid Discount; ","")&amp;IF(COUNTIF(Lookups!$K$2:$K$4,P233)=0,"Invalid Status; ","")</f>
        <v/>
      </c>
      <c r="X233" s="15" t="str">
        <f t="shared" si="38"/>
        <v>2025-09</v>
      </c>
      <c r="Y233" t="str">
        <f t="shared" si="39"/>
        <v>Q3</v>
      </c>
      <c r="Z233" t="str">
        <f>IF(R233&gt;=Settings!$B$9,"High Value Customer",IF(R233&gt;=Settings!$B$10,"Medium Value Customer","Standard Customer"))</f>
        <v>High Value Customer</v>
      </c>
      <c r="AA233" t="str">
        <f>IF(R233&gt;=Settings!$B$9,"Large Order",IF(R233&gt;=Settings!$B$10,"Medium Order","Small Order"))</f>
        <v>Large Order</v>
      </c>
      <c r="AB233" t="str">
        <f>IF(N233=0,"No Discount",IF(N233&lt;=0.1,"Low Discount",IF(N233&lt;=Settings!$B$8,"Medium Discount","High Discount")))</f>
        <v>No Discount</v>
      </c>
      <c r="AC233" t="str">
        <f t="shared" si="40"/>
        <v>Profitable</v>
      </c>
      <c r="AD233" t="str">
        <f>IFERROR(VLOOKUP(E233,Lookups!$A$2:$E$11,2,FALSE),"Product Not Found")</f>
        <v>Office Chair</v>
      </c>
      <c r="AE233" t="str">
        <f>IFERROR(VLOOKUP(E233,Lookups!$A$2:$E$11,3,FALSE),"Category Not Found")</f>
        <v>Furniture</v>
      </c>
      <c r="AF233" t="str">
        <f>IFERROR(IF(L233=VLOOKUP(E233,Lookups!$A$2:$E$11,4,FALSE),"Price OK","Price Mismatch"),"Product Missing")</f>
        <v>Price OK</v>
      </c>
      <c r="AG233" t="str">
        <f t="shared" si="41"/>
        <v>Valid Email</v>
      </c>
      <c r="AH233" t="str">
        <f t="shared" si="42"/>
        <v>READY FOR REPORTING</v>
      </c>
      <c r="AI233" t="str">
        <f>IF(AND(LEFT(A233,LEN(Settings!$B$13))=Settings!$B$13,LEN(A233)=9),"Valid Format","Invalid Format")</f>
        <v>Valid Format</v>
      </c>
      <c r="AJ233" t="str">
        <f>IF(LEFT(C233,LEN(Settings!$B$14))=Settings!$B$14,"Valid Format","Invalid Format")</f>
        <v>Valid Format</v>
      </c>
      <c r="AK233" t="str">
        <f>IF(COUNTIF(Master_Data!$G$5:$G$14,C233)=1,"Known Customer","Customer Not in Master")</f>
        <v>Customer Not in Master</v>
      </c>
      <c r="AL233" t="str">
        <f>IF(U233&gt;=Settings!$B$11,"Target Met","Below Target")</f>
        <v>Target Met</v>
      </c>
      <c r="AM233" t="str">
        <f>IF(YEAR(B233)=Settings!$B$5,"Correct Year","Wrong Year")</f>
        <v>Correct Year</v>
      </c>
      <c r="AN233">
        <f t="shared" si="43"/>
        <v>4</v>
      </c>
    </row>
    <row r="234" spans="1:40">
      <c r="A234" t="str">
        <f>Raw_Data!A234</f>
        <v>ORD-10233</v>
      </c>
      <c r="B234" s="13">
        <f>Raw_Data!B234</f>
        <v>45661</v>
      </c>
      <c r="C234" t="str">
        <f>Raw_Data!C234</f>
        <v>C1058</v>
      </c>
      <c r="D234" t="str">
        <f>Raw_Data!D234</f>
        <v>client69@example.com</v>
      </c>
      <c r="E234" t="str">
        <f>Raw_Data!E234</f>
        <v>P1004</v>
      </c>
      <c r="F234" t="str">
        <f>Raw_Data!F234</f>
        <v>USB-C Hub</v>
      </c>
      <c r="G234" t="str">
        <f>Raw_Data!G234</f>
        <v>Accessories</v>
      </c>
      <c r="H234" t="str">
        <f>Raw_Data!H234</f>
        <v>South</v>
      </c>
      <c r="I234" t="str">
        <f>Raw_Data!I234</f>
        <v>Store</v>
      </c>
      <c r="J234" t="str">
        <f>Raw_Data!J234</f>
        <v>Ioana Pavel</v>
      </c>
      <c r="K234">
        <f>Raw_Data!K234</f>
        <v>5</v>
      </c>
      <c r="L234" s="12">
        <f>Raw_Data!L234</f>
        <v>175</v>
      </c>
      <c r="M234" s="12">
        <f>Raw_Data!M234</f>
        <v>98</v>
      </c>
      <c r="N234" s="14">
        <f>Raw_Data!N234</f>
        <v>0.1</v>
      </c>
      <c r="O234" t="str">
        <f>Raw_Data!O234</f>
        <v>Card</v>
      </c>
      <c r="P234" t="str">
        <f>Raw_Data!P234</f>
        <v>Completed</v>
      </c>
      <c r="Q234" s="12">
        <f t="shared" si="33"/>
        <v>875</v>
      </c>
      <c r="R234" s="12">
        <f t="shared" si="34"/>
        <v>787.5</v>
      </c>
      <c r="S234" s="12">
        <f t="shared" si="35"/>
        <v>490</v>
      </c>
      <c r="T234" s="12">
        <f t="shared" si="36"/>
        <v>297.5</v>
      </c>
      <c r="U234" s="11">
        <f t="shared" si="37"/>
        <v>0.37777777777777777</v>
      </c>
      <c r="V234" t="str">
        <f>IF(OR(A234="",COUNTIF($A$2:$A$301,A234)&gt;1,C234="",D234="",ISERROR(SEARCH("@",D234)),ISERROR(SEARCH(".",D234)),COUNTIF(Lookups!$A$2:$A$11,E234)=0,F234="",H234="",K234&lt;=0,L234&lt;0,M234&lt;0,N234&lt;0,N234&gt;0.5,COUNTIF(Lookups!$K$2:$K$4,P234)=0),"ERROR","VALID")</f>
        <v>VALID</v>
      </c>
      <c r="W234" s="2" t="str">
        <f>IF(A234="","Missing Order ID; ","")&amp;IF(COUNTIF($A$2:$A$301,A234)&gt;1,"Duplicate Order ID; ","")&amp;IF(C234="","Missing Customer ID; ","")&amp;IF(OR(D234="",ISERROR(SEARCH("@",D234)),ISERROR(SEARCH(".",D234))),"Invalid Email; ","")&amp;IF(COUNTIF(Lookups!$A$2:$A$11,E234)=0,"Unknown Product; ","")&amp;IF(F234="","Missing Product Name; ","")&amp;IF(H234="","Missing Region; ","")&amp;IF(K234&lt;=0,"Invalid Quantity; ","")&amp;IF(L234&lt;0,"Invalid Price; ","")&amp;IF(M234&lt;0,"Invalid Cost; ","")&amp;IF(OR(N234&lt;0,N234&gt;0.5),"Invalid Discount; ","")&amp;IF(COUNTIF(Lookups!$K$2:$K$4,P234)=0,"Invalid Status; ","")</f>
        <v/>
      </c>
      <c r="X234" s="15" t="str">
        <f t="shared" si="38"/>
        <v>2025-01</v>
      </c>
      <c r="Y234" t="str">
        <f t="shared" si="39"/>
        <v>Q1</v>
      </c>
      <c r="Z234" t="str">
        <f>IF(R234&gt;=Settings!$B$9,"High Value Customer",IF(R234&gt;=Settings!$B$10,"Medium Value Customer","Standard Customer"))</f>
        <v>Standard Customer</v>
      </c>
      <c r="AA234" t="str">
        <f>IF(R234&gt;=Settings!$B$9,"Large Order",IF(R234&gt;=Settings!$B$10,"Medium Order","Small Order"))</f>
        <v>Small Order</v>
      </c>
      <c r="AB234" t="str">
        <f>IF(N234=0,"No Discount",IF(N234&lt;=0.1,"Low Discount",IF(N234&lt;=Settings!$B$8,"Medium Discount","High Discount")))</f>
        <v>Low Discount</v>
      </c>
      <c r="AC234" t="str">
        <f t="shared" si="40"/>
        <v>Profitable</v>
      </c>
      <c r="AD234" t="str">
        <f>IFERROR(VLOOKUP(E234,Lookups!$A$2:$E$11,2,FALSE),"Product Not Found")</f>
        <v>USB-C Hub</v>
      </c>
      <c r="AE234" t="str">
        <f>IFERROR(VLOOKUP(E234,Lookups!$A$2:$E$11,3,FALSE),"Category Not Found")</f>
        <v>Accessories</v>
      </c>
      <c r="AF234" t="str">
        <f>IFERROR(IF(L234=VLOOKUP(E234,Lookups!$A$2:$E$11,4,FALSE),"Price OK","Price Mismatch"),"Product Missing")</f>
        <v>Price OK</v>
      </c>
      <c r="AG234" t="str">
        <f t="shared" si="41"/>
        <v>Valid Email</v>
      </c>
      <c r="AH234" t="str">
        <f t="shared" si="42"/>
        <v>READY FOR REPORTING</v>
      </c>
      <c r="AI234" t="str">
        <f>IF(AND(LEFT(A234,LEN(Settings!$B$13))=Settings!$B$13,LEN(A234)=9),"Valid Format","Invalid Format")</f>
        <v>Valid Format</v>
      </c>
      <c r="AJ234" t="str">
        <f>IF(LEFT(C234,LEN(Settings!$B$14))=Settings!$B$14,"Valid Format","Invalid Format")</f>
        <v>Valid Format</v>
      </c>
      <c r="AK234" t="str">
        <f>IF(COUNTIF(Master_Data!$G$5:$G$14,C234)=1,"Known Customer","Customer Not in Master")</f>
        <v>Customer Not in Master</v>
      </c>
      <c r="AL234" t="str">
        <f>IF(U234&gt;=Settings!$B$11,"Target Met","Below Target")</f>
        <v>Target Met</v>
      </c>
      <c r="AM234" t="str">
        <f>IF(YEAR(B234)=Settings!$B$5,"Correct Year","Wrong Year")</f>
        <v>Correct Year</v>
      </c>
      <c r="AN234">
        <f t="shared" si="43"/>
        <v>4</v>
      </c>
    </row>
    <row r="235" spans="1:40">
      <c r="A235" t="str">
        <f>Raw_Data!A235</f>
        <v>ORD-10234</v>
      </c>
      <c r="B235" s="13">
        <f>Raw_Data!B235</f>
        <v>45992</v>
      </c>
      <c r="C235" t="str">
        <f>Raw_Data!C235</f>
        <v>C1008</v>
      </c>
      <c r="D235" t="str">
        <f>Raw_Data!D235</f>
        <v>client171@example.com</v>
      </c>
      <c r="E235" t="str">
        <f>Raw_Data!E235</f>
        <v>P1005</v>
      </c>
      <c r="F235" t="str">
        <f>Raw_Data!F235</f>
        <v>24-inch Monitor</v>
      </c>
      <c r="G235" t="str">
        <f>Raw_Data!G235</f>
        <v>Electronics</v>
      </c>
      <c r="H235" t="str">
        <f>Raw_Data!H235</f>
        <v>Bucharest</v>
      </c>
      <c r="I235" t="str">
        <f>Raw_Data!I235</f>
        <v>Store</v>
      </c>
      <c r="J235" t="str">
        <f>Raw_Data!J235</f>
        <v>Elena Stan</v>
      </c>
      <c r="K235">
        <f>Raw_Data!K235</f>
        <v>6</v>
      </c>
      <c r="L235" s="12">
        <f>Raw_Data!L235</f>
        <v>720</v>
      </c>
      <c r="M235" s="12">
        <f>Raw_Data!M235</f>
        <v>510</v>
      </c>
      <c r="N235" s="14">
        <f>Raw_Data!N235</f>
        <v>0.2</v>
      </c>
      <c r="O235" t="str">
        <f>Raw_Data!O235</f>
        <v>Bank Transfer</v>
      </c>
      <c r="P235" t="str">
        <f>Raw_Data!P235</f>
        <v>Completed</v>
      </c>
      <c r="Q235" s="12">
        <f t="shared" si="33"/>
        <v>4320</v>
      </c>
      <c r="R235" s="12">
        <f t="shared" si="34"/>
        <v>3456</v>
      </c>
      <c r="S235" s="12">
        <f t="shared" si="35"/>
        <v>3060</v>
      </c>
      <c r="T235" s="12">
        <f t="shared" si="36"/>
        <v>396</v>
      </c>
      <c r="U235" s="11">
        <f t="shared" si="37"/>
        <v>0.11458333333333333</v>
      </c>
      <c r="V235" t="str">
        <f>IF(OR(A235="",COUNTIF($A$2:$A$301,A235)&gt;1,C235="",D235="",ISERROR(SEARCH("@",D235)),ISERROR(SEARCH(".",D235)),COUNTIF(Lookups!$A$2:$A$11,E235)=0,F235="",H235="",K235&lt;=0,L235&lt;0,M235&lt;0,N235&lt;0,N235&gt;0.5,COUNTIF(Lookups!$K$2:$K$4,P235)=0),"ERROR","VALID")</f>
        <v>VALID</v>
      </c>
      <c r="W235" s="2" t="str">
        <f>IF(A235="","Missing Order ID; ","")&amp;IF(COUNTIF($A$2:$A$301,A235)&gt;1,"Duplicate Order ID; ","")&amp;IF(C235="","Missing Customer ID; ","")&amp;IF(OR(D235="",ISERROR(SEARCH("@",D235)),ISERROR(SEARCH(".",D235))),"Invalid Email; ","")&amp;IF(COUNTIF(Lookups!$A$2:$A$11,E235)=0,"Unknown Product; ","")&amp;IF(F235="","Missing Product Name; ","")&amp;IF(H235="","Missing Region; ","")&amp;IF(K235&lt;=0,"Invalid Quantity; ","")&amp;IF(L235&lt;0,"Invalid Price; ","")&amp;IF(M235&lt;0,"Invalid Cost; ","")&amp;IF(OR(N235&lt;0,N235&gt;0.5),"Invalid Discount; ","")&amp;IF(COUNTIF(Lookups!$K$2:$K$4,P235)=0,"Invalid Status; ","")</f>
        <v/>
      </c>
      <c r="X235" s="15" t="str">
        <f t="shared" si="38"/>
        <v>2025-12</v>
      </c>
      <c r="Y235" t="str">
        <f t="shared" si="39"/>
        <v>Q4</v>
      </c>
      <c r="Z235" t="str">
        <f>IF(R235&gt;=Settings!$B$9,"High Value Customer",IF(R235&gt;=Settings!$B$10,"Medium Value Customer","Standard Customer"))</f>
        <v>Medium Value Customer</v>
      </c>
      <c r="AA235" t="str">
        <f>IF(R235&gt;=Settings!$B$9,"Large Order",IF(R235&gt;=Settings!$B$10,"Medium Order","Small Order"))</f>
        <v>Medium Order</v>
      </c>
      <c r="AB235" t="str">
        <f>IF(N235=0,"No Discount",IF(N235&lt;=0.1,"Low Discount",IF(N235&lt;=Settings!$B$8,"Medium Discount","High Discount")))</f>
        <v>Medium Discount</v>
      </c>
      <c r="AC235" t="str">
        <f t="shared" si="40"/>
        <v>Profitable</v>
      </c>
      <c r="AD235" t="str">
        <f>IFERROR(VLOOKUP(E235,Lookups!$A$2:$E$11,2,FALSE),"Product Not Found")</f>
        <v>24-inch Monitor</v>
      </c>
      <c r="AE235" t="str">
        <f>IFERROR(VLOOKUP(E235,Lookups!$A$2:$E$11,3,FALSE),"Category Not Found")</f>
        <v>Electronics</v>
      </c>
      <c r="AF235" t="str">
        <f>IFERROR(IF(L235=VLOOKUP(E235,Lookups!$A$2:$E$11,4,FALSE),"Price OK","Price Mismatch"),"Product Missing")</f>
        <v>Price OK</v>
      </c>
      <c r="AG235" t="str">
        <f t="shared" si="41"/>
        <v>Valid Email</v>
      </c>
      <c r="AH235" t="str">
        <f t="shared" si="42"/>
        <v>READY FOR REPORTING</v>
      </c>
      <c r="AI235" t="str">
        <f>IF(AND(LEFT(A235,LEN(Settings!$B$13))=Settings!$B$13,LEN(A235)=9),"Valid Format","Invalid Format")</f>
        <v>Valid Format</v>
      </c>
      <c r="AJ235" t="str">
        <f>IF(LEFT(C235,LEN(Settings!$B$14))=Settings!$B$14,"Valid Format","Invalid Format")</f>
        <v>Valid Format</v>
      </c>
      <c r="AK235" t="str">
        <f>IF(COUNTIF(Master_Data!$G$5:$G$14,C235)=1,"Known Customer","Customer Not in Master")</f>
        <v>Known Customer</v>
      </c>
      <c r="AL235" t="str">
        <f>IF(U235&gt;=Settings!$B$11,"Target Met","Below Target")</f>
        <v>Below Target</v>
      </c>
      <c r="AM235" t="str">
        <f>IF(YEAR(B235)=Settings!$B$5,"Correct Year","Wrong Year")</f>
        <v>Correct Year</v>
      </c>
      <c r="AN235">
        <f t="shared" si="43"/>
        <v>4</v>
      </c>
    </row>
    <row r="236" spans="1:40">
      <c r="A236" t="str">
        <f>Raw_Data!A236</f>
        <v>ORD-10235</v>
      </c>
      <c r="B236" s="13">
        <f>Raw_Data!B236</f>
        <v>46009</v>
      </c>
      <c r="C236" t="str">
        <f>Raw_Data!C236</f>
        <v>C1089</v>
      </c>
      <c r="D236" t="str">
        <f>Raw_Data!D236</f>
        <v>client31@example.com</v>
      </c>
      <c r="E236" t="str">
        <f>Raw_Data!E236</f>
        <v>P1007</v>
      </c>
      <c r="F236" t="str">
        <f>Raw_Data!F236</f>
        <v>Office Chair</v>
      </c>
      <c r="G236" t="str">
        <f>Raw_Data!G236</f>
        <v>Furniture</v>
      </c>
      <c r="H236" t="str">
        <f>Raw_Data!H236</f>
        <v>South</v>
      </c>
      <c r="I236" t="str">
        <f>Raw_Data!I236</f>
        <v>Store</v>
      </c>
      <c r="J236" t="str">
        <f>Raw_Data!J236</f>
        <v>Ioana Pavel</v>
      </c>
      <c r="K236">
        <f>Raw_Data!K236</f>
        <v>9</v>
      </c>
      <c r="L236" s="12">
        <f>Raw_Data!L236</f>
        <v>840</v>
      </c>
      <c r="M236" s="12">
        <f>Raw_Data!M236</f>
        <v>590</v>
      </c>
      <c r="N236" s="14">
        <f>Raw_Data!N236</f>
        <v>0.2</v>
      </c>
      <c r="O236" t="str">
        <f>Raw_Data!O236</f>
        <v>Bank Transfer</v>
      </c>
      <c r="P236" t="str">
        <f>Raw_Data!P236</f>
        <v>Completed</v>
      </c>
      <c r="Q236" s="12">
        <f t="shared" si="33"/>
        <v>7560</v>
      </c>
      <c r="R236" s="12">
        <f t="shared" si="34"/>
        <v>6048</v>
      </c>
      <c r="S236" s="12">
        <f t="shared" si="35"/>
        <v>5310</v>
      </c>
      <c r="T236" s="12">
        <f t="shared" si="36"/>
        <v>738</v>
      </c>
      <c r="U236" s="11">
        <f t="shared" si="37"/>
        <v>0.12202380952380952</v>
      </c>
      <c r="V236" t="str">
        <f>IF(OR(A236="",COUNTIF($A$2:$A$301,A236)&gt;1,C236="",D236="",ISERROR(SEARCH("@",D236)),ISERROR(SEARCH(".",D236)),COUNTIF(Lookups!$A$2:$A$11,E236)=0,F236="",H236="",K236&lt;=0,L236&lt;0,M236&lt;0,N236&lt;0,N236&gt;0.5,COUNTIF(Lookups!$K$2:$K$4,P236)=0),"ERROR","VALID")</f>
        <v>VALID</v>
      </c>
      <c r="W236" s="2" t="str">
        <f>IF(A236="","Missing Order ID; ","")&amp;IF(COUNTIF($A$2:$A$301,A236)&gt;1,"Duplicate Order ID; ","")&amp;IF(C236="","Missing Customer ID; ","")&amp;IF(OR(D236="",ISERROR(SEARCH("@",D236)),ISERROR(SEARCH(".",D236))),"Invalid Email; ","")&amp;IF(COUNTIF(Lookups!$A$2:$A$11,E236)=0,"Unknown Product; ","")&amp;IF(F236="","Missing Product Name; ","")&amp;IF(H236="","Missing Region; ","")&amp;IF(K236&lt;=0,"Invalid Quantity; ","")&amp;IF(L236&lt;0,"Invalid Price; ","")&amp;IF(M236&lt;0,"Invalid Cost; ","")&amp;IF(OR(N236&lt;0,N236&gt;0.5),"Invalid Discount; ","")&amp;IF(COUNTIF(Lookups!$K$2:$K$4,P236)=0,"Invalid Status; ","")</f>
        <v/>
      </c>
      <c r="X236" s="15" t="str">
        <f t="shared" si="38"/>
        <v>2025-12</v>
      </c>
      <c r="Y236" t="str">
        <f t="shared" si="39"/>
        <v>Q4</v>
      </c>
      <c r="Z236" t="str">
        <f>IF(R236&gt;=Settings!$B$9,"High Value Customer",IF(R236&gt;=Settings!$B$10,"Medium Value Customer","Standard Customer"))</f>
        <v>High Value Customer</v>
      </c>
      <c r="AA236" t="str">
        <f>IF(R236&gt;=Settings!$B$9,"Large Order",IF(R236&gt;=Settings!$B$10,"Medium Order","Small Order"))</f>
        <v>Large Order</v>
      </c>
      <c r="AB236" t="str">
        <f>IF(N236=0,"No Discount",IF(N236&lt;=0.1,"Low Discount",IF(N236&lt;=Settings!$B$8,"Medium Discount","High Discount")))</f>
        <v>Medium Discount</v>
      </c>
      <c r="AC236" t="str">
        <f t="shared" si="40"/>
        <v>Profitable</v>
      </c>
      <c r="AD236" t="str">
        <f>IFERROR(VLOOKUP(E236,Lookups!$A$2:$E$11,2,FALSE),"Product Not Found")</f>
        <v>Office Chair</v>
      </c>
      <c r="AE236" t="str">
        <f>IFERROR(VLOOKUP(E236,Lookups!$A$2:$E$11,3,FALSE),"Category Not Found")</f>
        <v>Furniture</v>
      </c>
      <c r="AF236" t="str">
        <f>IFERROR(IF(L236=VLOOKUP(E236,Lookups!$A$2:$E$11,4,FALSE),"Price OK","Price Mismatch"),"Product Missing")</f>
        <v>Price OK</v>
      </c>
      <c r="AG236" t="str">
        <f t="shared" si="41"/>
        <v>Valid Email</v>
      </c>
      <c r="AH236" t="str">
        <f t="shared" si="42"/>
        <v>READY FOR REPORTING</v>
      </c>
      <c r="AI236" t="str">
        <f>IF(AND(LEFT(A236,LEN(Settings!$B$13))=Settings!$B$13,LEN(A236)=9),"Valid Format","Invalid Format")</f>
        <v>Valid Format</v>
      </c>
      <c r="AJ236" t="str">
        <f>IF(LEFT(C236,LEN(Settings!$B$14))=Settings!$B$14,"Valid Format","Invalid Format")</f>
        <v>Valid Format</v>
      </c>
      <c r="AK236" t="str">
        <f>IF(COUNTIF(Master_Data!$G$5:$G$14,C236)=1,"Known Customer","Customer Not in Master")</f>
        <v>Customer Not in Master</v>
      </c>
      <c r="AL236" t="str">
        <f>IF(U236&gt;=Settings!$B$11,"Target Met","Below Target")</f>
        <v>Below Target</v>
      </c>
      <c r="AM236" t="str">
        <f>IF(YEAR(B236)=Settings!$B$5,"Correct Year","Wrong Year")</f>
        <v>Correct Year</v>
      </c>
      <c r="AN236">
        <f t="shared" si="43"/>
        <v>3</v>
      </c>
    </row>
    <row r="237" spans="1:40">
      <c r="A237" t="str">
        <f>Raw_Data!A237</f>
        <v>ORD-10236</v>
      </c>
      <c r="B237" s="13">
        <f>Raw_Data!B237</f>
        <v>45726</v>
      </c>
      <c r="C237" t="str">
        <f>Raw_Data!C237</f>
        <v>C1096</v>
      </c>
      <c r="D237" t="str">
        <f>Raw_Data!D237</f>
        <v>client156@example.com</v>
      </c>
      <c r="E237" t="str">
        <f>Raw_Data!E237</f>
        <v>P1004</v>
      </c>
      <c r="F237" t="str">
        <f>Raw_Data!F237</f>
        <v>USB-C Hub</v>
      </c>
      <c r="G237" t="str">
        <f>Raw_Data!G237</f>
        <v>Accessories</v>
      </c>
      <c r="H237" t="str">
        <f>Raw_Data!H237</f>
        <v>South</v>
      </c>
      <c r="I237" t="str">
        <f>Raw_Data!I237</f>
        <v>Store</v>
      </c>
      <c r="J237" t="str">
        <f>Raw_Data!J237</f>
        <v>Ioana Pavel</v>
      </c>
      <c r="K237">
        <f>Raw_Data!K237</f>
        <v>8</v>
      </c>
      <c r="L237" s="12">
        <f>Raw_Data!L237</f>
        <v>175</v>
      </c>
      <c r="M237" s="12">
        <f>Raw_Data!M237</f>
        <v>98</v>
      </c>
      <c r="N237" s="14">
        <f>Raw_Data!N237</f>
        <v>0</v>
      </c>
      <c r="O237" t="str">
        <f>Raw_Data!O237</f>
        <v>Online Wallet</v>
      </c>
      <c r="P237" t="str">
        <f>Raw_Data!P237</f>
        <v>Completed</v>
      </c>
      <c r="Q237" s="12">
        <f t="shared" si="33"/>
        <v>1400</v>
      </c>
      <c r="R237" s="12">
        <f t="shared" si="34"/>
        <v>1400</v>
      </c>
      <c r="S237" s="12">
        <f t="shared" si="35"/>
        <v>784</v>
      </c>
      <c r="T237" s="12">
        <f t="shared" si="36"/>
        <v>616</v>
      </c>
      <c r="U237" s="11">
        <f t="shared" si="37"/>
        <v>0.44</v>
      </c>
      <c r="V237" t="str">
        <f>IF(OR(A237="",COUNTIF($A$2:$A$301,A237)&gt;1,C237="",D237="",ISERROR(SEARCH("@",D237)),ISERROR(SEARCH(".",D237)),COUNTIF(Lookups!$A$2:$A$11,E237)=0,F237="",H237="",K237&lt;=0,L237&lt;0,M237&lt;0,N237&lt;0,N237&gt;0.5,COUNTIF(Lookups!$K$2:$K$4,P237)=0),"ERROR","VALID")</f>
        <v>VALID</v>
      </c>
      <c r="W237" s="2" t="str">
        <f>IF(A237="","Missing Order ID; ","")&amp;IF(COUNTIF($A$2:$A$301,A237)&gt;1,"Duplicate Order ID; ","")&amp;IF(C237="","Missing Customer ID; ","")&amp;IF(OR(D237="",ISERROR(SEARCH("@",D237)),ISERROR(SEARCH(".",D237))),"Invalid Email; ","")&amp;IF(COUNTIF(Lookups!$A$2:$A$11,E237)=0,"Unknown Product; ","")&amp;IF(F237="","Missing Product Name; ","")&amp;IF(H237="","Missing Region; ","")&amp;IF(K237&lt;=0,"Invalid Quantity; ","")&amp;IF(L237&lt;0,"Invalid Price; ","")&amp;IF(M237&lt;0,"Invalid Cost; ","")&amp;IF(OR(N237&lt;0,N237&gt;0.5),"Invalid Discount; ","")&amp;IF(COUNTIF(Lookups!$K$2:$K$4,P237)=0,"Invalid Status; ","")</f>
        <v/>
      </c>
      <c r="X237" s="15" t="str">
        <f t="shared" si="38"/>
        <v>2025-03</v>
      </c>
      <c r="Y237" t="str">
        <f t="shared" si="39"/>
        <v>Q1</v>
      </c>
      <c r="Z237" t="str">
        <f>IF(R237&gt;=Settings!$B$9,"High Value Customer",IF(R237&gt;=Settings!$B$10,"Medium Value Customer","Standard Customer"))</f>
        <v>Standard Customer</v>
      </c>
      <c r="AA237" t="str">
        <f>IF(R237&gt;=Settings!$B$9,"Large Order",IF(R237&gt;=Settings!$B$10,"Medium Order","Small Order"))</f>
        <v>Small Order</v>
      </c>
      <c r="AB237" t="str">
        <f>IF(N237=0,"No Discount",IF(N237&lt;=0.1,"Low Discount",IF(N237&lt;=Settings!$B$8,"Medium Discount","High Discount")))</f>
        <v>No Discount</v>
      </c>
      <c r="AC237" t="str">
        <f t="shared" si="40"/>
        <v>Profitable</v>
      </c>
      <c r="AD237" t="str">
        <f>IFERROR(VLOOKUP(E237,Lookups!$A$2:$E$11,2,FALSE),"Product Not Found")</f>
        <v>USB-C Hub</v>
      </c>
      <c r="AE237" t="str">
        <f>IFERROR(VLOOKUP(E237,Lookups!$A$2:$E$11,3,FALSE),"Category Not Found")</f>
        <v>Accessories</v>
      </c>
      <c r="AF237" t="str">
        <f>IFERROR(IF(L237=VLOOKUP(E237,Lookups!$A$2:$E$11,4,FALSE),"Price OK","Price Mismatch"),"Product Missing")</f>
        <v>Price OK</v>
      </c>
      <c r="AG237" t="str">
        <f t="shared" si="41"/>
        <v>Valid Email</v>
      </c>
      <c r="AH237" t="str">
        <f t="shared" si="42"/>
        <v>READY FOR REPORTING</v>
      </c>
      <c r="AI237" t="str">
        <f>IF(AND(LEFT(A237,LEN(Settings!$B$13))=Settings!$B$13,LEN(A237)=9),"Valid Format","Invalid Format")</f>
        <v>Valid Format</v>
      </c>
      <c r="AJ237" t="str">
        <f>IF(LEFT(C237,LEN(Settings!$B$14))=Settings!$B$14,"Valid Format","Invalid Format")</f>
        <v>Valid Format</v>
      </c>
      <c r="AK237" t="str">
        <f>IF(COUNTIF(Master_Data!$G$5:$G$14,C237)=1,"Known Customer","Customer Not in Master")</f>
        <v>Customer Not in Master</v>
      </c>
      <c r="AL237" t="str">
        <f>IF(U237&gt;=Settings!$B$11,"Target Met","Below Target")</f>
        <v>Target Met</v>
      </c>
      <c r="AM237" t="str">
        <f>IF(YEAR(B237)=Settings!$B$5,"Correct Year","Wrong Year")</f>
        <v>Correct Year</v>
      </c>
      <c r="AN237">
        <f t="shared" si="43"/>
        <v>4</v>
      </c>
    </row>
    <row r="238" spans="1:40">
      <c r="A238" t="str">
        <f>Raw_Data!A238</f>
        <v>ORD-10237</v>
      </c>
      <c r="B238" s="13">
        <f>Raw_Data!B238</f>
        <v>45998</v>
      </c>
      <c r="C238" t="str">
        <f>Raw_Data!C238</f>
        <v>C1097</v>
      </c>
      <c r="D238" t="str">
        <f>Raw_Data!D238</f>
        <v>client153@example.com</v>
      </c>
      <c r="E238" t="str">
        <f>Raw_Data!E238</f>
        <v>P1009</v>
      </c>
      <c r="F238" t="str">
        <f>Raw_Data!F238</f>
        <v>Webcam</v>
      </c>
      <c r="G238" t="str">
        <f>Raw_Data!G238</f>
        <v>Electronics</v>
      </c>
      <c r="H238" t="str">
        <f>Raw_Data!H238</f>
        <v>Bucharest</v>
      </c>
      <c r="I238" t="str">
        <f>Raw_Data!I238</f>
        <v>Marketplace</v>
      </c>
      <c r="J238" t="str">
        <f>Raw_Data!J238</f>
        <v>Mihai Radu</v>
      </c>
      <c r="K238">
        <f>Raw_Data!K238</f>
        <v>4</v>
      </c>
      <c r="L238" s="12">
        <f>Raw_Data!L238</f>
        <v>230</v>
      </c>
      <c r="M238" s="12">
        <f>Raw_Data!M238</f>
        <v>132</v>
      </c>
      <c r="N238" s="14">
        <f>Raw_Data!N238</f>
        <v>0</v>
      </c>
      <c r="O238" t="str">
        <f>Raw_Data!O238</f>
        <v>Cash</v>
      </c>
      <c r="P238" t="str">
        <f>Raw_Data!P238</f>
        <v>Cancelled</v>
      </c>
      <c r="Q238" s="12">
        <f t="shared" si="33"/>
        <v>920</v>
      </c>
      <c r="R238" s="12">
        <f t="shared" si="34"/>
        <v>920</v>
      </c>
      <c r="S238" s="12">
        <f t="shared" si="35"/>
        <v>528</v>
      </c>
      <c r="T238" s="12">
        <f t="shared" si="36"/>
        <v>392</v>
      </c>
      <c r="U238" s="11">
        <f t="shared" si="37"/>
        <v>0.42608695652173911</v>
      </c>
      <c r="V238" t="str">
        <f>IF(OR(A238="",COUNTIF($A$2:$A$301,A238)&gt;1,C238="",D238="",ISERROR(SEARCH("@",D238)),ISERROR(SEARCH(".",D238)),COUNTIF(Lookups!$A$2:$A$11,E238)=0,F238="",H238="",K238&lt;=0,L238&lt;0,M238&lt;0,N238&lt;0,N238&gt;0.5,COUNTIF(Lookups!$K$2:$K$4,P238)=0),"ERROR","VALID")</f>
        <v>VALID</v>
      </c>
      <c r="W238" s="2" t="str">
        <f>IF(A238="","Missing Order ID; ","")&amp;IF(COUNTIF($A$2:$A$301,A238)&gt;1,"Duplicate Order ID; ","")&amp;IF(C238="","Missing Customer ID; ","")&amp;IF(OR(D238="",ISERROR(SEARCH("@",D238)),ISERROR(SEARCH(".",D238))),"Invalid Email; ","")&amp;IF(COUNTIF(Lookups!$A$2:$A$11,E238)=0,"Unknown Product; ","")&amp;IF(F238="","Missing Product Name; ","")&amp;IF(H238="","Missing Region; ","")&amp;IF(K238&lt;=0,"Invalid Quantity; ","")&amp;IF(L238&lt;0,"Invalid Price; ","")&amp;IF(M238&lt;0,"Invalid Cost; ","")&amp;IF(OR(N238&lt;0,N238&gt;0.5),"Invalid Discount; ","")&amp;IF(COUNTIF(Lookups!$K$2:$K$4,P238)=0,"Invalid Status; ","")</f>
        <v/>
      </c>
      <c r="X238" s="15" t="str">
        <f t="shared" si="38"/>
        <v>2025-12</v>
      </c>
      <c r="Y238" t="str">
        <f t="shared" si="39"/>
        <v>Q4</v>
      </c>
      <c r="Z238" t="str">
        <f>IF(R238&gt;=Settings!$B$9,"High Value Customer",IF(R238&gt;=Settings!$B$10,"Medium Value Customer","Standard Customer"))</f>
        <v>Standard Customer</v>
      </c>
      <c r="AA238" t="str">
        <f>IF(R238&gt;=Settings!$B$9,"Large Order",IF(R238&gt;=Settings!$B$10,"Medium Order","Small Order"))</f>
        <v>Small Order</v>
      </c>
      <c r="AB238" t="str">
        <f>IF(N238=0,"No Discount",IF(N238&lt;=0.1,"Low Discount",IF(N238&lt;=Settings!$B$8,"Medium Discount","High Discount")))</f>
        <v>No Discount</v>
      </c>
      <c r="AC238" t="str">
        <f t="shared" si="40"/>
        <v>Profitable</v>
      </c>
      <c r="AD238" t="str">
        <f>IFERROR(VLOOKUP(E238,Lookups!$A$2:$E$11,2,FALSE),"Product Not Found")</f>
        <v>Webcam</v>
      </c>
      <c r="AE238" t="str">
        <f>IFERROR(VLOOKUP(E238,Lookups!$A$2:$E$11,3,FALSE),"Category Not Found")</f>
        <v>Electronics</v>
      </c>
      <c r="AF238" t="str">
        <f>IFERROR(IF(L238=VLOOKUP(E238,Lookups!$A$2:$E$11,4,FALSE),"Price OK","Price Mismatch"),"Product Missing")</f>
        <v>Price OK</v>
      </c>
      <c r="AG238" t="str">
        <f t="shared" si="41"/>
        <v>Valid Email</v>
      </c>
      <c r="AH238" t="str">
        <f t="shared" si="42"/>
        <v>READY FOR REPORTING</v>
      </c>
      <c r="AI238" t="str">
        <f>IF(AND(LEFT(A238,LEN(Settings!$B$13))=Settings!$B$13,LEN(A238)=9),"Valid Format","Invalid Format")</f>
        <v>Valid Format</v>
      </c>
      <c r="AJ238" t="str">
        <f>IF(LEFT(C238,LEN(Settings!$B$14))=Settings!$B$14,"Valid Format","Invalid Format")</f>
        <v>Valid Format</v>
      </c>
      <c r="AK238" t="str">
        <f>IF(COUNTIF(Master_Data!$G$5:$G$14,C238)=1,"Known Customer","Customer Not in Master")</f>
        <v>Customer Not in Master</v>
      </c>
      <c r="AL238" t="str">
        <f>IF(U238&gt;=Settings!$B$11,"Target Met","Below Target")</f>
        <v>Target Met</v>
      </c>
      <c r="AM238" t="str">
        <f>IF(YEAR(B238)=Settings!$B$5,"Correct Year","Wrong Year")</f>
        <v>Correct Year</v>
      </c>
      <c r="AN238">
        <f t="shared" si="43"/>
        <v>4</v>
      </c>
    </row>
    <row r="239" spans="1:40">
      <c r="A239" t="str">
        <f>Raw_Data!A239</f>
        <v>ORD-10238</v>
      </c>
      <c r="B239" s="13">
        <f>Raw_Data!B239</f>
        <v>45946</v>
      </c>
      <c r="C239" t="str">
        <f>Raw_Data!C239</f>
        <v>C1116</v>
      </c>
      <c r="D239" t="str">
        <f>Raw_Data!D239</f>
        <v>client130@example.com</v>
      </c>
      <c r="E239" t="str">
        <f>Raw_Data!E239</f>
        <v>P1002</v>
      </c>
      <c r="F239" t="str">
        <f>Raw_Data!F239</f>
        <v>Wireless Mouse</v>
      </c>
      <c r="G239" t="str">
        <f>Raw_Data!G239</f>
        <v>Accessories</v>
      </c>
      <c r="H239" t="str">
        <f>Raw_Data!H239</f>
        <v>North</v>
      </c>
      <c r="I239" t="str">
        <f>Raw_Data!I239</f>
        <v>Marketplace</v>
      </c>
      <c r="J239" t="str">
        <f>Raw_Data!J239</f>
        <v>Ioana Pavel</v>
      </c>
      <c r="K239">
        <f>Raw_Data!K239</f>
        <v>2</v>
      </c>
      <c r="L239" s="12">
        <f>Raw_Data!L239</f>
        <v>85</v>
      </c>
      <c r="M239" s="12">
        <f>Raw_Data!M239</f>
        <v>44</v>
      </c>
      <c r="N239" s="14">
        <f>Raw_Data!N239</f>
        <v>0</v>
      </c>
      <c r="O239" t="str">
        <f>Raw_Data!O239</f>
        <v>Bank Transfer</v>
      </c>
      <c r="P239" t="str">
        <f>Raw_Data!P239</f>
        <v>Returned</v>
      </c>
      <c r="Q239" s="12">
        <f t="shared" si="33"/>
        <v>170</v>
      </c>
      <c r="R239" s="12">
        <f t="shared" si="34"/>
        <v>170</v>
      </c>
      <c r="S239" s="12">
        <f t="shared" si="35"/>
        <v>88</v>
      </c>
      <c r="T239" s="12">
        <f t="shared" si="36"/>
        <v>82</v>
      </c>
      <c r="U239" s="11">
        <f t="shared" si="37"/>
        <v>0.4823529411764706</v>
      </c>
      <c r="V239" t="str">
        <f>IF(OR(A239="",COUNTIF($A$2:$A$301,A239)&gt;1,C239="",D239="",ISERROR(SEARCH("@",D239)),ISERROR(SEARCH(".",D239)),COUNTIF(Lookups!$A$2:$A$11,E239)=0,F239="",H239="",K239&lt;=0,L239&lt;0,M239&lt;0,N239&lt;0,N239&gt;0.5,COUNTIF(Lookups!$K$2:$K$4,P239)=0),"ERROR","VALID")</f>
        <v>VALID</v>
      </c>
      <c r="W239" s="2" t="str">
        <f>IF(A239="","Missing Order ID; ","")&amp;IF(COUNTIF($A$2:$A$301,A239)&gt;1,"Duplicate Order ID; ","")&amp;IF(C239="","Missing Customer ID; ","")&amp;IF(OR(D239="",ISERROR(SEARCH("@",D239)),ISERROR(SEARCH(".",D239))),"Invalid Email; ","")&amp;IF(COUNTIF(Lookups!$A$2:$A$11,E239)=0,"Unknown Product; ","")&amp;IF(F239="","Missing Product Name; ","")&amp;IF(H239="","Missing Region; ","")&amp;IF(K239&lt;=0,"Invalid Quantity; ","")&amp;IF(L239&lt;0,"Invalid Price; ","")&amp;IF(M239&lt;0,"Invalid Cost; ","")&amp;IF(OR(N239&lt;0,N239&gt;0.5),"Invalid Discount; ","")&amp;IF(COUNTIF(Lookups!$K$2:$K$4,P239)=0,"Invalid Status; ","")</f>
        <v/>
      </c>
      <c r="X239" s="15" t="str">
        <f t="shared" si="38"/>
        <v>2025-10</v>
      </c>
      <c r="Y239" t="str">
        <f t="shared" si="39"/>
        <v>Q4</v>
      </c>
      <c r="Z239" t="str">
        <f>IF(R239&gt;=Settings!$B$9,"High Value Customer",IF(R239&gt;=Settings!$B$10,"Medium Value Customer","Standard Customer"))</f>
        <v>Standard Customer</v>
      </c>
      <c r="AA239" t="str">
        <f>IF(R239&gt;=Settings!$B$9,"Large Order",IF(R239&gt;=Settings!$B$10,"Medium Order","Small Order"))</f>
        <v>Small Order</v>
      </c>
      <c r="AB239" t="str">
        <f>IF(N239=0,"No Discount",IF(N239&lt;=0.1,"Low Discount",IF(N239&lt;=Settings!$B$8,"Medium Discount","High Discount")))</f>
        <v>No Discount</v>
      </c>
      <c r="AC239" t="str">
        <f t="shared" si="40"/>
        <v>Profitable</v>
      </c>
      <c r="AD239" t="str">
        <f>IFERROR(VLOOKUP(E239,Lookups!$A$2:$E$11,2,FALSE),"Product Not Found")</f>
        <v>Wireless Mouse</v>
      </c>
      <c r="AE239" t="str">
        <f>IFERROR(VLOOKUP(E239,Lookups!$A$2:$E$11,3,FALSE),"Category Not Found")</f>
        <v>Accessories</v>
      </c>
      <c r="AF239" t="str">
        <f>IFERROR(IF(L239=VLOOKUP(E239,Lookups!$A$2:$E$11,4,FALSE),"Price OK","Price Mismatch"),"Product Missing")</f>
        <v>Price OK</v>
      </c>
      <c r="AG239" t="str">
        <f t="shared" si="41"/>
        <v>Valid Email</v>
      </c>
      <c r="AH239" t="str">
        <f t="shared" si="42"/>
        <v>READY FOR REPORTING</v>
      </c>
      <c r="AI239" t="str">
        <f>IF(AND(LEFT(A239,LEN(Settings!$B$13))=Settings!$B$13,LEN(A239)=9),"Valid Format","Invalid Format")</f>
        <v>Valid Format</v>
      </c>
      <c r="AJ239" t="str">
        <f>IF(LEFT(C239,LEN(Settings!$B$14))=Settings!$B$14,"Valid Format","Invalid Format")</f>
        <v>Valid Format</v>
      </c>
      <c r="AK239" t="str">
        <f>IF(COUNTIF(Master_Data!$G$5:$G$14,C239)=1,"Known Customer","Customer Not in Master")</f>
        <v>Customer Not in Master</v>
      </c>
      <c r="AL239" t="str">
        <f>IF(U239&gt;=Settings!$B$11,"Target Met","Below Target")</f>
        <v>Target Met</v>
      </c>
      <c r="AM239" t="str">
        <f>IF(YEAR(B239)=Settings!$B$5,"Correct Year","Wrong Year")</f>
        <v>Correct Year</v>
      </c>
      <c r="AN239">
        <f t="shared" si="43"/>
        <v>4</v>
      </c>
    </row>
    <row r="240" spans="1:40">
      <c r="A240" t="str">
        <f>Raw_Data!A240</f>
        <v>ORD-10239</v>
      </c>
      <c r="B240" s="13">
        <f>Raw_Data!B240</f>
        <v>45825</v>
      </c>
      <c r="C240" t="str">
        <f>Raw_Data!C240</f>
        <v>C1088</v>
      </c>
      <c r="D240" t="str">
        <f>Raw_Data!D240</f>
        <v>client53@example.com</v>
      </c>
      <c r="E240" t="str">
        <f>Raw_Data!E240</f>
        <v>P1003</v>
      </c>
      <c r="F240" t="str">
        <f>Raw_Data!F240</f>
        <v>Mechanical Keyboard</v>
      </c>
      <c r="G240" t="str">
        <f>Raw_Data!G240</f>
        <v>Accessories</v>
      </c>
      <c r="H240" t="str">
        <f>Raw_Data!H240</f>
        <v>West</v>
      </c>
      <c r="I240" t="str">
        <f>Raw_Data!I240</f>
        <v>Store</v>
      </c>
      <c r="J240" t="str">
        <f>Raw_Data!J240</f>
        <v>Andrei Pop</v>
      </c>
      <c r="K240">
        <f>Raw_Data!K240</f>
        <v>9</v>
      </c>
      <c r="L240" s="12">
        <f>Raw_Data!L240</f>
        <v>265</v>
      </c>
      <c r="M240" s="12">
        <f>Raw_Data!M240</f>
        <v>155</v>
      </c>
      <c r="N240" s="14">
        <f>Raw_Data!N240</f>
        <v>0.1</v>
      </c>
      <c r="O240" t="str">
        <f>Raw_Data!O240</f>
        <v>Online Wallet</v>
      </c>
      <c r="P240" t="str">
        <f>Raw_Data!P240</f>
        <v>Completed</v>
      </c>
      <c r="Q240" s="12">
        <f t="shared" si="33"/>
        <v>2385</v>
      </c>
      <c r="R240" s="12">
        <f t="shared" si="34"/>
        <v>2146.5</v>
      </c>
      <c r="S240" s="12">
        <f t="shared" si="35"/>
        <v>1395</v>
      </c>
      <c r="T240" s="12">
        <f t="shared" si="36"/>
        <v>751.5</v>
      </c>
      <c r="U240" s="11">
        <f t="shared" si="37"/>
        <v>0.35010482180293501</v>
      </c>
      <c r="V240" t="str">
        <f>IF(OR(A240="",COUNTIF($A$2:$A$301,A240)&gt;1,C240="",D240="",ISERROR(SEARCH("@",D240)),ISERROR(SEARCH(".",D240)),COUNTIF(Lookups!$A$2:$A$11,E240)=0,F240="",H240="",K240&lt;=0,L240&lt;0,M240&lt;0,N240&lt;0,N240&gt;0.5,COUNTIF(Lookups!$K$2:$K$4,P240)=0),"ERROR","VALID")</f>
        <v>VALID</v>
      </c>
      <c r="W240" s="2" t="str">
        <f>IF(A240="","Missing Order ID; ","")&amp;IF(COUNTIF($A$2:$A$301,A240)&gt;1,"Duplicate Order ID; ","")&amp;IF(C240="","Missing Customer ID; ","")&amp;IF(OR(D240="",ISERROR(SEARCH("@",D240)),ISERROR(SEARCH(".",D240))),"Invalid Email; ","")&amp;IF(COUNTIF(Lookups!$A$2:$A$11,E240)=0,"Unknown Product; ","")&amp;IF(F240="","Missing Product Name; ","")&amp;IF(H240="","Missing Region; ","")&amp;IF(K240&lt;=0,"Invalid Quantity; ","")&amp;IF(L240&lt;0,"Invalid Price; ","")&amp;IF(M240&lt;0,"Invalid Cost; ","")&amp;IF(OR(N240&lt;0,N240&gt;0.5),"Invalid Discount; ","")&amp;IF(COUNTIF(Lookups!$K$2:$K$4,P240)=0,"Invalid Status; ","")</f>
        <v/>
      </c>
      <c r="X240" s="15" t="str">
        <f t="shared" si="38"/>
        <v>2025-06</v>
      </c>
      <c r="Y240" t="str">
        <f t="shared" si="39"/>
        <v>Q2</v>
      </c>
      <c r="Z240" t="str">
        <f>IF(R240&gt;=Settings!$B$9,"High Value Customer",IF(R240&gt;=Settings!$B$10,"Medium Value Customer","Standard Customer"))</f>
        <v>Medium Value Customer</v>
      </c>
      <c r="AA240" t="str">
        <f>IF(R240&gt;=Settings!$B$9,"Large Order",IF(R240&gt;=Settings!$B$10,"Medium Order","Small Order"))</f>
        <v>Medium Order</v>
      </c>
      <c r="AB240" t="str">
        <f>IF(N240=0,"No Discount",IF(N240&lt;=0.1,"Low Discount",IF(N240&lt;=Settings!$B$8,"Medium Discount","High Discount")))</f>
        <v>Low Discount</v>
      </c>
      <c r="AC240" t="str">
        <f t="shared" si="40"/>
        <v>Profitable</v>
      </c>
      <c r="AD240" t="str">
        <f>IFERROR(VLOOKUP(E240,Lookups!$A$2:$E$11,2,FALSE),"Product Not Found")</f>
        <v>Mechanical Keyboard</v>
      </c>
      <c r="AE240" t="str">
        <f>IFERROR(VLOOKUP(E240,Lookups!$A$2:$E$11,3,FALSE),"Category Not Found")</f>
        <v>Accessories</v>
      </c>
      <c r="AF240" t="str">
        <f>IFERROR(IF(L240=VLOOKUP(E240,Lookups!$A$2:$E$11,4,FALSE),"Price OK","Price Mismatch"),"Product Missing")</f>
        <v>Price OK</v>
      </c>
      <c r="AG240" t="str">
        <f t="shared" si="41"/>
        <v>Valid Email</v>
      </c>
      <c r="AH240" t="str">
        <f t="shared" si="42"/>
        <v>READY FOR REPORTING</v>
      </c>
      <c r="AI240" t="str">
        <f>IF(AND(LEFT(A240,LEN(Settings!$B$13))=Settings!$B$13,LEN(A240)=9),"Valid Format","Invalid Format")</f>
        <v>Valid Format</v>
      </c>
      <c r="AJ240" t="str">
        <f>IF(LEFT(C240,LEN(Settings!$B$14))=Settings!$B$14,"Valid Format","Invalid Format")</f>
        <v>Valid Format</v>
      </c>
      <c r="AK240" t="str">
        <f>IF(COUNTIF(Master_Data!$G$5:$G$14,C240)=1,"Known Customer","Customer Not in Master")</f>
        <v>Customer Not in Master</v>
      </c>
      <c r="AL240" t="str">
        <f>IF(U240&gt;=Settings!$B$11,"Target Met","Below Target")</f>
        <v>Target Met</v>
      </c>
      <c r="AM240" t="str">
        <f>IF(YEAR(B240)=Settings!$B$5,"Correct Year","Wrong Year")</f>
        <v>Correct Year</v>
      </c>
      <c r="AN240">
        <f t="shared" si="43"/>
        <v>4</v>
      </c>
    </row>
    <row r="241" spans="1:40">
      <c r="A241" t="str">
        <f>Raw_Data!A241</f>
        <v>ORD-10240</v>
      </c>
      <c r="B241" s="13">
        <f>Raw_Data!B241</f>
        <v>45890</v>
      </c>
      <c r="C241" t="str">
        <f>Raw_Data!C241</f>
        <v>C1059</v>
      </c>
      <c r="D241" t="str">
        <f>Raw_Data!D241</f>
        <v>client145@example.com</v>
      </c>
      <c r="E241" t="str">
        <f>Raw_Data!E241</f>
        <v>P1001</v>
      </c>
      <c r="F241" t="str">
        <f>Raw_Data!F241</f>
        <v>Laptop Stand</v>
      </c>
      <c r="G241" t="str">
        <f>Raw_Data!G241</f>
        <v>Accessories</v>
      </c>
      <c r="H241" t="str">
        <f>Raw_Data!H241</f>
        <v>Bucharest</v>
      </c>
      <c r="I241" t="str">
        <f>Raw_Data!I241</f>
        <v>Marketplace</v>
      </c>
      <c r="J241" t="str">
        <f>Raw_Data!J241</f>
        <v>Mihai Radu</v>
      </c>
      <c r="K241">
        <f>Raw_Data!K241</f>
        <v>3</v>
      </c>
      <c r="L241" s="12">
        <f>Raw_Data!L241</f>
        <v>95</v>
      </c>
      <c r="M241" s="12">
        <f>Raw_Data!M241</f>
        <v>52</v>
      </c>
      <c r="N241" s="14">
        <f>Raw_Data!N241</f>
        <v>0.15</v>
      </c>
      <c r="O241" t="str">
        <f>Raw_Data!O241</f>
        <v>Cash</v>
      </c>
      <c r="P241" t="str">
        <f>Raw_Data!P241</f>
        <v>Completed</v>
      </c>
      <c r="Q241" s="12">
        <f t="shared" si="33"/>
        <v>285</v>
      </c>
      <c r="R241" s="12">
        <f t="shared" si="34"/>
        <v>242.25</v>
      </c>
      <c r="S241" s="12">
        <f t="shared" si="35"/>
        <v>156</v>
      </c>
      <c r="T241" s="12">
        <f t="shared" si="36"/>
        <v>86.25</v>
      </c>
      <c r="U241" s="11">
        <f t="shared" si="37"/>
        <v>0.35603715170278638</v>
      </c>
      <c r="V241" t="str">
        <f>IF(OR(A241="",COUNTIF($A$2:$A$301,A241)&gt;1,C241="",D241="",ISERROR(SEARCH("@",D241)),ISERROR(SEARCH(".",D241)),COUNTIF(Lookups!$A$2:$A$11,E241)=0,F241="",H241="",K241&lt;=0,L241&lt;0,M241&lt;0,N241&lt;0,N241&gt;0.5,COUNTIF(Lookups!$K$2:$K$4,P241)=0),"ERROR","VALID")</f>
        <v>VALID</v>
      </c>
      <c r="W241" s="2" t="str">
        <f>IF(A241="","Missing Order ID; ","")&amp;IF(COUNTIF($A$2:$A$301,A241)&gt;1,"Duplicate Order ID; ","")&amp;IF(C241="","Missing Customer ID; ","")&amp;IF(OR(D241="",ISERROR(SEARCH("@",D241)),ISERROR(SEARCH(".",D241))),"Invalid Email; ","")&amp;IF(COUNTIF(Lookups!$A$2:$A$11,E241)=0,"Unknown Product; ","")&amp;IF(F241="","Missing Product Name; ","")&amp;IF(H241="","Missing Region; ","")&amp;IF(K241&lt;=0,"Invalid Quantity; ","")&amp;IF(L241&lt;0,"Invalid Price; ","")&amp;IF(M241&lt;0,"Invalid Cost; ","")&amp;IF(OR(N241&lt;0,N241&gt;0.5),"Invalid Discount; ","")&amp;IF(COUNTIF(Lookups!$K$2:$K$4,P241)=0,"Invalid Status; ","")</f>
        <v/>
      </c>
      <c r="X241" s="15" t="str">
        <f t="shared" si="38"/>
        <v>2025-08</v>
      </c>
      <c r="Y241" t="str">
        <f t="shared" si="39"/>
        <v>Q3</v>
      </c>
      <c r="Z241" t="str">
        <f>IF(R241&gt;=Settings!$B$9,"High Value Customer",IF(R241&gt;=Settings!$B$10,"Medium Value Customer","Standard Customer"))</f>
        <v>Standard Customer</v>
      </c>
      <c r="AA241" t="str">
        <f>IF(R241&gt;=Settings!$B$9,"Large Order",IF(R241&gt;=Settings!$B$10,"Medium Order","Small Order"))</f>
        <v>Small Order</v>
      </c>
      <c r="AB241" t="str">
        <f>IF(N241=0,"No Discount",IF(N241&lt;=0.1,"Low Discount",IF(N241&lt;=Settings!$B$8,"Medium Discount","High Discount")))</f>
        <v>Medium Discount</v>
      </c>
      <c r="AC241" t="str">
        <f t="shared" si="40"/>
        <v>Profitable</v>
      </c>
      <c r="AD241" t="str">
        <f>IFERROR(VLOOKUP(E241,Lookups!$A$2:$E$11,2,FALSE),"Product Not Found")</f>
        <v>Laptop Stand</v>
      </c>
      <c r="AE241" t="str">
        <f>IFERROR(VLOOKUP(E241,Lookups!$A$2:$E$11,3,FALSE),"Category Not Found")</f>
        <v>Accessories</v>
      </c>
      <c r="AF241" t="str">
        <f>IFERROR(IF(L241=VLOOKUP(E241,Lookups!$A$2:$E$11,4,FALSE),"Price OK","Price Mismatch"),"Product Missing")</f>
        <v>Price OK</v>
      </c>
      <c r="AG241" t="str">
        <f t="shared" si="41"/>
        <v>Valid Email</v>
      </c>
      <c r="AH241" t="str">
        <f t="shared" si="42"/>
        <v>READY FOR REPORTING</v>
      </c>
      <c r="AI241" t="str">
        <f>IF(AND(LEFT(A241,LEN(Settings!$B$13))=Settings!$B$13,LEN(A241)=9),"Valid Format","Invalid Format")</f>
        <v>Valid Format</v>
      </c>
      <c r="AJ241" t="str">
        <f>IF(LEFT(C241,LEN(Settings!$B$14))=Settings!$B$14,"Valid Format","Invalid Format")</f>
        <v>Valid Format</v>
      </c>
      <c r="AK241" t="str">
        <f>IF(COUNTIF(Master_Data!$G$5:$G$14,C241)=1,"Known Customer","Customer Not in Master")</f>
        <v>Customer Not in Master</v>
      </c>
      <c r="AL241" t="str">
        <f>IF(U241&gt;=Settings!$B$11,"Target Met","Below Target")</f>
        <v>Target Met</v>
      </c>
      <c r="AM241" t="str">
        <f>IF(YEAR(B241)=Settings!$B$5,"Correct Year","Wrong Year")</f>
        <v>Correct Year</v>
      </c>
      <c r="AN241">
        <f t="shared" si="43"/>
        <v>4</v>
      </c>
    </row>
    <row r="242" spans="1:40">
      <c r="A242" t="str">
        <f>Raw_Data!A242</f>
        <v>ORD-10241</v>
      </c>
      <c r="B242" s="13">
        <f>Raw_Data!B242</f>
        <v>45860</v>
      </c>
      <c r="C242" t="str">
        <f>Raw_Data!C242</f>
        <v>C1028</v>
      </c>
      <c r="D242" t="str">
        <f>Raw_Data!D242</f>
        <v>client149@example.com</v>
      </c>
      <c r="E242" t="str">
        <f>Raw_Data!E242</f>
        <v>P1001</v>
      </c>
      <c r="F242" t="str">
        <f>Raw_Data!F242</f>
        <v>Laptop Stand</v>
      </c>
      <c r="G242" t="str">
        <f>Raw_Data!G242</f>
        <v>Accessories</v>
      </c>
      <c r="H242" t="str">
        <f>Raw_Data!H242</f>
        <v>Bucharest</v>
      </c>
      <c r="I242" t="str">
        <f>Raw_Data!I242</f>
        <v>Online</v>
      </c>
      <c r="J242" t="str">
        <f>Raw_Data!J242</f>
        <v>Mihai Radu</v>
      </c>
      <c r="K242">
        <f>Raw_Data!K242</f>
        <v>5</v>
      </c>
      <c r="L242" s="12">
        <f>Raw_Data!L242</f>
        <v>95</v>
      </c>
      <c r="M242" s="12">
        <f>Raw_Data!M242</f>
        <v>52</v>
      </c>
      <c r="N242" s="14">
        <f>Raw_Data!N242</f>
        <v>0</v>
      </c>
      <c r="O242" t="str">
        <f>Raw_Data!O242</f>
        <v>Cash</v>
      </c>
      <c r="P242" t="str">
        <f>Raw_Data!P242</f>
        <v>Cancelled</v>
      </c>
      <c r="Q242" s="12">
        <f t="shared" si="33"/>
        <v>475</v>
      </c>
      <c r="R242" s="12">
        <f t="shared" si="34"/>
        <v>475</v>
      </c>
      <c r="S242" s="12">
        <f t="shared" si="35"/>
        <v>260</v>
      </c>
      <c r="T242" s="12">
        <f t="shared" si="36"/>
        <v>215</v>
      </c>
      <c r="U242" s="11">
        <f t="shared" si="37"/>
        <v>0.45263157894736844</v>
      </c>
      <c r="V242" t="str">
        <f>IF(OR(A242="",COUNTIF($A$2:$A$301,A242)&gt;1,C242="",D242="",ISERROR(SEARCH("@",D242)),ISERROR(SEARCH(".",D242)),COUNTIF(Lookups!$A$2:$A$11,E242)=0,F242="",H242="",K242&lt;=0,L242&lt;0,M242&lt;0,N242&lt;0,N242&gt;0.5,COUNTIF(Lookups!$K$2:$K$4,P242)=0),"ERROR","VALID")</f>
        <v>VALID</v>
      </c>
      <c r="W242" s="2" t="str">
        <f>IF(A242="","Missing Order ID; ","")&amp;IF(COUNTIF($A$2:$A$301,A242)&gt;1,"Duplicate Order ID; ","")&amp;IF(C242="","Missing Customer ID; ","")&amp;IF(OR(D242="",ISERROR(SEARCH("@",D242)),ISERROR(SEARCH(".",D242))),"Invalid Email; ","")&amp;IF(COUNTIF(Lookups!$A$2:$A$11,E242)=0,"Unknown Product; ","")&amp;IF(F242="","Missing Product Name; ","")&amp;IF(H242="","Missing Region; ","")&amp;IF(K242&lt;=0,"Invalid Quantity; ","")&amp;IF(L242&lt;0,"Invalid Price; ","")&amp;IF(M242&lt;0,"Invalid Cost; ","")&amp;IF(OR(N242&lt;0,N242&gt;0.5),"Invalid Discount; ","")&amp;IF(COUNTIF(Lookups!$K$2:$K$4,P242)=0,"Invalid Status; ","")</f>
        <v/>
      </c>
      <c r="X242" s="15" t="str">
        <f t="shared" si="38"/>
        <v>2025-07</v>
      </c>
      <c r="Y242" t="str">
        <f t="shared" si="39"/>
        <v>Q3</v>
      </c>
      <c r="Z242" t="str">
        <f>IF(R242&gt;=Settings!$B$9,"High Value Customer",IF(R242&gt;=Settings!$B$10,"Medium Value Customer","Standard Customer"))</f>
        <v>Standard Customer</v>
      </c>
      <c r="AA242" t="str">
        <f>IF(R242&gt;=Settings!$B$9,"Large Order",IF(R242&gt;=Settings!$B$10,"Medium Order","Small Order"))</f>
        <v>Small Order</v>
      </c>
      <c r="AB242" t="str">
        <f>IF(N242=0,"No Discount",IF(N242&lt;=0.1,"Low Discount",IF(N242&lt;=Settings!$B$8,"Medium Discount","High Discount")))</f>
        <v>No Discount</v>
      </c>
      <c r="AC242" t="str">
        <f t="shared" si="40"/>
        <v>Profitable</v>
      </c>
      <c r="AD242" t="str">
        <f>IFERROR(VLOOKUP(E242,Lookups!$A$2:$E$11,2,FALSE),"Product Not Found")</f>
        <v>Laptop Stand</v>
      </c>
      <c r="AE242" t="str">
        <f>IFERROR(VLOOKUP(E242,Lookups!$A$2:$E$11,3,FALSE),"Category Not Found")</f>
        <v>Accessories</v>
      </c>
      <c r="AF242" t="str">
        <f>IFERROR(IF(L242=VLOOKUP(E242,Lookups!$A$2:$E$11,4,FALSE),"Price OK","Price Mismatch"),"Product Missing")</f>
        <v>Price OK</v>
      </c>
      <c r="AG242" t="str">
        <f t="shared" si="41"/>
        <v>Valid Email</v>
      </c>
      <c r="AH242" t="str">
        <f t="shared" si="42"/>
        <v>READY FOR REPORTING</v>
      </c>
      <c r="AI242" t="str">
        <f>IF(AND(LEFT(A242,LEN(Settings!$B$13))=Settings!$B$13,LEN(A242)=9),"Valid Format","Invalid Format")</f>
        <v>Valid Format</v>
      </c>
      <c r="AJ242" t="str">
        <f>IF(LEFT(C242,LEN(Settings!$B$14))=Settings!$B$14,"Valid Format","Invalid Format")</f>
        <v>Valid Format</v>
      </c>
      <c r="AK242" t="str">
        <f>IF(COUNTIF(Master_Data!$G$5:$G$14,C242)=1,"Known Customer","Customer Not in Master")</f>
        <v>Customer Not in Master</v>
      </c>
      <c r="AL242" t="str">
        <f>IF(U242&gt;=Settings!$B$11,"Target Met","Below Target")</f>
        <v>Target Met</v>
      </c>
      <c r="AM242" t="str">
        <f>IF(YEAR(B242)=Settings!$B$5,"Correct Year","Wrong Year")</f>
        <v>Correct Year</v>
      </c>
      <c r="AN242">
        <f t="shared" si="43"/>
        <v>4</v>
      </c>
    </row>
    <row r="243" spans="1:40">
      <c r="A243" t="str">
        <f>Raw_Data!A243</f>
        <v>ORD-10242</v>
      </c>
      <c r="B243" s="13">
        <f>Raw_Data!B243</f>
        <v>45935</v>
      </c>
      <c r="C243" t="str">
        <f>Raw_Data!C243</f>
        <v>C1005</v>
      </c>
      <c r="D243" t="str">
        <f>Raw_Data!D243</f>
        <v>client74@example.com</v>
      </c>
      <c r="E243" t="str">
        <f>Raw_Data!E243</f>
        <v>P1002</v>
      </c>
      <c r="F243" t="str">
        <f>Raw_Data!F243</f>
        <v>Wireless Mouse</v>
      </c>
      <c r="G243" t="str">
        <f>Raw_Data!G243</f>
        <v>Accessories</v>
      </c>
      <c r="H243" t="str">
        <f>Raw_Data!H243</f>
        <v>East</v>
      </c>
      <c r="I243" t="str">
        <f>Raw_Data!I243</f>
        <v>Online</v>
      </c>
      <c r="J243" t="str">
        <f>Raw_Data!J243</f>
        <v>Maria Ionescu</v>
      </c>
      <c r="K243">
        <f>Raw_Data!K243</f>
        <v>1</v>
      </c>
      <c r="L243" s="12">
        <f>Raw_Data!L243</f>
        <v>85</v>
      </c>
      <c r="M243" s="12">
        <f>Raw_Data!M243</f>
        <v>44</v>
      </c>
      <c r="N243" s="14">
        <f>Raw_Data!N243</f>
        <v>0</v>
      </c>
      <c r="O243" t="str">
        <f>Raw_Data!O243</f>
        <v>Online Wallet</v>
      </c>
      <c r="P243" t="str">
        <f>Raw_Data!P243</f>
        <v>Completed</v>
      </c>
      <c r="Q243" s="12">
        <f t="shared" si="33"/>
        <v>85</v>
      </c>
      <c r="R243" s="12">
        <f t="shared" si="34"/>
        <v>85</v>
      </c>
      <c r="S243" s="12">
        <f t="shared" si="35"/>
        <v>44</v>
      </c>
      <c r="T243" s="12">
        <f t="shared" si="36"/>
        <v>41</v>
      </c>
      <c r="U243" s="11">
        <f t="shared" si="37"/>
        <v>0.4823529411764706</v>
      </c>
      <c r="V243" t="str">
        <f>IF(OR(A243="",COUNTIF($A$2:$A$301,A243)&gt;1,C243="",D243="",ISERROR(SEARCH("@",D243)),ISERROR(SEARCH(".",D243)),COUNTIF(Lookups!$A$2:$A$11,E243)=0,F243="",H243="",K243&lt;=0,L243&lt;0,M243&lt;0,N243&lt;0,N243&gt;0.5,COUNTIF(Lookups!$K$2:$K$4,P243)=0),"ERROR","VALID")</f>
        <v>VALID</v>
      </c>
      <c r="W243" s="2" t="str">
        <f>IF(A243="","Missing Order ID; ","")&amp;IF(COUNTIF($A$2:$A$301,A243)&gt;1,"Duplicate Order ID; ","")&amp;IF(C243="","Missing Customer ID; ","")&amp;IF(OR(D243="",ISERROR(SEARCH("@",D243)),ISERROR(SEARCH(".",D243))),"Invalid Email; ","")&amp;IF(COUNTIF(Lookups!$A$2:$A$11,E243)=0,"Unknown Product; ","")&amp;IF(F243="","Missing Product Name; ","")&amp;IF(H243="","Missing Region; ","")&amp;IF(K243&lt;=0,"Invalid Quantity; ","")&amp;IF(L243&lt;0,"Invalid Price; ","")&amp;IF(M243&lt;0,"Invalid Cost; ","")&amp;IF(OR(N243&lt;0,N243&gt;0.5),"Invalid Discount; ","")&amp;IF(COUNTIF(Lookups!$K$2:$K$4,P243)=0,"Invalid Status; ","")</f>
        <v/>
      </c>
      <c r="X243" s="15" t="str">
        <f t="shared" si="38"/>
        <v>2025-10</v>
      </c>
      <c r="Y243" t="str">
        <f t="shared" si="39"/>
        <v>Q4</v>
      </c>
      <c r="Z243" t="str">
        <f>IF(R243&gt;=Settings!$B$9,"High Value Customer",IF(R243&gt;=Settings!$B$10,"Medium Value Customer","Standard Customer"))</f>
        <v>Standard Customer</v>
      </c>
      <c r="AA243" t="str">
        <f>IF(R243&gt;=Settings!$B$9,"Large Order",IF(R243&gt;=Settings!$B$10,"Medium Order","Small Order"))</f>
        <v>Small Order</v>
      </c>
      <c r="AB243" t="str">
        <f>IF(N243=0,"No Discount",IF(N243&lt;=0.1,"Low Discount",IF(N243&lt;=Settings!$B$8,"Medium Discount","High Discount")))</f>
        <v>No Discount</v>
      </c>
      <c r="AC243" t="str">
        <f t="shared" si="40"/>
        <v>Profitable</v>
      </c>
      <c r="AD243" t="str">
        <f>IFERROR(VLOOKUP(E243,Lookups!$A$2:$E$11,2,FALSE),"Product Not Found")</f>
        <v>Wireless Mouse</v>
      </c>
      <c r="AE243" t="str">
        <f>IFERROR(VLOOKUP(E243,Lookups!$A$2:$E$11,3,FALSE),"Category Not Found")</f>
        <v>Accessories</v>
      </c>
      <c r="AF243" t="str">
        <f>IFERROR(IF(L243=VLOOKUP(E243,Lookups!$A$2:$E$11,4,FALSE),"Price OK","Price Mismatch"),"Product Missing")</f>
        <v>Price OK</v>
      </c>
      <c r="AG243" t="str">
        <f t="shared" si="41"/>
        <v>Valid Email</v>
      </c>
      <c r="AH243" t="str">
        <f t="shared" si="42"/>
        <v>READY FOR REPORTING</v>
      </c>
      <c r="AI243" t="str">
        <f>IF(AND(LEFT(A243,LEN(Settings!$B$13))=Settings!$B$13,LEN(A243)=9),"Valid Format","Invalid Format")</f>
        <v>Valid Format</v>
      </c>
      <c r="AJ243" t="str">
        <f>IF(LEFT(C243,LEN(Settings!$B$14))=Settings!$B$14,"Valid Format","Invalid Format")</f>
        <v>Valid Format</v>
      </c>
      <c r="AK243" t="str">
        <f>IF(COUNTIF(Master_Data!$G$5:$G$14,C243)=1,"Known Customer","Customer Not in Master")</f>
        <v>Known Customer</v>
      </c>
      <c r="AL243" t="str">
        <f>IF(U243&gt;=Settings!$B$11,"Target Met","Below Target")</f>
        <v>Target Met</v>
      </c>
      <c r="AM243" t="str">
        <f>IF(YEAR(B243)=Settings!$B$5,"Correct Year","Wrong Year")</f>
        <v>Correct Year</v>
      </c>
      <c r="AN243">
        <f t="shared" si="43"/>
        <v>5</v>
      </c>
    </row>
    <row r="244" spans="1:40">
      <c r="A244" t="str">
        <f>Raw_Data!A244</f>
        <v>ORD-10243</v>
      </c>
      <c r="B244" s="13">
        <f>Raw_Data!B244</f>
        <v>45853</v>
      </c>
      <c r="C244" t="str">
        <f>Raw_Data!C244</f>
        <v>C1011</v>
      </c>
      <c r="D244" t="str">
        <f>Raw_Data!D244</f>
        <v>client175@example.com</v>
      </c>
      <c r="E244" t="str">
        <f>Raw_Data!E244</f>
        <v>P1006</v>
      </c>
      <c r="F244" t="str">
        <f>Raw_Data!F244</f>
        <v>27-inch Monitor</v>
      </c>
      <c r="G244" t="str">
        <f>Raw_Data!G244</f>
        <v>Electronics</v>
      </c>
      <c r="H244" t="str">
        <f>Raw_Data!H244</f>
        <v>West</v>
      </c>
      <c r="I244" t="str">
        <f>Raw_Data!I244</f>
        <v>Online</v>
      </c>
      <c r="J244" t="str">
        <f>Raw_Data!J244</f>
        <v>Elena Stan</v>
      </c>
      <c r="K244">
        <f>Raw_Data!K244</f>
        <v>8</v>
      </c>
      <c r="L244" s="12">
        <f>Raw_Data!L244</f>
        <v>1090</v>
      </c>
      <c r="M244" s="12">
        <f>Raw_Data!M244</f>
        <v>790</v>
      </c>
      <c r="N244" s="14">
        <f>Raw_Data!N244</f>
        <v>0.1</v>
      </c>
      <c r="O244" t="str">
        <f>Raw_Data!O244</f>
        <v>Card</v>
      </c>
      <c r="P244" t="str">
        <f>Raw_Data!P244</f>
        <v>Completed</v>
      </c>
      <c r="Q244" s="12">
        <f t="shared" si="33"/>
        <v>8720</v>
      </c>
      <c r="R244" s="12">
        <f t="shared" si="34"/>
        <v>7848</v>
      </c>
      <c r="S244" s="12">
        <f t="shared" si="35"/>
        <v>6320</v>
      </c>
      <c r="T244" s="12">
        <f t="shared" si="36"/>
        <v>1528</v>
      </c>
      <c r="U244" s="11">
        <f t="shared" si="37"/>
        <v>0.19469928644240569</v>
      </c>
      <c r="V244" t="str">
        <f>IF(OR(A244="",COUNTIF($A$2:$A$301,A244)&gt;1,C244="",D244="",ISERROR(SEARCH("@",D244)),ISERROR(SEARCH(".",D244)),COUNTIF(Lookups!$A$2:$A$11,E244)=0,F244="",H244="",K244&lt;=0,L244&lt;0,M244&lt;0,N244&lt;0,N244&gt;0.5,COUNTIF(Lookups!$K$2:$K$4,P244)=0),"ERROR","VALID")</f>
        <v>VALID</v>
      </c>
      <c r="W244" s="2" t="str">
        <f>IF(A244="","Missing Order ID; ","")&amp;IF(COUNTIF($A$2:$A$301,A244)&gt;1,"Duplicate Order ID; ","")&amp;IF(C244="","Missing Customer ID; ","")&amp;IF(OR(D244="",ISERROR(SEARCH("@",D244)),ISERROR(SEARCH(".",D244))),"Invalid Email; ","")&amp;IF(COUNTIF(Lookups!$A$2:$A$11,E244)=0,"Unknown Product; ","")&amp;IF(F244="","Missing Product Name; ","")&amp;IF(H244="","Missing Region; ","")&amp;IF(K244&lt;=0,"Invalid Quantity; ","")&amp;IF(L244&lt;0,"Invalid Price; ","")&amp;IF(M244&lt;0,"Invalid Cost; ","")&amp;IF(OR(N244&lt;0,N244&gt;0.5),"Invalid Discount; ","")&amp;IF(COUNTIF(Lookups!$K$2:$K$4,P244)=0,"Invalid Status; ","")</f>
        <v/>
      </c>
      <c r="X244" s="15" t="str">
        <f t="shared" si="38"/>
        <v>2025-07</v>
      </c>
      <c r="Y244" t="str">
        <f t="shared" si="39"/>
        <v>Q3</v>
      </c>
      <c r="Z244" t="str">
        <f>IF(R244&gt;=Settings!$B$9,"High Value Customer",IF(R244&gt;=Settings!$B$10,"Medium Value Customer","Standard Customer"))</f>
        <v>High Value Customer</v>
      </c>
      <c r="AA244" t="str">
        <f>IF(R244&gt;=Settings!$B$9,"Large Order",IF(R244&gt;=Settings!$B$10,"Medium Order","Small Order"))</f>
        <v>Large Order</v>
      </c>
      <c r="AB244" t="str">
        <f>IF(N244=0,"No Discount",IF(N244&lt;=0.1,"Low Discount",IF(N244&lt;=Settings!$B$8,"Medium Discount","High Discount")))</f>
        <v>Low Discount</v>
      </c>
      <c r="AC244" t="str">
        <f t="shared" si="40"/>
        <v>Profitable</v>
      </c>
      <c r="AD244" t="str">
        <f>IFERROR(VLOOKUP(E244,Lookups!$A$2:$E$11,2,FALSE),"Product Not Found")</f>
        <v>27-inch Monitor</v>
      </c>
      <c r="AE244" t="str">
        <f>IFERROR(VLOOKUP(E244,Lookups!$A$2:$E$11,3,FALSE),"Category Not Found")</f>
        <v>Electronics</v>
      </c>
      <c r="AF244" t="str">
        <f>IFERROR(IF(L244=VLOOKUP(E244,Lookups!$A$2:$E$11,4,FALSE),"Price OK","Price Mismatch"),"Product Missing")</f>
        <v>Price OK</v>
      </c>
      <c r="AG244" t="str">
        <f t="shared" si="41"/>
        <v>Valid Email</v>
      </c>
      <c r="AH244" t="str">
        <f t="shared" si="42"/>
        <v>READY FOR REPORTING</v>
      </c>
      <c r="AI244" t="str">
        <f>IF(AND(LEFT(A244,LEN(Settings!$B$13))=Settings!$B$13,LEN(A244)=9),"Valid Format","Invalid Format")</f>
        <v>Valid Format</v>
      </c>
      <c r="AJ244" t="str">
        <f>IF(LEFT(C244,LEN(Settings!$B$14))=Settings!$B$14,"Valid Format","Invalid Format")</f>
        <v>Valid Format</v>
      </c>
      <c r="AK244" t="str">
        <f>IF(COUNTIF(Master_Data!$G$5:$G$14,C244)=1,"Known Customer","Customer Not in Master")</f>
        <v>Customer Not in Master</v>
      </c>
      <c r="AL244" t="str">
        <f>IF(U244&gt;=Settings!$B$11,"Target Met","Below Target")</f>
        <v>Below Target</v>
      </c>
      <c r="AM244" t="str">
        <f>IF(YEAR(B244)=Settings!$B$5,"Correct Year","Wrong Year")</f>
        <v>Correct Year</v>
      </c>
      <c r="AN244">
        <f t="shared" si="43"/>
        <v>3</v>
      </c>
    </row>
    <row r="245" spans="1:40">
      <c r="A245" t="str">
        <f>Raw_Data!A245</f>
        <v>ORD-10244</v>
      </c>
      <c r="B245" s="13">
        <f>Raw_Data!B245</f>
        <v>45933</v>
      </c>
      <c r="C245" t="str">
        <f>Raw_Data!C245</f>
        <v>C1094</v>
      </c>
      <c r="D245" t="str">
        <f>Raw_Data!D245</f>
        <v>client58@example.com</v>
      </c>
      <c r="E245" t="str">
        <f>Raw_Data!E245</f>
        <v>P1003</v>
      </c>
      <c r="F245" t="str">
        <f>Raw_Data!F245</f>
        <v>Mechanical Keyboard</v>
      </c>
      <c r="G245" t="str">
        <f>Raw_Data!G245</f>
        <v>Accessories</v>
      </c>
      <c r="H245" t="str">
        <f>Raw_Data!H245</f>
        <v>Bucharest</v>
      </c>
      <c r="I245" t="str">
        <f>Raw_Data!I245</f>
        <v>Online</v>
      </c>
      <c r="J245" t="str">
        <f>Raw_Data!J245</f>
        <v>Elena Stan</v>
      </c>
      <c r="K245">
        <f>Raw_Data!K245</f>
        <v>7</v>
      </c>
      <c r="L245" s="12">
        <f>Raw_Data!L245</f>
        <v>265</v>
      </c>
      <c r="M245" s="12">
        <f>Raw_Data!M245</f>
        <v>155</v>
      </c>
      <c r="N245" s="14">
        <f>Raw_Data!N245</f>
        <v>0.15</v>
      </c>
      <c r="O245" t="str">
        <f>Raw_Data!O245</f>
        <v>Online Wallet</v>
      </c>
      <c r="P245" t="str">
        <f>Raw_Data!P245</f>
        <v>Completed</v>
      </c>
      <c r="Q245" s="12">
        <f t="shared" si="33"/>
        <v>1855</v>
      </c>
      <c r="R245" s="12">
        <f t="shared" si="34"/>
        <v>1576.75</v>
      </c>
      <c r="S245" s="12">
        <f t="shared" si="35"/>
        <v>1085</v>
      </c>
      <c r="T245" s="12">
        <f t="shared" si="36"/>
        <v>491.75</v>
      </c>
      <c r="U245" s="11">
        <f t="shared" si="37"/>
        <v>0.31187569367369589</v>
      </c>
      <c r="V245" t="str">
        <f>IF(OR(A245="",COUNTIF($A$2:$A$301,A245)&gt;1,C245="",D245="",ISERROR(SEARCH("@",D245)),ISERROR(SEARCH(".",D245)),COUNTIF(Lookups!$A$2:$A$11,E245)=0,F245="",H245="",K245&lt;=0,L245&lt;0,M245&lt;0,N245&lt;0,N245&gt;0.5,COUNTIF(Lookups!$K$2:$K$4,P245)=0),"ERROR","VALID")</f>
        <v>VALID</v>
      </c>
      <c r="W245" s="2" t="str">
        <f>IF(A245="","Missing Order ID; ","")&amp;IF(COUNTIF($A$2:$A$301,A245)&gt;1,"Duplicate Order ID; ","")&amp;IF(C245="","Missing Customer ID; ","")&amp;IF(OR(D245="",ISERROR(SEARCH("@",D245)),ISERROR(SEARCH(".",D245))),"Invalid Email; ","")&amp;IF(COUNTIF(Lookups!$A$2:$A$11,E245)=0,"Unknown Product; ","")&amp;IF(F245="","Missing Product Name; ","")&amp;IF(H245="","Missing Region; ","")&amp;IF(K245&lt;=0,"Invalid Quantity; ","")&amp;IF(L245&lt;0,"Invalid Price; ","")&amp;IF(M245&lt;0,"Invalid Cost; ","")&amp;IF(OR(N245&lt;0,N245&gt;0.5),"Invalid Discount; ","")&amp;IF(COUNTIF(Lookups!$K$2:$K$4,P245)=0,"Invalid Status; ","")</f>
        <v/>
      </c>
      <c r="X245" s="15" t="str">
        <f t="shared" si="38"/>
        <v>2025-10</v>
      </c>
      <c r="Y245" t="str">
        <f t="shared" si="39"/>
        <v>Q4</v>
      </c>
      <c r="Z245" t="str">
        <f>IF(R245&gt;=Settings!$B$9,"High Value Customer",IF(R245&gt;=Settings!$B$10,"Medium Value Customer","Standard Customer"))</f>
        <v>Standard Customer</v>
      </c>
      <c r="AA245" t="str">
        <f>IF(R245&gt;=Settings!$B$9,"Large Order",IF(R245&gt;=Settings!$B$10,"Medium Order","Small Order"))</f>
        <v>Small Order</v>
      </c>
      <c r="AB245" t="str">
        <f>IF(N245=0,"No Discount",IF(N245&lt;=0.1,"Low Discount",IF(N245&lt;=Settings!$B$8,"Medium Discount","High Discount")))</f>
        <v>Medium Discount</v>
      </c>
      <c r="AC245" t="str">
        <f t="shared" si="40"/>
        <v>Profitable</v>
      </c>
      <c r="AD245" t="str">
        <f>IFERROR(VLOOKUP(E245,Lookups!$A$2:$E$11,2,FALSE),"Product Not Found")</f>
        <v>Mechanical Keyboard</v>
      </c>
      <c r="AE245" t="str">
        <f>IFERROR(VLOOKUP(E245,Lookups!$A$2:$E$11,3,FALSE),"Category Not Found")</f>
        <v>Accessories</v>
      </c>
      <c r="AF245" t="str">
        <f>IFERROR(IF(L245=VLOOKUP(E245,Lookups!$A$2:$E$11,4,FALSE),"Price OK","Price Mismatch"),"Product Missing")</f>
        <v>Price OK</v>
      </c>
      <c r="AG245" t="str">
        <f t="shared" si="41"/>
        <v>Valid Email</v>
      </c>
      <c r="AH245" t="str">
        <f t="shared" si="42"/>
        <v>READY FOR REPORTING</v>
      </c>
      <c r="AI245" t="str">
        <f>IF(AND(LEFT(A245,LEN(Settings!$B$13))=Settings!$B$13,LEN(A245)=9),"Valid Format","Invalid Format")</f>
        <v>Valid Format</v>
      </c>
      <c r="AJ245" t="str">
        <f>IF(LEFT(C245,LEN(Settings!$B$14))=Settings!$B$14,"Valid Format","Invalid Format")</f>
        <v>Valid Format</v>
      </c>
      <c r="AK245" t="str">
        <f>IF(COUNTIF(Master_Data!$G$5:$G$14,C245)=1,"Known Customer","Customer Not in Master")</f>
        <v>Customer Not in Master</v>
      </c>
      <c r="AL245" t="str">
        <f>IF(U245&gt;=Settings!$B$11,"Target Met","Below Target")</f>
        <v>Target Met</v>
      </c>
      <c r="AM245" t="str">
        <f>IF(YEAR(B245)=Settings!$B$5,"Correct Year","Wrong Year")</f>
        <v>Correct Year</v>
      </c>
      <c r="AN245">
        <f t="shared" si="43"/>
        <v>4</v>
      </c>
    </row>
    <row r="246" spans="1:40">
      <c r="A246" t="str">
        <f>Raw_Data!A246</f>
        <v>ORD-10245</v>
      </c>
      <c r="B246" s="13">
        <f>Raw_Data!B246</f>
        <v>45875</v>
      </c>
      <c r="C246" t="str">
        <f>Raw_Data!C246</f>
        <v>C1032</v>
      </c>
      <c r="D246" t="str">
        <f>Raw_Data!D246</f>
        <v>client118@example.com</v>
      </c>
      <c r="E246" t="str">
        <f>Raw_Data!E246</f>
        <v>P1009</v>
      </c>
      <c r="F246" t="str">
        <f>Raw_Data!F246</f>
        <v>Webcam</v>
      </c>
      <c r="G246" t="str">
        <f>Raw_Data!G246</f>
        <v>Electronics</v>
      </c>
      <c r="H246" t="str">
        <f>Raw_Data!H246</f>
        <v>South</v>
      </c>
      <c r="I246" t="str">
        <f>Raw_Data!I246</f>
        <v>Online</v>
      </c>
      <c r="J246" t="str">
        <f>Raw_Data!J246</f>
        <v>Elena Stan</v>
      </c>
      <c r="K246">
        <f>Raw_Data!K246</f>
        <v>9</v>
      </c>
      <c r="L246" s="12">
        <f>Raw_Data!L246</f>
        <v>230</v>
      </c>
      <c r="M246" s="12">
        <f>Raw_Data!M246</f>
        <v>132</v>
      </c>
      <c r="N246" s="14">
        <f>Raw_Data!N246</f>
        <v>0.1</v>
      </c>
      <c r="O246" t="str">
        <f>Raw_Data!O246</f>
        <v>Bank Transfer</v>
      </c>
      <c r="P246" t="str">
        <f>Raw_Data!P246</f>
        <v>Completed</v>
      </c>
      <c r="Q246" s="12">
        <f t="shared" si="33"/>
        <v>2070</v>
      </c>
      <c r="R246" s="12">
        <f t="shared" si="34"/>
        <v>1863</v>
      </c>
      <c r="S246" s="12">
        <f t="shared" si="35"/>
        <v>1188</v>
      </c>
      <c r="T246" s="12">
        <f t="shared" si="36"/>
        <v>675</v>
      </c>
      <c r="U246" s="11">
        <f t="shared" si="37"/>
        <v>0.36231884057971014</v>
      </c>
      <c r="V246" t="str">
        <f>IF(OR(A246="",COUNTIF($A$2:$A$301,A246)&gt;1,C246="",D246="",ISERROR(SEARCH("@",D246)),ISERROR(SEARCH(".",D246)),COUNTIF(Lookups!$A$2:$A$11,E246)=0,F246="",H246="",K246&lt;=0,L246&lt;0,M246&lt;0,N246&lt;0,N246&gt;0.5,COUNTIF(Lookups!$K$2:$K$4,P246)=0),"ERROR","VALID")</f>
        <v>VALID</v>
      </c>
      <c r="W246" s="2" t="str">
        <f>IF(A246="","Missing Order ID; ","")&amp;IF(COUNTIF($A$2:$A$301,A246)&gt;1,"Duplicate Order ID; ","")&amp;IF(C246="","Missing Customer ID; ","")&amp;IF(OR(D246="",ISERROR(SEARCH("@",D246)),ISERROR(SEARCH(".",D246))),"Invalid Email; ","")&amp;IF(COUNTIF(Lookups!$A$2:$A$11,E246)=0,"Unknown Product; ","")&amp;IF(F246="","Missing Product Name; ","")&amp;IF(H246="","Missing Region; ","")&amp;IF(K246&lt;=0,"Invalid Quantity; ","")&amp;IF(L246&lt;0,"Invalid Price; ","")&amp;IF(M246&lt;0,"Invalid Cost; ","")&amp;IF(OR(N246&lt;0,N246&gt;0.5),"Invalid Discount; ","")&amp;IF(COUNTIF(Lookups!$K$2:$K$4,P246)=0,"Invalid Status; ","")</f>
        <v/>
      </c>
      <c r="X246" s="15" t="str">
        <f t="shared" si="38"/>
        <v>2025-08</v>
      </c>
      <c r="Y246" t="str">
        <f t="shared" si="39"/>
        <v>Q3</v>
      </c>
      <c r="Z246" t="str">
        <f>IF(R246&gt;=Settings!$B$9,"High Value Customer",IF(R246&gt;=Settings!$B$10,"Medium Value Customer","Standard Customer"))</f>
        <v>Standard Customer</v>
      </c>
      <c r="AA246" t="str">
        <f>IF(R246&gt;=Settings!$B$9,"Large Order",IF(R246&gt;=Settings!$B$10,"Medium Order","Small Order"))</f>
        <v>Small Order</v>
      </c>
      <c r="AB246" t="str">
        <f>IF(N246=0,"No Discount",IF(N246&lt;=0.1,"Low Discount",IF(N246&lt;=Settings!$B$8,"Medium Discount","High Discount")))</f>
        <v>Low Discount</v>
      </c>
      <c r="AC246" t="str">
        <f t="shared" si="40"/>
        <v>Profitable</v>
      </c>
      <c r="AD246" t="str">
        <f>IFERROR(VLOOKUP(E246,Lookups!$A$2:$E$11,2,FALSE),"Product Not Found")</f>
        <v>Webcam</v>
      </c>
      <c r="AE246" t="str">
        <f>IFERROR(VLOOKUP(E246,Lookups!$A$2:$E$11,3,FALSE),"Category Not Found")</f>
        <v>Electronics</v>
      </c>
      <c r="AF246" t="str">
        <f>IFERROR(IF(L246=VLOOKUP(E246,Lookups!$A$2:$E$11,4,FALSE),"Price OK","Price Mismatch"),"Product Missing")</f>
        <v>Price OK</v>
      </c>
      <c r="AG246" t="str">
        <f t="shared" si="41"/>
        <v>Valid Email</v>
      </c>
      <c r="AH246" t="str">
        <f t="shared" si="42"/>
        <v>READY FOR REPORTING</v>
      </c>
      <c r="AI246" t="str">
        <f>IF(AND(LEFT(A246,LEN(Settings!$B$13))=Settings!$B$13,LEN(A246)=9),"Valid Format","Invalid Format")</f>
        <v>Valid Format</v>
      </c>
      <c r="AJ246" t="str">
        <f>IF(LEFT(C246,LEN(Settings!$B$14))=Settings!$B$14,"Valid Format","Invalid Format")</f>
        <v>Valid Format</v>
      </c>
      <c r="AK246" t="str">
        <f>IF(COUNTIF(Master_Data!$G$5:$G$14,C246)=1,"Known Customer","Customer Not in Master")</f>
        <v>Customer Not in Master</v>
      </c>
      <c r="AL246" t="str">
        <f>IF(U246&gt;=Settings!$B$11,"Target Met","Below Target")</f>
        <v>Target Met</v>
      </c>
      <c r="AM246" t="str">
        <f>IF(YEAR(B246)=Settings!$B$5,"Correct Year","Wrong Year")</f>
        <v>Correct Year</v>
      </c>
      <c r="AN246">
        <f t="shared" si="43"/>
        <v>4</v>
      </c>
    </row>
    <row r="247" spans="1:40">
      <c r="A247" t="str">
        <f>Raw_Data!A247</f>
        <v>ORD-10246</v>
      </c>
      <c r="B247" s="13">
        <f>Raw_Data!B247</f>
        <v>45674</v>
      </c>
      <c r="C247" t="str">
        <f>Raw_Data!C247</f>
        <v>C1099</v>
      </c>
      <c r="D247" t="str">
        <f>Raw_Data!D247</f>
        <v>client5@example.com</v>
      </c>
      <c r="E247" t="str">
        <f>Raw_Data!E247</f>
        <v>P1002</v>
      </c>
      <c r="F247" t="str">
        <f>Raw_Data!F247</f>
        <v>Wireless Mouse</v>
      </c>
      <c r="G247" t="str">
        <f>Raw_Data!G247</f>
        <v>Accessories</v>
      </c>
      <c r="H247" t="str">
        <f>Raw_Data!H247</f>
        <v>North</v>
      </c>
      <c r="I247" t="str">
        <f>Raw_Data!I247</f>
        <v>Online</v>
      </c>
      <c r="J247" t="str">
        <f>Raw_Data!J247</f>
        <v>Andrei Pop</v>
      </c>
      <c r="K247">
        <f>Raw_Data!K247</f>
        <v>11</v>
      </c>
      <c r="L247" s="12">
        <f>Raw_Data!L247</f>
        <v>85</v>
      </c>
      <c r="M247" s="12">
        <f>Raw_Data!M247</f>
        <v>44</v>
      </c>
      <c r="N247" s="14">
        <f>Raw_Data!N247</f>
        <v>0.1</v>
      </c>
      <c r="O247" t="str">
        <f>Raw_Data!O247</f>
        <v>Card</v>
      </c>
      <c r="P247" t="str">
        <f>Raw_Data!P247</f>
        <v>Returned</v>
      </c>
      <c r="Q247" s="12">
        <f t="shared" si="33"/>
        <v>935</v>
      </c>
      <c r="R247" s="12">
        <f t="shared" si="34"/>
        <v>841.5</v>
      </c>
      <c r="S247" s="12">
        <f t="shared" si="35"/>
        <v>484</v>
      </c>
      <c r="T247" s="12">
        <f t="shared" si="36"/>
        <v>357.5</v>
      </c>
      <c r="U247" s="11">
        <f t="shared" si="37"/>
        <v>0.42483660130718953</v>
      </c>
      <c r="V247" t="str">
        <f>IF(OR(A247="",COUNTIF($A$2:$A$301,A247)&gt;1,C247="",D247="",ISERROR(SEARCH("@",D247)),ISERROR(SEARCH(".",D247)),COUNTIF(Lookups!$A$2:$A$11,E247)=0,F247="",H247="",K247&lt;=0,L247&lt;0,M247&lt;0,N247&lt;0,N247&gt;0.5,COUNTIF(Lookups!$K$2:$K$4,P247)=0),"ERROR","VALID")</f>
        <v>VALID</v>
      </c>
      <c r="W247" s="2" t="str">
        <f>IF(A247="","Missing Order ID; ","")&amp;IF(COUNTIF($A$2:$A$301,A247)&gt;1,"Duplicate Order ID; ","")&amp;IF(C247="","Missing Customer ID; ","")&amp;IF(OR(D247="",ISERROR(SEARCH("@",D247)),ISERROR(SEARCH(".",D247))),"Invalid Email; ","")&amp;IF(COUNTIF(Lookups!$A$2:$A$11,E247)=0,"Unknown Product; ","")&amp;IF(F247="","Missing Product Name; ","")&amp;IF(H247="","Missing Region; ","")&amp;IF(K247&lt;=0,"Invalid Quantity; ","")&amp;IF(L247&lt;0,"Invalid Price; ","")&amp;IF(M247&lt;0,"Invalid Cost; ","")&amp;IF(OR(N247&lt;0,N247&gt;0.5),"Invalid Discount; ","")&amp;IF(COUNTIF(Lookups!$K$2:$K$4,P247)=0,"Invalid Status; ","")</f>
        <v/>
      </c>
      <c r="X247" s="15" t="str">
        <f t="shared" si="38"/>
        <v>2025-01</v>
      </c>
      <c r="Y247" t="str">
        <f t="shared" si="39"/>
        <v>Q1</v>
      </c>
      <c r="Z247" t="str">
        <f>IF(R247&gt;=Settings!$B$9,"High Value Customer",IF(R247&gt;=Settings!$B$10,"Medium Value Customer","Standard Customer"))</f>
        <v>Standard Customer</v>
      </c>
      <c r="AA247" t="str">
        <f>IF(R247&gt;=Settings!$B$9,"Large Order",IF(R247&gt;=Settings!$B$10,"Medium Order","Small Order"))</f>
        <v>Small Order</v>
      </c>
      <c r="AB247" t="str">
        <f>IF(N247=0,"No Discount",IF(N247&lt;=0.1,"Low Discount",IF(N247&lt;=Settings!$B$8,"Medium Discount","High Discount")))</f>
        <v>Low Discount</v>
      </c>
      <c r="AC247" t="str">
        <f t="shared" si="40"/>
        <v>Profitable</v>
      </c>
      <c r="AD247" t="str">
        <f>IFERROR(VLOOKUP(E247,Lookups!$A$2:$E$11,2,FALSE),"Product Not Found")</f>
        <v>Wireless Mouse</v>
      </c>
      <c r="AE247" t="str">
        <f>IFERROR(VLOOKUP(E247,Lookups!$A$2:$E$11,3,FALSE),"Category Not Found")</f>
        <v>Accessories</v>
      </c>
      <c r="AF247" t="str">
        <f>IFERROR(IF(L247=VLOOKUP(E247,Lookups!$A$2:$E$11,4,FALSE),"Price OK","Price Mismatch"),"Product Missing")</f>
        <v>Price OK</v>
      </c>
      <c r="AG247" t="str">
        <f t="shared" si="41"/>
        <v>Valid Email</v>
      </c>
      <c r="AH247" t="str">
        <f t="shared" si="42"/>
        <v>READY FOR REPORTING</v>
      </c>
      <c r="AI247" t="str">
        <f>IF(AND(LEFT(A247,LEN(Settings!$B$13))=Settings!$B$13,LEN(A247)=9),"Valid Format","Invalid Format")</f>
        <v>Valid Format</v>
      </c>
      <c r="AJ247" t="str">
        <f>IF(LEFT(C247,LEN(Settings!$B$14))=Settings!$B$14,"Valid Format","Invalid Format")</f>
        <v>Valid Format</v>
      </c>
      <c r="AK247" t="str">
        <f>IF(COUNTIF(Master_Data!$G$5:$G$14,C247)=1,"Known Customer","Customer Not in Master")</f>
        <v>Customer Not in Master</v>
      </c>
      <c r="AL247" t="str">
        <f>IF(U247&gt;=Settings!$B$11,"Target Met","Below Target")</f>
        <v>Target Met</v>
      </c>
      <c r="AM247" t="str">
        <f>IF(YEAR(B247)=Settings!$B$5,"Correct Year","Wrong Year")</f>
        <v>Correct Year</v>
      </c>
      <c r="AN247">
        <f t="shared" si="43"/>
        <v>4</v>
      </c>
    </row>
    <row r="248" spans="1:40">
      <c r="A248" t="str">
        <f>Raw_Data!A248</f>
        <v>ORD-10247</v>
      </c>
      <c r="B248" s="13">
        <f>Raw_Data!B248</f>
        <v>45675</v>
      </c>
      <c r="C248" t="str">
        <f>Raw_Data!C248</f>
        <v>C1091</v>
      </c>
      <c r="D248" t="str">
        <f>Raw_Data!D248</f>
        <v>client13@example.com</v>
      </c>
      <c r="E248" t="str">
        <f>Raw_Data!E248</f>
        <v>P1010</v>
      </c>
      <c r="F248" t="str">
        <f>Raw_Data!F248</f>
        <v>Headset</v>
      </c>
      <c r="G248" t="str">
        <f>Raw_Data!G248</f>
        <v>Electronics</v>
      </c>
      <c r="H248" t="str">
        <f>Raw_Data!H248</f>
        <v>North</v>
      </c>
      <c r="I248" t="str">
        <f>Raw_Data!I248</f>
        <v>Marketplace</v>
      </c>
      <c r="J248" t="str">
        <f>Raw_Data!J248</f>
        <v>Andrei Pop</v>
      </c>
      <c r="K248">
        <f>Raw_Data!K248</f>
        <v>8</v>
      </c>
      <c r="L248" s="12">
        <f>Raw_Data!L248</f>
        <v>195</v>
      </c>
      <c r="M248" s="12">
        <f>Raw_Data!M248</f>
        <v>105</v>
      </c>
      <c r="N248" s="14">
        <f>Raw_Data!N248</f>
        <v>0.15</v>
      </c>
      <c r="O248" t="str">
        <f>Raw_Data!O248</f>
        <v>Online Wallet</v>
      </c>
      <c r="P248" t="str">
        <f>Raw_Data!P248</f>
        <v>Cancelled</v>
      </c>
      <c r="Q248" s="12">
        <f t="shared" si="33"/>
        <v>1560</v>
      </c>
      <c r="R248" s="12">
        <f t="shared" si="34"/>
        <v>1326</v>
      </c>
      <c r="S248" s="12">
        <f t="shared" si="35"/>
        <v>840</v>
      </c>
      <c r="T248" s="12">
        <f t="shared" si="36"/>
        <v>486</v>
      </c>
      <c r="U248" s="11">
        <f t="shared" si="37"/>
        <v>0.36651583710407237</v>
      </c>
      <c r="V248" t="str">
        <f>IF(OR(A248="",COUNTIF($A$2:$A$301,A248)&gt;1,C248="",D248="",ISERROR(SEARCH("@",D248)),ISERROR(SEARCH(".",D248)),COUNTIF(Lookups!$A$2:$A$11,E248)=0,F248="",H248="",K248&lt;=0,L248&lt;0,M248&lt;0,N248&lt;0,N248&gt;0.5,COUNTIF(Lookups!$K$2:$K$4,P248)=0),"ERROR","VALID")</f>
        <v>VALID</v>
      </c>
      <c r="W248" s="2" t="str">
        <f>IF(A248="","Missing Order ID; ","")&amp;IF(COUNTIF($A$2:$A$301,A248)&gt;1,"Duplicate Order ID; ","")&amp;IF(C248="","Missing Customer ID; ","")&amp;IF(OR(D248="",ISERROR(SEARCH("@",D248)),ISERROR(SEARCH(".",D248))),"Invalid Email; ","")&amp;IF(COUNTIF(Lookups!$A$2:$A$11,E248)=0,"Unknown Product; ","")&amp;IF(F248="","Missing Product Name; ","")&amp;IF(H248="","Missing Region; ","")&amp;IF(K248&lt;=0,"Invalid Quantity; ","")&amp;IF(L248&lt;0,"Invalid Price; ","")&amp;IF(M248&lt;0,"Invalid Cost; ","")&amp;IF(OR(N248&lt;0,N248&gt;0.5),"Invalid Discount; ","")&amp;IF(COUNTIF(Lookups!$K$2:$K$4,P248)=0,"Invalid Status; ","")</f>
        <v/>
      </c>
      <c r="X248" s="15" t="str">
        <f t="shared" si="38"/>
        <v>2025-01</v>
      </c>
      <c r="Y248" t="str">
        <f t="shared" si="39"/>
        <v>Q1</v>
      </c>
      <c r="Z248" t="str">
        <f>IF(R248&gt;=Settings!$B$9,"High Value Customer",IF(R248&gt;=Settings!$B$10,"Medium Value Customer","Standard Customer"))</f>
        <v>Standard Customer</v>
      </c>
      <c r="AA248" t="str">
        <f>IF(R248&gt;=Settings!$B$9,"Large Order",IF(R248&gt;=Settings!$B$10,"Medium Order","Small Order"))</f>
        <v>Small Order</v>
      </c>
      <c r="AB248" t="str">
        <f>IF(N248=0,"No Discount",IF(N248&lt;=0.1,"Low Discount",IF(N248&lt;=Settings!$B$8,"Medium Discount","High Discount")))</f>
        <v>Medium Discount</v>
      </c>
      <c r="AC248" t="str">
        <f t="shared" si="40"/>
        <v>Profitable</v>
      </c>
      <c r="AD248" t="str">
        <f>IFERROR(VLOOKUP(E248,Lookups!$A$2:$E$11,2,FALSE),"Product Not Found")</f>
        <v>Headset</v>
      </c>
      <c r="AE248" t="str">
        <f>IFERROR(VLOOKUP(E248,Lookups!$A$2:$E$11,3,FALSE),"Category Not Found")</f>
        <v>Electronics</v>
      </c>
      <c r="AF248" t="str">
        <f>IFERROR(IF(L248=VLOOKUP(E248,Lookups!$A$2:$E$11,4,FALSE),"Price OK","Price Mismatch"),"Product Missing")</f>
        <v>Price OK</v>
      </c>
      <c r="AG248" t="str">
        <f t="shared" si="41"/>
        <v>Valid Email</v>
      </c>
      <c r="AH248" t="str">
        <f t="shared" si="42"/>
        <v>READY FOR REPORTING</v>
      </c>
      <c r="AI248" t="str">
        <f>IF(AND(LEFT(A248,LEN(Settings!$B$13))=Settings!$B$13,LEN(A248)=9),"Valid Format","Invalid Format")</f>
        <v>Valid Format</v>
      </c>
      <c r="AJ248" t="str">
        <f>IF(LEFT(C248,LEN(Settings!$B$14))=Settings!$B$14,"Valid Format","Invalid Format")</f>
        <v>Valid Format</v>
      </c>
      <c r="AK248" t="str">
        <f>IF(COUNTIF(Master_Data!$G$5:$G$14,C248)=1,"Known Customer","Customer Not in Master")</f>
        <v>Customer Not in Master</v>
      </c>
      <c r="AL248" t="str">
        <f>IF(U248&gt;=Settings!$B$11,"Target Met","Below Target")</f>
        <v>Target Met</v>
      </c>
      <c r="AM248" t="str">
        <f>IF(YEAR(B248)=Settings!$B$5,"Correct Year","Wrong Year")</f>
        <v>Correct Year</v>
      </c>
      <c r="AN248">
        <f t="shared" si="43"/>
        <v>4</v>
      </c>
    </row>
    <row r="249" spans="1:40">
      <c r="A249" t="str">
        <f>Raw_Data!A249</f>
        <v>ORD-10248</v>
      </c>
      <c r="B249" s="13">
        <f>Raw_Data!B249</f>
        <v>45777</v>
      </c>
      <c r="C249" t="str">
        <f>Raw_Data!C249</f>
        <v>C1018</v>
      </c>
      <c r="D249" t="str">
        <f>Raw_Data!D249</f>
        <v>client129@example.com</v>
      </c>
      <c r="E249" t="str">
        <f>Raw_Data!E249</f>
        <v>P1008</v>
      </c>
      <c r="F249" t="str">
        <f>Raw_Data!F249</f>
        <v>Standing Desk</v>
      </c>
      <c r="G249" t="str">
        <f>Raw_Data!G249</f>
        <v>Furniture</v>
      </c>
      <c r="H249" t="str">
        <f>Raw_Data!H249</f>
        <v>South</v>
      </c>
      <c r="I249" t="str">
        <f>Raw_Data!I249</f>
        <v>Online</v>
      </c>
      <c r="J249" t="str">
        <f>Raw_Data!J249</f>
        <v>Ioana Pavel</v>
      </c>
      <c r="K249">
        <f>Raw_Data!K249</f>
        <v>9</v>
      </c>
      <c r="L249" s="12">
        <f>Raw_Data!L249</f>
        <v>1450</v>
      </c>
      <c r="M249" s="12">
        <f>Raw_Data!M249</f>
        <v>1030</v>
      </c>
      <c r="N249" s="14">
        <f>Raw_Data!N249</f>
        <v>0</v>
      </c>
      <c r="O249" t="str">
        <f>Raw_Data!O249</f>
        <v>Cash</v>
      </c>
      <c r="P249" t="str">
        <f>Raw_Data!P249</f>
        <v>Completed</v>
      </c>
      <c r="Q249" s="12">
        <f t="shared" si="33"/>
        <v>13050</v>
      </c>
      <c r="R249" s="12">
        <f t="shared" si="34"/>
        <v>13050</v>
      </c>
      <c r="S249" s="12">
        <f t="shared" si="35"/>
        <v>9270</v>
      </c>
      <c r="T249" s="12">
        <f t="shared" si="36"/>
        <v>3780</v>
      </c>
      <c r="U249" s="11">
        <f t="shared" si="37"/>
        <v>0.28965517241379313</v>
      </c>
      <c r="V249" t="str">
        <f>IF(OR(A249="",COUNTIF($A$2:$A$301,A249)&gt;1,C249="",D249="",ISERROR(SEARCH("@",D249)),ISERROR(SEARCH(".",D249)),COUNTIF(Lookups!$A$2:$A$11,E249)=0,F249="",H249="",K249&lt;=0,L249&lt;0,M249&lt;0,N249&lt;0,N249&gt;0.5,COUNTIF(Lookups!$K$2:$K$4,P249)=0),"ERROR","VALID")</f>
        <v>VALID</v>
      </c>
      <c r="W249" s="2" t="str">
        <f>IF(A249="","Missing Order ID; ","")&amp;IF(COUNTIF($A$2:$A$301,A249)&gt;1,"Duplicate Order ID; ","")&amp;IF(C249="","Missing Customer ID; ","")&amp;IF(OR(D249="",ISERROR(SEARCH("@",D249)),ISERROR(SEARCH(".",D249))),"Invalid Email; ","")&amp;IF(COUNTIF(Lookups!$A$2:$A$11,E249)=0,"Unknown Product; ","")&amp;IF(F249="","Missing Product Name; ","")&amp;IF(H249="","Missing Region; ","")&amp;IF(K249&lt;=0,"Invalid Quantity; ","")&amp;IF(L249&lt;0,"Invalid Price; ","")&amp;IF(M249&lt;0,"Invalid Cost; ","")&amp;IF(OR(N249&lt;0,N249&gt;0.5),"Invalid Discount; ","")&amp;IF(COUNTIF(Lookups!$K$2:$K$4,P249)=0,"Invalid Status; ","")</f>
        <v/>
      </c>
      <c r="X249" s="15" t="str">
        <f t="shared" si="38"/>
        <v>2025-04</v>
      </c>
      <c r="Y249" t="str">
        <f t="shared" si="39"/>
        <v>Q2</v>
      </c>
      <c r="Z249" t="str">
        <f>IF(R249&gt;=Settings!$B$9,"High Value Customer",IF(R249&gt;=Settings!$B$10,"Medium Value Customer","Standard Customer"))</f>
        <v>High Value Customer</v>
      </c>
      <c r="AA249" t="str">
        <f>IF(R249&gt;=Settings!$B$9,"Large Order",IF(R249&gt;=Settings!$B$10,"Medium Order","Small Order"))</f>
        <v>Large Order</v>
      </c>
      <c r="AB249" t="str">
        <f>IF(N249=0,"No Discount",IF(N249&lt;=0.1,"Low Discount",IF(N249&lt;=Settings!$B$8,"Medium Discount","High Discount")))</f>
        <v>No Discount</v>
      </c>
      <c r="AC249" t="str">
        <f t="shared" si="40"/>
        <v>Profitable</v>
      </c>
      <c r="AD249" t="str">
        <f>IFERROR(VLOOKUP(E249,Lookups!$A$2:$E$11,2,FALSE),"Product Not Found")</f>
        <v>Standing Desk</v>
      </c>
      <c r="AE249" t="str">
        <f>IFERROR(VLOOKUP(E249,Lookups!$A$2:$E$11,3,FALSE),"Category Not Found")</f>
        <v>Furniture</v>
      </c>
      <c r="AF249" t="str">
        <f>IFERROR(IF(L249=VLOOKUP(E249,Lookups!$A$2:$E$11,4,FALSE),"Price OK","Price Mismatch"),"Product Missing")</f>
        <v>Price OK</v>
      </c>
      <c r="AG249" t="str">
        <f t="shared" si="41"/>
        <v>Valid Email</v>
      </c>
      <c r="AH249" t="str">
        <f t="shared" si="42"/>
        <v>READY FOR REPORTING</v>
      </c>
      <c r="AI249" t="str">
        <f>IF(AND(LEFT(A249,LEN(Settings!$B$13))=Settings!$B$13,LEN(A249)=9),"Valid Format","Invalid Format")</f>
        <v>Valid Format</v>
      </c>
      <c r="AJ249" t="str">
        <f>IF(LEFT(C249,LEN(Settings!$B$14))=Settings!$B$14,"Valid Format","Invalid Format")</f>
        <v>Valid Format</v>
      </c>
      <c r="AK249" t="str">
        <f>IF(COUNTIF(Master_Data!$G$5:$G$14,C249)=1,"Known Customer","Customer Not in Master")</f>
        <v>Customer Not in Master</v>
      </c>
      <c r="AL249" t="str">
        <f>IF(U249&gt;=Settings!$B$11,"Target Met","Below Target")</f>
        <v>Target Met</v>
      </c>
      <c r="AM249" t="str">
        <f>IF(YEAR(B249)=Settings!$B$5,"Correct Year","Wrong Year")</f>
        <v>Correct Year</v>
      </c>
      <c r="AN249">
        <f t="shared" si="43"/>
        <v>4</v>
      </c>
    </row>
    <row r="250" spans="1:40">
      <c r="A250" t="str">
        <f>Raw_Data!A250</f>
        <v>ORD-10249</v>
      </c>
      <c r="B250" s="13">
        <f>Raw_Data!B250</f>
        <v>45964</v>
      </c>
      <c r="C250" t="str">
        <f>Raw_Data!C250</f>
        <v>C1039</v>
      </c>
      <c r="D250" t="str">
        <f>Raw_Data!D250</f>
        <v>client37@example.com</v>
      </c>
      <c r="E250" t="str">
        <f>Raw_Data!E250</f>
        <v>P1010</v>
      </c>
      <c r="F250" t="str">
        <f>Raw_Data!F250</f>
        <v>Headset</v>
      </c>
      <c r="G250" t="str">
        <f>Raw_Data!G250</f>
        <v>Electronics</v>
      </c>
      <c r="H250" t="str">
        <f>Raw_Data!H250</f>
        <v>West</v>
      </c>
      <c r="I250" t="str">
        <f>Raw_Data!I250</f>
        <v>Online</v>
      </c>
      <c r="J250" t="str">
        <f>Raw_Data!J250</f>
        <v>Mihai Radu</v>
      </c>
      <c r="K250">
        <f>Raw_Data!K250</f>
        <v>11</v>
      </c>
      <c r="L250" s="12">
        <f>Raw_Data!L250</f>
        <v>195</v>
      </c>
      <c r="M250" s="12">
        <f>Raw_Data!M250</f>
        <v>105</v>
      </c>
      <c r="N250" s="14">
        <f>Raw_Data!N250</f>
        <v>0.05</v>
      </c>
      <c r="O250" t="str">
        <f>Raw_Data!O250</f>
        <v>Cash</v>
      </c>
      <c r="P250" t="str">
        <f>Raw_Data!P250</f>
        <v>Completed</v>
      </c>
      <c r="Q250" s="12">
        <f t="shared" si="33"/>
        <v>2145</v>
      </c>
      <c r="R250" s="12">
        <f t="shared" si="34"/>
        <v>2037.75</v>
      </c>
      <c r="S250" s="12">
        <f t="shared" si="35"/>
        <v>1155</v>
      </c>
      <c r="T250" s="12">
        <f t="shared" si="36"/>
        <v>882.75</v>
      </c>
      <c r="U250" s="11">
        <f t="shared" si="37"/>
        <v>0.4331983805668016</v>
      </c>
      <c r="V250" t="str">
        <f>IF(OR(A250="",COUNTIF($A$2:$A$301,A250)&gt;1,C250="",D250="",ISERROR(SEARCH("@",D250)),ISERROR(SEARCH(".",D250)),COUNTIF(Lookups!$A$2:$A$11,E250)=0,F250="",H250="",K250&lt;=0,L250&lt;0,M250&lt;0,N250&lt;0,N250&gt;0.5,COUNTIF(Lookups!$K$2:$K$4,P250)=0),"ERROR","VALID")</f>
        <v>VALID</v>
      </c>
      <c r="W250" s="2" t="str">
        <f>IF(A250="","Missing Order ID; ","")&amp;IF(COUNTIF($A$2:$A$301,A250)&gt;1,"Duplicate Order ID; ","")&amp;IF(C250="","Missing Customer ID; ","")&amp;IF(OR(D250="",ISERROR(SEARCH("@",D250)),ISERROR(SEARCH(".",D250))),"Invalid Email; ","")&amp;IF(COUNTIF(Lookups!$A$2:$A$11,E250)=0,"Unknown Product; ","")&amp;IF(F250="","Missing Product Name; ","")&amp;IF(H250="","Missing Region; ","")&amp;IF(K250&lt;=0,"Invalid Quantity; ","")&amp;IF(L250&lt;0,"Invalid Price; ","")&amp;IF(M250&lt;0,"Invalid Cost; ","")&amp;IF(OR(N250&lt;0,N250&gt;0.5),"Invalid Discount; ","")&amp;IF(COUNTIF(Lookups!$K$2:$K$4,P250)=0,"Invalid Status; ","")</f>
        <v/>
      </c>
      <c r="X250" s="15" t="str">
        <f t="shared" si="38"/>
        <v>2025-11</v>
      </c>
      <c r="Y250" t="str">
        <f t="shared" si="39"/>
        <v>Q4</v>
      </c>
      <c r="Z250" t="str">
        <f>IF(R250&gt;=Settings!$B$9,"High Value Customer",IF(R250&gt;=Settings!$B$10,"Medium Value Customer","Standard Customer"))</f>
        <v>Medium Value Customer</v>
      </c>
      <c r="AA250" t="str">
        <f>IF(R250&gt;=Settings!$B$9,"Large Order",IF(R250&gt;=Settings!$B$10,"Medium Order","Small Order"))</f>
        <v>Medium Order</v>
      </c>
      <c r="AB250" t="str">
        <f>IF(N250=0,"No Discount",IF(N250&lt;=0.1,"Low Discount",IF(N250&lt;=Settings!$B$8,"Medium Discount","High Discount")))</f>
        <v>Low Discount</v>
      </c>
      <c r="AC250" t="str">
        <f t="shared" si="40"/>
        <v>Profitable</v>
      </c>
      <c r="AD250" t="str">
        <f>IFERROR(VLOOKUP(E250,Lookups!$A$2:$E$11,2,FALSE),"Product Not Found")</f>
        <v>Headset</v>
      </c>
      <c r="AE250" t="str">
        <f>IFERROR(VLOOKUP(E250,Lookups!$A$2:$E$11,3,FALSE),"Category Not Found")</f>
        <v>Electronics</v>
      </c>
      <c r="AF250" t="str">
        <f>IFERROR(IF(L250=VLOOKUP(E250,Lookups!$A$2:$E$11,4,FALSE),"Price OK","Price Mismatch"),"Product Missing")</f>
        <v>Price OK</v>
      </c>
      <c r="AG250" t="str">
        <f t="shared" si="41"/>
        <v>Valid Email</v>
      </c>
      <c r="AH250" t="str">
        <f t="shared" si="42"/>
        <v>READY FOR REPORTING</v>
      </c>
      <c r="AI250" t="str">
        <f>IF(AND(LEFT(A250,LEN(Settings!$B$13))=Settings!$B$13,LEN(A250)=9),"Valid Format","Invalid Format")</f>
        <v>Valid Format</v>
      </c>
      <c r="AJ250" t="str">
        <f>IF(LEFT(C250,LEN(Settings!$B$14))=Settings!$B$14,"Valid Format","Invalid Format")</f>
        <v>Valid Format</v>
      </c>
      <c r="AK250" t="str">
        <f>IF(COUNTIF(Master_Data!$G$5:$G$14,C250)=1,"Known Customer","Customer Not in Master")</f>
        <v>Customer Not in Master</v>
      </c>
      <c r="AL250" t="str">
        <f>IF(U250&gt;=Settings!$B$11,"Target Met","Below Target")</f>
        <v>Target Met</v>
      </c>
      <c r="AM250" t="str">
        <f>IF(YEAR(B250)=Settings!$B$5,"Correct Year","Wrong Year")</f>
        <v>Correct Year</v>
      </c>
      <c r="AN250">
        <f t="shared" si="43"/>
        <v>4</v>
      </c>
    </row>
    <row r="251" spans="1:40">
      <c r="A251" t="str">
        <f>Raw_Data!A251</f>
        <v>ORD-10250</v>
      </c>
      <c r="B251" s="13">
        <f>Raw_Data!B251</f>
        <v>45689</v>
      </c>
      <c r="C251" t="str">
        <f>Raw_Data!C251</f>
        <v>C1117</v>
      </c>
      <c r="D251" t="str">
        <f>Raw_Data!D251</f>
        <v>client45@example.com</v>
      </c>
      <c r="E251" t="str">
        <f>Raw_Data!E251</f>
        <v>P1005</v>
      </c>
      <c r="F251" t="str">
        <f>Raw_Data!F251</f>
        <v>24-inch Monitor</v>
      </c>
      <c r="G251" t="str">
        <f>Raw_Data!G251</f>
        <v>Electronics</v>
      </c>
      <c r="H251" t="str">
        <f>Raw_Data!H251</f>
        <v>East</v>
      </c>
      <c r="I251" t="str">
        <f>Raw_Data!I251</f>
        <v>Marketplace</v>
      </c>
      <c r="J251" t="str">
        <f>Raw_Data!J251</f>
        <v>Mihai Radu</v>
      </c>
      <c r="K251">
        <f>Raw_Data!K251</f>
        <v>9</v>
      </c>
      <c r="L251" s="12">
        <f>Raw_Data!L251</f>
        <v>720</v>
      </c>
      <c r="M251" s="12">
        <f>Raw_Data!M251</f>
        <v>510</v>
      </c>
      <c r="N251" s="14">
        <f>Raw_Data!N251</f>
        <v>0.15</v>
      </c>
      <c r="O251" t="str">
        <f>Raw_Data!O251</f>
        <v>Card</v>
      </c>
      <c r="P251" t="str">
        <f>Raw_Data!P251</f>
        <v>Cancelled</v>
      </c>
      <c r="Q251" s="12">
        <f t="shared" si="33"/>
        <v>6480</v>
      </c>
      <c r="R251" s="12">
        <f t="shared" si="34"/>
        <v>5508</v>
      </c>
      <c r="S251" s="12">
        <f t="shared" si="35"/>
        <v>4590</v>
      </c>
      <c r="T251" s="12">
        <f t="shared" si="36"/>
        <v>918</v>
      </c>
      <c r="U251" s="11">
        <f t="shared" si="37"/>
        <v>0.16666666666666666</v>
      </c>
      <c r="V251" t="str">
        <f>IF(OR(A251="",COUNTIF($A$2:$A$301,A251)&gt;1,C251="",D251="",ISERROR(SEARCH("@",D251)),ISERROR(SEARCH(".",D251)),COUNTIF(Lookups!$A$2:$A$11,E251)=0,F251="",H251="",K251&lt;=0,L251&lt;0,M251&lt;0,N251&lt;0,N251&gt;0.5,COUNTIF(Lookups!$K$2:$K$4,P251)=0),"ERROR","VALID")</f>
        <v>VALID</v>
      </c>
      <c r="W251" s="2" t="str">
        <f>IF(A251="","Missing Order ID; ","")&amp;IF(COUNTIF($A$2:$A$301,A251)&gt;1,"Duplicate Order ID; ","")&amp;IF(C251="","Missing Customer ID; ","")&amp;IF(OR(D251="",ISERROR(SEARCH("@",D251)),ISERROR(SEARCH(".",D251))),"Invalid Email; ","")&amp;IF(COUNTIF(Lookups!$A$2:$A$11,E251)=0,"Unknown Product; ","")&amp;IF(F251="","Missing Product Name; ","")&amp;IF(H251="","Missing Region; ","")&amp;IF(K251&lt;=0,"Invalid Quantity; ","")&amp;IF(L251&lt;0,"Invalid Price; ","")&amp;IF(M251&lt;0,"Invalid Cost; ","")&amp;IF(OR(N251&lt;0,N251&gt;0.5),"Invalid Discount; ","")&amp;IF(COUNTIF(Lookups!$K$2:$K$4,P251)=0,"Invalid Status; ","")</f>
        <v/>
      </c>
      <c r="X251" s="15" t="str">
        <f t="shared" si="38"/>
        <v>2025-02</v>
      </c>
      <c r="Y251" t="str">
        <f t="shared" si="39"/>
        <v>Q1</v>
      </c>
      <c r="Z251" t="str">
        <f>IF(R251&gt;=Settings!$B$9,"High Value Customer",IF(R251&gt;=Settings!$B$10,"Medium Value Customer","Standard Customer"))</f>
        <v>High Value Customer</v>
      </c>
      <c r="AA251" t="str">
        <f>IF(R251&gt;=Settings!$B$9,"Large Order",IF(R251&gt;=Settings!$B$10,"Medium Order","Small Order"))</f>
        <v>Large Order</v>
      </c>
      <c r="AB251" t="str">
        <f>IF(N251=0,"No Discount",IF(N251&lt;=0.1,"Low Discount",IF(N251&lt;=Settings!$B$8,"Medium Discount","High Discount")))</f>
        <v>Medium Discount</v>
      </c>
      <c r="AC251" t="str">
        <f t="shared" si="40"/>
        <v>Profitable</v>
      </c>
      <c r="AD251" t="str">
        <f>IFERROR(VLOOKUP(E251,Lookups!$A$2:$E$11,2,FALSE),"Product Not Found")</f>
        <v>24-inch Monitor</v>
      </c>
      <c r="AE251" t="str">
        <f>IFERROR(VLOOKUP(E251,Lookups!$A$2:$E$11,3,FALSE),"Category Not Found")</f>
        <v>Electronics</v>
      </c>
      <c r="AF251" t="str">
        <f>IFERROR(IF(L251=VLOOKUP(E251,Lookups!$A$2:$E$11,4,FALSE),"Price OK","Price Mismatch"),"Product Missing")</f>
        <v>Price OK</v>
      </c>
      <c r="AG251" t="str">
        <f t="shared" si="41"/>
        <v>Valid Email</v>
      </c>
      <c r="AH251" t="str">
        <f t="shared" si="42"/>
        <v>READY FOR REPORTING</v>
      </c>
      <c r="AI251" t="str">
        <f>IF(AND(LEFT(A251,LEN(Settings!$B$13))=Settings!$B$13,LEN(A251)=9),"Valid Format","Invalid Format")</f>
        <v>Valid Format</v>
      </c>
      <c r="AJ251" t="str">
        <f>IF(LEFT(C251,LEN(Settings!$B$14))=Settings!$B$14,"Valid Format","Invalid Format")</f>
        <v>Valid Format</v>
      </c>
      <c r="AK251" t="str">
        <f>IF(COUNTIF(Master_Data!$G$5:$G$14,C251)=1,"Known Customer","Customer Not in Master")</f>
        <v>Customer Not in Master</v>
      </c>
      <c r="AL251" t="str">
        <f>IF(U251&gt;=Settings!$B$11,"Target Met","Below Target")</f>
        <v>Below Target</v>
      </c>
      <c r="AM251" t="str">
        <f>IF(YEAR(B251)=Settings!$B$5,"Correct Year","Wrong Year")</f>
        <v>Correct Year</v>
      </c>
      <c r="AN251">
        <f t="shared" si="43"/>
        <v>3</v>
      </c>
    </row>
    <row r="252" spans="1:40">
      <c r="A252" t="str">
        <f>Raw_Data!A252</f>
        <v>ORD-10251</v>
      </c>
      <c r="B252" s="13">
        <f>Raw_Data!B252</f>
        <v>45987</v>
      </c>
      <c r="C252" t="str">
        <f>Raw_Data!C252</f>
        <v>C1041</v>
      </c>
      <c r="D252" t="str">
        <f>Raw_Data!D252</f>
        <v>client179@example.com</v>
      </c>
      <c r="E252" t="str">
        <f>Raw_Data!E252</f>
        <v>P1006</v>
      </c>
      <c r="F252" t="str">
        <f>Raw_Data!F252</f>
        <v>27-inch Monitor</v>
      </c>
      <c r="G252" t="str">
        <f>Raw_Data!G252</f>
        <v>Electronics</v>
      </c>
      <c r="H252" t="str">
        <f>Raw_Data!H252</f>
        <v>East</v>
      </c>
      <c r="I252" t="str">
        <f>Raw_Data!I252</f>
        <v>Store</v>
      </c>
      <c r="J252" t="str">
        <f>Raw_Data!J252</f>
        <v>Maria Ionescu</v>
      </c>
      <c r="K252">
        <f>Raw_Data!K252</f>
        <v>11</v>
      </c>
      <c r="L252" s="12">
        <f>Raw_Data!L252</f>
        <v>1090</v>
      </c>
      <c r="M252" s="12">
        <f>Raw_Data!M252</f>
        <v>790</v>
      </c>
      <c r="N252" s="14">
        <f>Raw_Data!N252</f>
        <v>0.1</v>
      </c>
      <c r="O252" t="str">
        <f>Raw_Data!O252</f>
        <v>Cash</v>
      </c>
      <c r="P252" t="str">
        <f>Raw_Data!P252</f>
        <v>Returned</v>
      </c>
      <c r="Q252" s="12">
        <f t="shared" si="33"/>
        <v>11990</v>
      </c>
      <c r="R252" s="12">
        <f t="shared" si="34"/>
        <v>10791</v>
      </c>
      <c r="S252" s="12">
        <f t="shared" si="35"/>
        <v>8690</v>
      </c>
      <c r="T252" s="12">
        <f t="shared" si="36"/>
        <v>2101</v>
      </c>
      <c r="U252" s="11">
        <f t="shared" si="37"/>
        <v>0.19469928644240569</v>
      </c>
      <c r="V252" t="str">
        <f>IF(OR(A252="",COUNTIF($A$2:$A$301,A252)&gt;1,C252="",D252="",ISERROR(SEARCH("@",D252)),ISERROR(SEARCH(".",D252)),COUNTIF(Lookups!$A$2:$A$11,E252)=0,F252="",H252="",K252&lt;=0,L252&lt;0,M252&lt;0,N252&lt;0,N252&gt;0.5,COUNTIF(Lookups!$K$2:$K$4,P252)=0),"ERROR","VALID")</f>
        <v>VALID</v>
      </c>
      <c r="W252" s="2" t="str">
        <f>IF(A252="","Missing Order ID; ","")&amp;IF(COUNTIF($A$2:$A$301,A252)&gt;1,"Duplicate Order ID; ","")&amp;IF(C252="","Missing Customer ID; ","")&amp;IF(OR(D252="",ISERROR(SEARCH("@",D252)),ISERROR(SEARCH(".",D252))),"Invalid Email; ","")&amp;IF(COUNTIF(Lookups!$A$2:$A$11,E252)=0,"Unknown Product; ","")&amp;IF(F252="","Missing Product Name; ","")&amp;IF(H252="","Missing Region; ","")&amp;IF(K252&lt;=0,"Invalid Quantity; ","")&amp;IF(L252&lt;0,"Invalid Price; ","")&amp;IF(M252&lt;0,"Invalid Cost; ","")&amp;IF(OR(N252&lt;0,N252&gt;0.5),"Invalid Discount; ","")&amp;IF(COUNTIF(Lookups!$K$2:$K$4,P252)=0,"Invalid Status; ","")</f>
        <v/>
      </c>
      <c r="X252" s="15" t="str">
        <f t="shared" si="38"/>
        <v>2025-11</v>
      </c>
      <c r="Y252" t="str">
        <f t="shared" si="39"/>
        <v>Q4</v>
      </c>
      <c r="Z252" t="str">
        <f>IF(R252&gt;=Settings!$B$9,"High Value Customer",IF(R252&gt;=Settings!$B$10,"Medium Value Customer","Standard Customer"))</f>
        <v>High Value Customer</v>
      </c>
      <c r="AA252" t="str">
        <f>IF(R252&gt;=Settings!$B$9,"Large Order",IF(R252&gt;=Settings!$B$10,"Medium Order","Small Order"))</f>
        <v>Large Order</v>
      </c>
      <c r="AB252" t="str">
        <f>IF(N252=0,"No Discount",IF(N252&lt;=0.1,"Low Discount",IF(N252&lt;=Settings!$B$8,"Medium Discount","High Discount")))</f>
        <v>Low Discount</v>
      </c>
      <c r="AC252" t="str">
        <f t="shared" si="40"/>
        <v>Profitable</v>
      </c>
      <c r="AD252" t="str">
        <f>IFERROR(VLOOKUP(E252,Lookups!$A$2:$E$11,2,FALSE),"Product Not Found")</f>
        <v>27-inch Monitor</v>
      </c>
      <c r="AE252" t="str">
        <f>IFERROR(VLOOKUP(E252,Lookups!$A$2:$E$11,3,FALSE),"Category Not Found")</f>
        <v>Electronics</v>
      </c>
      <c r="AF252" t="str">
        <f>IFERROR(IF(L252=VLOOKUP(E252,Lookups!$A$2:$E$11,4,FALSE),"Price OK","Price Mismatch"),"Product Missing")</f>
        <v>Price OK</v>
      </c>
      <c r="AG252" t="str">
        <f t="shared" si="41"/>
        <v>Valid Email</v>
      </c>
      <c r="AH252" t="str">
        <f t="shared" si="42"/>
        <v>READY FOR REPORTING</v>
      </c>
      <c r="AI252" t="str">
        <f>IF(AND(LEFT(A252,LEN(Settings!$B$13))=Settings!$B$13,LEN(A252)=9),"Valid Format","Invalid Format")</f>
        <v>Valid Format</v>
      </c>
      <c r="AJ252" t="str">
        <f>IF(LEFT(C252,LEN(Settings!$B$14))=Settings!$B$14,"Valid Format","Invalid Format")</f>
        <v>Valid Format</v>
      </c>
      <c r="AK252" t="str">
        <f>IF(COUNTIF(Master_Data!$G$5:$G$14,C252)=1,"Known Customer","Customer Not in Master")</f>
        <v>Customer Not in Master</v>
      </c>
      <c r="AL252" t="str">
        <f>IF(U252&gt;=Settings!$B$11,"Target Met","Below Target")</f>
        <v>Below Target</v>
      </c>
      <c r="AM252" t="str">
        <f>IF(YEAR(B252)=Settings!$B$5,"Correct Year","Wrong Year")</f>
        <v>Correct Year</v>
      </c>
      <c r="AN252">
        <f t="shared" si="43"/>
        <v>3</v>
      </c>
    </row>
    <row r="253" spans="1:40">
      <c r="A253" t="str">
        <f>Raw_Data!A253</f>
        <v>ORD-10252</v>
      </c>
      <c r="B253" s="13">
        <f>Raw_Data!B253</f>
        <v>45752</v>
      </c>
      <c r="C253" t="str">
        <f>Raw_Data!C253</f>
        <v>C1109</v>
      </c>
      <c r="D253" t="str">
        <f>Raw_Data!D253</f>
        <v>client58@example.com</v>
      </c>
      <c r="E253" t="str">
        <f>Raw_Data!E253</f>
        <v>P1007</v>
      </c>
      <c r="F253" t="str">
        <f>Raw_Data!F253</f>
        <v>Office Chair</v>
      </c>
      <c r="G253" t="str">
        <f>Raw_Data!G253</f>
        <v>Furniture</v>
      </c>
      <c r="H253" t="str">
        <f>Raw_Data!H253</f>
        <v>South</v>
      </c>
      <c r="I253" t="str">
        <f>Raw_Data!I253</f>
        <v>Marketplace</v>
      </c>
      <c r="J253" t="str">
        <f>Raw_Data!J253</f>
        <v>Maria Ionescu</v>
      </c>
      <c r="K253">
        <f>Raw_Data!K253</f>
        <v>9</v>
      </c>
      <c r="L253" s="12">
        <f>Raw_Data!L253</f>
        <v>840</v>
      </c>
      <c r="M253" s="12">
        <f>Raw_Data!M253</f>
        <v>590</v>
      </c>
      <c r="N253" s="14">
        <f>Raw_Data!N253</f>
        <v>0.1</v>
      </c>
      <c r="O253" t="str">
        <f>Raw_Data!O253</f>
        <v>Online Wallet</v>
      </c>
      <c r="P253" t="str">
        <f>Raw_Data!P253</f>
        <v>Completed</v>
      </c>
      <c r="Q253" s="12">
        <f t="shared" si="33"/>
        <v>7560</v>
      </c>
      <c r="R253" s="12">
        <f t="shared" si="34"/>
        <v>6804</v>
      </c>
      <c r="S253" s="12">
        <f t="shared" si="35"/>
        <v>5310</v>
      </c>
      <c r="T253" s="12">
        <f t="shared" si="36"/>
        <v>1494</v>
      </c>
      <c r="U253" s="11">
        <f t="shared" si="37"/>
        <v>0.21957671957671956</v>
      </c>
      <c r="V253" t="str">
        <f>IF(OR(A253="",COUNTIF($A$2:$A$301,A253)&gt;1,C253="",D253="",ISERROR(SEARCH("@",D253)),ISERROR(SEARCH(".",D253)),COUNTIF(Lookups!$A$2:$A$11,E253)=0,F253="",H253="",K253&lt;=0,L253&lt;0,M253&lt;0,N253&lt;0,N253&gt;0.5,COUNTIF(Lookups!$K$2:$K$4,P253)=0),"ERROR","VALID")</f>
        <v>VALID</v>
      </c>
      <c r="W253" s="2" t="str">
        <f>IF(A253="","Missing Order ID; ","")&amp;IF(COUNTIF($A$2:$A$301,A253)&gt;1,"Duplicate Order ID; ","")&amp;IF(C253="","Missing Customer ID; ","")&amp;IF(OR(D253="",ISERROR(SEARCH("@",D253)),ISERROR(SEARCH(".",D253))),"Invalid Email; ","")&amp;IF(COUNTIF(Lookups!$A$2:$A$11,E253)=0,"Unknown Product; ","")&amp;IF(F253="","Missing Product Name; ","")&amp;IF(H253="","Missing Region; ","")&amp;IF(K253&lt;=0,"Invalid Quantity; ","")&amp;IF(L253&lt;0,"Invalid Price; ","")&amp;IF(M253&lt;0,"Invalid Cost; ","")&amp;IF(OR(N253&lt;0,N253&gt;0.5),"Invalid Discount; ","")&amp;IF(COUNTIF(Lookups!$K$2:$K$4,P253)=0,"Invalid Status; ","")</f>
        <v/>
      </c>
      <c r="X253" s="15" t="str">
        <f t="shared" si="38"/>
        <v>2025-04</v>
      </c>
      <c r="Y253" t="str">
        <f t="shared" si="39"/>
        <v>Q2</v>
      </c>
      <c r="Z253" t="str">
        <f>IF(R253&gt;=Settings!$B$9,"High Value Customer",IF(R253&gt;=Settings!$B$10,"Medium Value Customer","Standard Customer"))</f>
        <v>High Value Customer</v>
      </c>
      <c r="AA253" t="str">
        <f>IF(R253&gt;=Settings!$B$9,"Large Order",IF(R253&gt;=Settings!$B$10,"Medium Order","Small Order"))</f>
        <v>Large Order</v>
      </c>
      <c r="AB253" t="str">
        <f>IF(N253=0,"No Discount",IF(N253&lt;=0.1,"Low Discount",IF(N253&lt;=Settings!$B$8,"Medium Discount","High Discount")))</f>
        <v>Low Discount</v>
      </c>
      <c r="AC253" t="str">
        <f t="shared" si="40"/>
        <v>Profitable</v>
      </c>
      <c r="AD253" t="str">
        <f>IFERROR(VLOOKUP(E253,Lookups!$A$2:$E$11,2,FALSE),"Product Not Found")</f>
        <v>Office Chair</v>
      </c>
      <c r="AE253" t="str">
        <f>IFERROR(VLOOKUP(E253,Lookups!$A$2:$E$11,3,FALSE),"Category Not Found")</f>
        <v>Furniture</v>
      </c>
      <c r="AF253" t="str">
        <f>IFERROR(IF(L253=VLOOKUP(E253,Lookups!$A$2:$E$11,4,FALSE),"Price OK","Price Mismatch"),"Product Missing")</f>
        <v>Price OK</v>
      </c>
      <c r="AG253" t="str">
        <f t="shared" si="41"/>
        <v>Valid Email</v>
      </c>
      <c r="AH253" t="str">
        <f t="shared" si="42"/>
        <v>READY FOR REPORTING</v>
      </c>
      <c r="AI253" t="str">
        <f>IF(AND(LEFT(A253,LEN(Settings!$B$13))=Settings!$B$13,LEN(A253)=9),"Valid Format","Invalid Format")</f>
        <v>Valid Format</v>
      </c>
      <c r="AJ253" t="str">
        <f>IF(LEFT(C253,LEN(Settings!$B$14))=Settings!$B$14,"Valid Format","Invalid Format")</f>
        <v>Valid Format</v>
      </c>
      <c r="AK253" t="str">
        <f>IF(COUNTIF(Master_Data!$G$5:$G$14,C253)=1,"Known Customer","Customer Not in Master")</f>
        <v>Customer Not in Master</v>
      </c>
      <c r="AL253" t="str">
        <f>IF(U253&gt;=Settings!$B$11,"Target Met","Below Target")</f>
        <v>Below Target</v>
      </c>
      <c r="AM253" t="str">
        <f>IF(YEAR(B253)=Settings!$B$5,"Correct Year","Wrong Year")</f>
        <v>Correct Year</v>
      </c>
      <c r="AN253">
        <f t="shared" si="43"/>
        <v>3</v>
      </c>
    </row>
    <row r="254" spans="1:40">
      <c r="A254" t="str">
        <f>Raw_Data!A254</f>
        <v>ORD-10253</v>
      </c>
      <c r="B254" s="13">
        <f>Raw_Data!B254</f>
        <v>45945</v>
      </c>
      <c r="C254" t="str">
        <f>Raw_Data!C254</f>
        <v>C1068</v>
      </c>
      <c r="D254" t="str">
        <f>Raw_Data!D254</f>
        <v>client35@example.com</v>
      </c>
      <c r="E254" t="str">
        <f>Raw_Data!E254</f>
        <v>P1001</v>
      </c>
      <c r="F254" t="str">
        <f>Raw_Data!F254</f>
        <v>Laptop Stand</v>
      </c>
      <c r="G254" t="str">
        <f>Raw_Data!G254</f>
        <v>Accessories</v>
      </c>
      <c r="H254" t="str">
        <f>Raw_Data!H254</f>
        <v>East</v>
      </c>
      <c r="I254" t="str">
        <f>Raw_Data!I254</f>
        <v>Online</v>
      </c>
      <c r="J254" t="str">
        <f>Raw_Data!J254</f>
        <v>Elena Stan</v>
      </c>
      <c r="K254">
        <f>Raw_Data!K254</f>
        <v>7</v>
      </c>
      <c r="L254" s="12">
        <f>Raw_Data!L254</f>
        <v>95</v>
      </c>
      <c r="M254" s="12">
        <f>Raw_Data!M254</f>
        <v>52</v>
      </c>
      <c r="N254" s="14">
        <f>Raw_Data!N254</f>
        <v>0.1</v>
      </c>
      <c r="O254" t="str">
        <f>Raw_Data!O254</f>
        <v>Bank Transfer</v>
      </c>
      <c r="P254" t="str">
        <f>Raw_Data!P254</f>
        <v>Returned</v>
      </c>
      <c r="Q254" s="12">
        <f t="shared" si="33"/>
        <v>665</v>
      </c>
      <c r="R254" s="12">
        <f t="shared" si="34"/>
        <v>598.5</v>
      </c>
      <c r="S254" s="12">
        <f t="shared" si="35"/>
        <v>364</v>
      </c>
      <c r="T254" s="12">
        <f t="shared" si="36"/>
        <v>234.5</v>
      </c>
      <c r="U254" s="11">
        <f t="shared" si="37"/>
        <v>0.391812865497076</v>
      </c>
      <c r="V254" t="str">
        <f>IF(OR(A254="",COUNTIF($A$2:$A$301,A254)&gt;1,C254="",D254="",ISERROR(SEARCH("@",D254)),ISERROR(SEARCH(".",D254)),COUNTIF(Lookups!$A$2:$A$11,E254)=0,F254="",H254="",K254&lt;=0,L254&lt;0,M254&lt;0,N254&lt;0,N254&gt;0.5,COUNTIF(Lookups!$K$2:$K$4,P254)=0),"ERROR","VALID")</f>
        <v>VALID</v>
      </c>
      <c r="W254" s="2" t="str">
        <f>IF(A254="","Missing Order ID; ","")&amp;IF(COUNTIF($A$2:$A$301,A254)&gt;1,"Duplicate Order ID; ","")&amp;IF(C254="","Missing Customer ID; ","")&amp;IF(OR(D254="",ISERROR(SEARCH("@",D254)),ISERROR(SEARCH(".",D254))),"Invalid Email; ","")&amp;IF(COUNTIF(Lookups!$A$2:$A$11,E254)=0,"Unknown Product; ","")&amp;IF(F254="","Missing Product Name; ","")&amp;IF(H254="","Missing Region; ","")&amp;IF(K254&lt;=0,"Invalid Quantity; ","")&amp;IF(L254&lt;0,"Invalid Price; ","")&amp;IF(M254&lt;0,"Invalid Cost; ","")&amp;IF(OR(N254&lt;0,N254&gt;0.5),"Invalid Discount; ","")&amp;IF(COUNTIF(Lookups!$K$2:$K$4,P254)=0,"Invalid Status; ","")</f>
        <v/>
      </c>
      <c r="X254" s="15" t="str">
        <f t="shared" si="38"/>
        <v>2025-10</v>
      </c>
      <c r="Y254" t="str">
        <f t="shared" si="39"/>
        <v>Q4</v>
      </c>
      <c r="Z254" t="str">
        <f>IF(R254&gt;=Settings!$B$9,"High Value Customer",IF(R254&gt;=Settings!$B$10,"Medium Value Customer","Standard Customer"))</f>
        <v>Standard Customer</v>
      </c>
      <c r="AA254" t="str">
        <f>IF(R254&gt;=Settings!$B$9,"Large Order",IF(R254&gt;=Settings!$B$10,"Medium Order","Small Order"))</f>
        <v>Small Order</v>
      </c>
      <c r="AB254" t="str">
        <f>IF(N254=0,"No Discount",IF(N254&lt;=0.1,"Low Discount",IF(N254&lt;=Settings!$B$8,"Medium Discount","High Discount")))</f>
        <v>Low Discount</v>
      </c>
      <c r="AC254" t="str">
        <f t="shared" si="40"/>
        <v>Profitable</v>
      </c>
      <c r="AD254" t="str">
        <f>IFERROR(VLOOKUP(E254,Lookups!$A$2:$E$11,2,FALSE),"Product Not Found")</f>
        <v>Laptop Stand</v>
      </c>
      <c r="AE254" t="str">
        <f>IFERROR(VLOOKUP(E254,Lookups!$A$2:$E$11,3,FALSE),"Category Not Found")</f>
        <v>Accessories</v>
      </c>
      <c r="AF254" t="str">
        <f>IFERROR(IF(L254=VLOOKUP(E254,Lookups!$A$2:$E$11,4,FALSE),"Price OK","Price Mismatch"),"Product Missing")</f>
        <v>Price OK</v>
      </c>
      <c r="AG254" t="str">
        <f t="shared" si="41"/>
        <v>Valid Email</v>
      </c>
      <c r="AH254" t="str">
        <f t="shared" si="42"/>
        <v>READY FOR REPORTING</v>
      </c>
      <c r="AI254" t="str">
        <f>IF(AND(LEFT(A254,LEN(Settings!$B$13))=Settings!$B$13,LEN(A254)=9),"Valid Format","Invalid Format")</f>
        <v>Valid Format</v>
      </c>
      <c r="AJ254" t="str">
        <f>IF(LEFT(C254,LEN(Settings!$B$14))=Settings!$B$14,"Valid Format","Invalid Format")</f>
        <v>Valid Format</v>
      </c>
      <c r="AK254" t="str">
        <f>IF(COUNTIF(Master_Data!$G$5:$G$14,C254)=1,"Known Customer","Customer Not in Master")</f>
        <v>Customer Not in Master</v>
      </c>
      <c r="AL254" t="str">
        <f>IF(U254&gt;=Settings!$B$11,"Target Met","Below Target")</f>
        <v>Target Met</v>
      </c>
      <c r="AM254" t="str">
        <f>IF(YEAR(B254)=Settings!$B$5,"Correct Year","Wrong Year")</f>
        <v>Correct Year</v>
      </c>
      <c r="AN254">
        <f t="shared" si="43"/>
        <v>4</v>
      </c>
    </row>
    <row r="255" spans="1:40">
      <c r="A255" t="str">
        <f>Raw_Data!A255</f>
        <v>ORD-10254</v>
      </c>
      <c r="B255" s="13">
        <f>Raw_Data!B255</f>
        <v>45989</v>
      </c>
      <c r="C255" t="str">
        <f>Raw_Data!C255</f>
        <v>C1012</v>
      </c>
      <c r="D255" t="str">
        <f>Raw_Data!D255</f>
        <v>client138@example.com</v>
      </c>
      <c r="E255" t="str">
        <f>Raw_Data!E255</f>
        <v>P1006</v>
      </c>
      <c r="F255" t="str">
        <f>Raw_Data!F255</f>
        <v>27-inch Monitor</v>
      </c>
      <c r="G255" t="str">
        <f>Raw_Data!G255</f>
        <v>Electronics</v>
      </c>
      <c r="H255" t="str">
        <f>Raw_Data!H255</f>
        <v>North</v>
      </c>
      <c r="I255" t="str">
        <f>Raw_Data!I255</f>
        <v>Online</v>
      </c>
      <c r="J255" t="str">
        <f>Raw_Data!J255</f>
        <v>Elena Stan</v>
      </c>
      <c r="K255">
        <f>Raw_Data!K255</f>
        <v>2</v>
      </c>
      <c r="L255" s="12">
        <f>Raw_Data!L255</f>
        <v>1090</v>
      </c>
      <c r="M255" s="12">
        <f>Raw_Data!M255</f>
        <v>790</v>
      </c>
      <c r="N255" s="14">
        <f>Raw_Data!N255</f>
        <v>0.1</v>
      </c>
      <c r="O255" t="str">
        <f>Raw_Data!O255</f>
        <v>Online Wallet</v>
      </c>
      <c r="P255" t="str">
        <f>Raw_Data!P255</f>
        <v>Completed</v>
      </c>
      <c r="Q255" s="12">
        <f t="shared" si="33"/>
        <v>2180</v>
      </c>
      <c r="R255" s="12">
        <f t="shared" si="34"/>
        <v>1962</v>
      </c>
      <c r="S255" s="12">
        <f t="shared" si="35"/>
        <v>1580</v>
      </c>
      <c r="T255" s="12">
        <f t="shared" si="36"/>
        <v>382</v>
      </c>
      <c r="U255" s="11">
        <f t="shared" si="37"/>
        <v>0.19469928644240569</v>
      </c>
      <c r="V255" t="str">
        <f>IF(OR(A255="",COUNTIF($A$2:$A$301,A255)&gt;1,C255="",D255="",ISERROR(SEARCH("@",D255)),ISERROR(SEARCH(".",D255)),COUNTIF(Lookups!$A$2:$A$11,E255)=0,F255="",H255="",K255&lt;=0,L255&lt;0,M255&lt;0,N255&lt;0,N255&gt;0.5,COUNTIF(Lookups!$K$2:$K$4,P255)=0),"ERROR","VALID")</f>
        <v>VALID</v>
      </c>
      <c r="W255" s="2" t="str">
        <f>IF(A255="","Missing Order ID; ","")&amp;IF(COUNTIF($A$2:$A$301,A255)&gt;1,"Duplicate Order ID; ","")&amp;IF(C255="","Missing Customer ID; ","")&amp;IF(OR(D255="",ISERROR(SEARCH("@",D255)),ISERROR(SEARCH(".",D255))),"Invalid Email; ","")&amp;IF(COUNTIF(Lookups!$A$2:$A$11,E255)=0,"Unknown Product; ","")&amp;IF(F255="","Missing Product Name; ","")&amp;IF(H255="","Missing Region; ","")&amp;IF(K255&lt;=0,"Invalid Quantity; ","")&amp;IF(L255&lt;0,"Invalid Price; ","")&amp;IF(M255&lt;0,"Invalid Cost; ","")&amp;IF(OR(N255&lt;0,N255&gt;0.5),"Invalid Discount; ","")&amp;IF(COUNTIF(Lookups!$K$2:$K$4,P255)=0,"Invalid Status; ","")</f>
        <v/>
      </c>
      <c r="X255" s="15" t="str">
        <f t="shared" si="38"/>
        <v>2025-11</v>
      </c>
      <c r="Y255" t="str">
        <f t="shared" si="39"/>
        <v>Q4</v>
      </c>
      <c r="Z255" t="str">
        <f>IF(R255&gt;=Settings!$B$9,"High Value Customer",IF(R255&gt;=Settings!$B$10,"Medium Value Customer","Standard Customer"))</f>
        <v>Standard Customer</v>
      </c>
      <c r="AA255" t="str">
        <f>IF(R255&gt;=Settings!$B$9,"Large Order",IF(R255&gt;=Settings!$B$10,"Medium Order","Small Order"))</f>
        <v>Small Order</v>
      </c>
      <c r="AB255" t="str">
        <f>IF(N255=0,"No Discount",IF(N255&lt;=0.1,"Low Discount",IF(N255&lt;=Settings!$B$8,"Medium Discount","High Discount")))</f>
        <v>Low Discount</v>
      </c>
      <c r="AC255" t="str">
        <f t="shared" si="40"/>
        <v>Profitable</v>
      </c>
      <c r="AD255" t="str">
        <f>IFERROR(VLOOKUP(E255,Lookups!$A$2:$E$11,2,FALSE),"Product Not Found")</f>
        <v>27-inch Monitor</v>
      </c>
      <c r="AE255" t="str">
        <f>IFERROR(VLOOKUP(E255,Lookups!$A$2:$E$11,3,FALSE),"Category Not Found")</f>
        <v>Electronics</v>
      </c>
      <c r="AF255" t="str">
        <f>IFERROR(IF(L255=VLOOKUP(E255,Lookups!$A$2:$E$11,4,FALSE),"Price OK","Price Mismatch"),"Product Missing")</f>
        <v>Price OK</v>
      </c>
      <c r="AG255" t="str">
        <f t="shared" si="41"/>
        <v>Valid Email</v>
      </c>
      <c r="AH255" t="str">
        <f t="shared" si="42"/>
        <v>READY FOR REPORTING</v>
      </c>
      <c r="AI255" t="str">
        <f>IF(AND(LEFT(A255,LEN(Settings!$B$13))=Settings!$B$13,LEN(A255)=9),"Valid Format","Invalid Format")</f>
        <v>Valid Format</v>
      </c>
      <c r="AJ255" t="str">
        <f>IF(LEFT(C255,LEN(Settings!$B$14))=Settings!$B$14,"Valid Format","Invalid Format")</f>
        <v>Valid Format</v>
      </c>
      <c r="AK255" t="str">
        <f>IF(COUNTIF(Master_Data!$G$5:$G$14,C255)=1,"Known Customer","Customer Not in Master")</f>
        <v>Customer Not in Master</v>
      </c>
      <c r="AL255" t="str">
        <f>IF(U255&gt;=Settings!$B$11,"Target Met","Below Target")</f>
        <v>Below Target</v>
      </c>
      <c r="AM255" t="str">
        <f>IF(YEAR(B255)=Settings!$B$5,"Correct Year","Wrong Year")</f>
        <v>Correct Year</v>
      </c>
      <c r="AN255">
        <f t="shared" si="43"/>
        <v>3</v>
      </c>
    </row>
    <row r="256" spans="1:40">
      <c r="A256" t="str">
        <f>Raw_Data!A256</f>
        <v>ORD-10255</v>
      </c>
      <c r="B256" s="13">
        <f>Raw_Data!B256</f>
        <v>45966</v>
      </c>
      <c r="C256" t="str">
        <f>Raw_Data!C256</f>
        <v>C1103</v>
      </c>
      <c r="D256" t="str">
        <f>Raw_Data!D256</f>
        <v>client151@example.com</v>
      </c>
      <c r="E256" t="str">
        <f>Raw_Data!E256</f>
        <v>P1010</v>
      </c>
      <c r="F256" t="str">
        <f>Raw_Data!F256</f>
        <v>Headset</v>
      </c>
      <c r="G256" t="str">
        <f>Raw_Data!G256</f>
        <v>Electronics</v>
      </c>
      <c r="H256" t="str">
        <f>Raw_Data!H256</f>
        <v>West</v>
      </c>
      <c r="I256" t="str">
        <f>Raw_Data!I256</f>
        <v>Online</v>
      </c>
      <c r="J256" t="str">
        <f>Raw_Data!J256</f>
        <v>Mihai Radu</v>
      </c>
      <c r="K256">
        <f>Raw_Data!K256</f>
        <v>1</v>
      </c>
      <c r="L256" s="12">
        <f>Raw_Data!L256</f>
        <v>195</v>
      </c>
      <c r="M256" s="12">
        <f>Raw_Data!M256</f>
        <v>105</v>
      </c>
      <c r="N256" s="14">
        <f>Raw_Data!N256</f>
        <v>0</v>
      </c>
      <c r="O256" t="str">
        <f>Raw_Data!O256</f>
        <v>Bank Transfer</v>
      </c>
      <c r="P256" t="str">
        <f>Raw_Data!P256</f>
        <v>Completed</v>
      </c>
      <c r="Q256" s="12">
        <f t="shared" si="33"/>
        <v>195</v>
      </c>
      <c r="R256" s="12">
        <f t="shared" si="34"/>
        <v>195</v>
      </c>
      <c r="S256" s="12">
        <f t="shared" si="35"/>
        <v>105</v>
      </c>
      <c r="T256" s="12">
        <f t="shared" si="36"/>
        <v>90</v>
      </c>
      <c r="U256" s="11">
        <f t="shared" si="37"/>
        <v>0.46153846153846156</v>
      </c>
      <c r="V256" t="str">
        <f>IF(OR(A256="",COUNTIF($A$2:$A$301,A256)&gt;1,C256="",D256="",ISERROR(SEARCH("@",D256)),ISERROR(SEARCH(".",D256)),COUNTIF(Lookups!$A$2:$A$11,E256)=0,F256="",H256="",K256&lt;=0,L256&lt;0,M256&lt;0,N256&lt;0,N256&gt;0.5,COUNTIF(Lookups!$K$2:$K$4,P256)=0),"ERROR","VALID")</f>
        <v>VALID</v>
      </c>
      <c r="W256" s="2" t="str">
        <f>IF(A256="","Missing Order ID; ","")&amp;IF(COUNTIF($A$2:$A$301,A256)&gt;1,"Duplicate Order ID; ","")&amp;IF(C256="","Missing Customer ID; ","")&amp;IF(OR(D256="",ISERROR(SEARCH("@",D256)),ISERROR(SEARCH(".",D256))),"Invalid Email; ","")&amp;IF(COUNTIF(Lookups!$A$2:$A$11,E256)=0,"Unknown Product; ","")&amp;IF(F256="","Missing Product Name; ","")&amp;IF(H256="","Missing Region; ","")&amp;IF(K256&lt;=0,"Invalid Quantity; ","")&amp;IF(L256&lt;0,"Invalid Price; ","")&amp;IF(M256&lt;0,"Invalid Cost; ","")&amp;IF(OR(N256&lt;0,N256&gt;0.5),"Invalid Discount; ","")&amp;IF(COUNTIF(Lookups!$K$2:$K$4,P256)=0,"Invalid Status; ","")</f>
        <v/>
      </c>
      <c r="X256" s="15" t="str">
        <f t="shared" si="38"/>
        <v>2025-11</v>
      </c>
      <c r="Y256" t="str">
        <f t="shared" si="39"/>
        <v>Q4</v>
      </c>
      <c r="Z256" t="str">
        <f>IF(R256&gt;=Settings!$B$9,"High Value Customer",IF(R256&gt;=Settings!$B$10,"Medium Value Customer","Standard Customer"))</f>
        <v>Standard Customer</v>
      </c>
      <c r="AA256" t="str">
        <f>IF(R256&gt;=Settings!$B$9,"Large Order",IF(R256&gt;=Settings!$B$10,"Medium Order","Small Order"))</f>
        <v>Small Order</v>
      </c>
      <c r="AB256" t="str">
        <f>IF(N256=0,"No Discount",IF(N256&lt;=0.1,"Low Discount",IF(N256&lt;=Settings!$B$8,"Medium Discount","High Discount")))</f>
        <v>No Discount</v>
      </c>
      <c r="AC256" t="str">
        <f t="shared" si="40"/>
        <v>Profitable</v>
      </c>
      <c r="AD256" t="str">
        <f>IFERROR(VLOOKUP(E256,Lookups!$A$2:$E$11,2,FALSE),"Product Not Found")</f>
        <v>Headset</v>
      </c>
      <c r="AE256" t="str">
        <f>IFERROR(VLOOKUP(E256,Lookups!$A$2:$E$11,3,FALSE),"Category Not Found")</f>
        <v>Electronics</v>
      </c>
      <c r="AF256" t="str">
        <f>IFERROR(IF(L256=VLOOKUP(E256,Lookups!$A$2:$E$11,4,FALSE),"Price OK","Price Mismatch"),"Product Missing")</f>
        <v>Price OK</v>
      </c>
      <c r="AG256" t="str">
        <f t="shared" si="41"/>
        <v>Valid Email</v>
      </c>
      <c r="AH256" t="str">
        <f t="shared" si="42"/>
        <v>READY FOR REPORTING</v>
      </c>
      <c r="AI256" t="str">
        <f>IF(AND(LEFT(A256,LEN(Settings!$B$13))=Settings!$B$13,LEN(A256)=9),"Valid Format","Invalid Format")</f>
        <v>Valid Format</v>
      </c>
      <c r="AJ256" t="str">
        <f>IF(LEFT(C256,LEN(Settings!$B$14))=Settings!$B$14,"Valid Format","Invalid Format")</f>
        <v>Valid Format</v>
      </c>
      <c r="AK256" t="str">
        <f>IF(COUNTIF(Master_Data!$G$5:$G$14,C256)=1,"Known Customer","Customer Not in Master")</f>
        <v>Customer Not in Master</v>
      </c>
      <c r="AL256" t="str">
        <f>IF(U256&gt;=Settings!$B$11,"Target Met","Below Target")</f>
        <v>Target Met</v>
      </c>
      <c r="AM256" t="str">
        <f>IF(YEAR(B256)=Settings!$B$5,"Correct Year","Wrong Year")</f>
        <v>Correct Year</v>
      </c>
      <c r="AN256">
        <f t="shared" si="43"/>
        <v>4</v>
      </c>
    </row>
    <row r="257" spans="1:40">
      <c r="A257" t="str">
        <f>Raw_Data!A257</f>
        <v>ORD-10256</v>
      </c>
      <c r="B257" s="13">
        <f>Raw_Data!B257</f>
        <v>45813</v>
      </c>
      <c r="C257" t="str">
        <f>Raw_Data!C257</f>
        <v>C1124</v>
      </c>
      <c r="D257" t="str">
        <f>Raw_Data!D257</f>
        <v>client31@example.com</v>
      </c>
      <c r="E257" t="str">
        <f>Raw_Data!E257</f>
        <v>P1006</v>
      </c>
      <c r="F257" t="str">
        <f>Raw_Data!F257</f>
        <v>27-inch Monitor</v>
      </c>
      <c r="G257" t="str">
        <f>Raw_Data!G257</f>
        <v>Electronics</v>
      </c>
      <c r="H257" t="str">
        <f>Raw_Data!H257</f>
        <v>East</v>
      </c>
      <c r="I257" t="str">
        <f>Raw_Data!I257</f>
        <v>Online</v>
      </c>
      <c r="J257" t="str">
        <f>Raw_Data!J257</f>
        <v>Ioana Pavel</v>
      </c>
      <c r="K257">
        <f>Raw_Data!K257</f>
        <v>1</v>
      </c>
      <c r="L257" s="12">
        <f>Raw_Data!L257</f>
        <v>1090</v>
      </c>
      <c r="M257" s="12">
        <f>Raw_Data!M257</f>
        <v>790</v>
      </c>
      <c r="N257" s="14">
        <f>Raw_Data!N257</f>
        <v>0</v>
      </c>
      <c r="O257" t="str">
        <f>Raw_Data!O257</f>
        <v>Bank Transfer</v>
      </c>
      <c r="P257" t="str">
        <f>Raw_Data!P257</f>
        <v>Completed</v>
      </c>
      <c r="Q257" s="12">
        <f t="shared" si="33"/>
        <v>1090</v>
      </c>
      <c r="R257" s="12">
        <f t="shared" si="34"/>
        <v>1090</v>
      </c>
      <c r="S257" s="12">
        <f t="shared" si="35"/>
        <v>790</v>
      </c>
      <c r="T257" s="12">
        <f t="shared" si="36"/>
        <v>300</v>
      </c>
      <c r="U257" s="11">
        <f t="shared" si="37"/>
        <v>0.27522935779816515</v>
      </c>
      <c r="V257" t="str">
        <f>IF(OR(A257="",COUNTIF($A$2:$A$301,A257)&gt;1,C257="",D257="",ISERROR(SEARCH("@",D257)),ISERROR(SEARCH(".",D257)),COUNTIF(Lookups!$A$2:$A$11,E257)=0,F257="",H257="",K257&lt;=0,L257&lt;0,M257&lt;0,N257&lt;0,N257&gt;0.5,COUNTIF(Lookups!$K$2:$K$4,P257)=0),"ERROR","VALID")</f>
        <v>VALID</v>
      </c>
      <c r="W257" s="2" t="str">
        <f>IF(A257="","Missing Order ID; ","")&amp;IF(COUNTIF($A$2:$A$301,A257)&gt;1,"Duplicate Order ID; ","")&amp;IF(C257="","Missing Customer ID; ","")&amp;IF(OR(D257="",ISERROR(SEARCH("@",D257)),ISERROR(SEARCH(".",D257))),"Invalid Email; ","")&amp;IF(COUNTIF(Lookups!$A$2:$A$11,E257)=0,"Unknown Product; ","")&amp;IF(F257="","Missing Product Name; ","")&amp;IF(H257="","Missing Region; ","")&amp;IF(K257&lt;=0,"Invalid Quantity; ","")&amp;IF(L257&lt;0,"Invalid Price; ","")&amp;IF(M257&lt;0,"Invalid Cost; ","")&amp;IF(OR(N257&lt;0,N257&gt;0.5),"Invalid Discount; ","")&amp;IF(COUNTIF(Lookups!$K$2:$K$4,P257)=0,"Invalid Status; ","")</f>
        <v/>
      </c>
      <c r="X257" s="15" t="str">
        <f t="shared" si="38"/>
        <v>2025-06</v>
      </c>
      <c r="Y257" t="str">
        <f t="shared" si="39"/>
        <v>Q2</v>
      </c>
      <c r="Z257" t="str">
        <f>IF(R257&gt;=Settings!$B$9,"High Value Customer",IF(R257&gt;=Settings!$B$10,"Medium Value Customer","Standard Customer"))</f>
        <v>Standard Customer</v>
      </c>
      <c r="AA257" t="str">
        <f>IF(R257&gt;=Settings!$B$9,"Large Order",IF(R257&gt;=Settings!$B$10,"Medium Order","Small Order"))</f>
        <v>Small Order</v>
      </c>
      <c r="AB257" t="str">
        <f>IF(N257=0,"No Discount",IF(N257&lt;=0.1,"Low Discount",IF(N257&lt;=Settings!$B$8,"Medium Discount","High Discount")))</f>
        <v>No Discount</v>
      </c>
      <c r="AC257" t="str">
        <f t="shared" si="40"/>
        <v>Profitable</v>
      </c>
      <c r="AD257" t="str">
        <f>IFERROR(VLOOKUP(E257,Lookups!$A$2:$E$11,2,FALSE),"Product Not Found")</f>
        <v>27-inch Monitor</v>
      </c>
      <c r="AE257" t="str">
        <f>IFERROR(VLOOKUP(E257,Lookups!$A$2:$E$11,3,FALSE),"Category Not Found")</f>
        <v>Electronics</v>
      </c>
      <c r="AF257" t="str">
        <f>IFERROR(IF(L257=VLOOKUP(E257,Lookups!$A$2:$E$11,4,FALSE),"Price OK","Price Mismatch"),"Product Missing")</f>
        <v>Price OK</v>
      </c>
      <c r="AG257" t="str">
        <f t="shared" si="41"/>
        <v>Valid Email</v>
      </c>
      <c r="AH257" t="str">
        <f t="shared" si="42"/>
        <v>READY FOR REPORTING</v>
      </c>
      <c r="AI257" t="str">
        <f>IF(AND(LEFT(A257,LEN(Settings!$B$13))=Settings!$B$13,LEN(A257)=9),"Valid Format","Invalid Format")</f>
        <v>Valid Format</v>
      </c>
      <c r="AJ257" t="str">
        <f>IF(LEFT(C257,LEN(Settings!$B$14))=Settings!$B$14,"Valid Format","Invalid Format")</f>
        <v>Valid Format</v>
      </c>
      <c r="AK257" t="str">
        <f>IF(COUNTIF(Master_Data!$G$5:$G$14,C257)=1,"Known Customer","Customer Not in Master")</f>
        <v>Customer Not in Master</v>
      </c>
      <c r="AL257" t="str">
        <f>IF(U257&gt;=Settings!$B$11,"Target Met","Below Target")</f>
        <v>Target Met</v>
      </c>
      <c r="AM257" t="str">
        <f>IF(YEAR(B257)=Settings!$B$5,"Correct Year","Wrong Year")</f>
        <v>Correct Year</v>
      </c>
      <c r="AN257">
        <f t="shared" si="43"/>
        <v>4</v>
      </c>
    </row>
    <row r="258" spans="1:40">
      <c r="A258" t="str">
        <f>Raw_Data!A258</f>
        <v>ORD-10257</v>
      </c>
      <c r="B258" s="13">
        <f>Raw_Data!B258</f>
        <v>45780</v>
      </c>
      <c r="C258" t="str">
        <f>Raw_Data!C258</f>
        <v>C1049</v>
      </c>
      <c r="D258" t="str">
        <f>Raw_Data!D258</f>
        <v>client120@example.com</v>
      </c>
      <c r="E258" t="str">
        <f>Raw_Data!E258</f>
        <v>P1007</v>
      </c>
      <c r="F258" t="str">
        <f>Raw_Data!F258</f>
        <v>Office Chair</v>
      </c>
      <c r="G258" t="str">
        <f>Raw_Data!G258</f>
        <v>Furniture</v>
      </c>
      <c r="H258" t="str">
        <f>Raw_Data!H258</f>
        <v>West</v>
      </c>
      <c r="I258" t="str">
        <f>Raw_Data!I258</f>
        <v>Marketplace</v>
      </c>
      <c r="J258" t="str">
        <f>Raw_Data!J258</f>
        <v>Elena Stan</v>
      </c>
      <c r="K258">
        <f>Raw_Data!K258</f>
        <v>9</v>
      </c>
      <c r="L258" s="12">
        <f>Raw_Data!L258</f>
        <v>840</v>
      </c>
      <c r="M258" s="12">
        <f>Raw_Data!M258</f>
        <v>590</v>
      </c>
      <c r="N258" s="14">
        <f>Raw_Data!N258</f>
        <v>0.05</v>
      </c>
      <c r="O258" t="str">
        <f>Raw_Data!O258</f>
        <v>Cash</v>
      </c>
      <c r="P258" t="str">
        <f>Raw_Data!P258</f>
        <v>Completed</v>
      </c>
      <c r="Q258" s="12">
        <f t="shared" ref="Q258:Q301" si="44">K258*L258</f>
        <v>7560</v>
      </c>
      <c r="R258" s="12">
        <f t="shared" ref="R258:R301" si="45">Q258*(1-N258)</f>
        <v>7182</v>
      </c>
      <c r="S258" s="12">
        <f t="shared" ref="S258:S301" si="46">K258*M258</f>
        <v>5310</v>
      </c>
      <c r="T258" s="12">
        <f t="shared" ref="T258:T301" si="47">R258-S258</f>
        <v>1872</v>
      </c>
      <c r="U258" s="11">
        <f t="shared" ref="U258:U301" si="48">IFERROR(T258/R258,0)</f>
        <v>0.26065162907268169</v>
      </c>
      <c r="V258" t="str">
        <f>IF(OR(A258="",COUNTIF($A$2:$A$301,A258)&gt;1,C258="",D258="",ISERROR(SEARCH("@",D258)),ISERROR(SEARCH(".",D258)),COUNTIF(Lookups!$A$2:$A$11,E258)=0,F258="",H258="",K258&lt;=0,L258&lt;0,M258&lt;0,N258&lt;0,N258&gt;0.5,COUNTIF(Lookups!$K$2:$K$4,P258)=0),"ERROR","VALID")</f>
        <v>VALID</v>
      </c>
      <c r="W258" s="2" t="str">
        <f>IF(A258="","Missing Order ID; ","")&amp;IF(COUNTIF($A$2:$A$301,A258)&gt;1,"Duplicate Order ID; ","")&amp;IF(C258="","Missing Customer ID; ","")&amp;IF(OR(D258="",ISERROR(SEARCH("@",D258)),ISERROR(SEARCH(".",D258))),"Invalid Email; ","")&amp;IF(COUNTIF(Lookups!$A$2:$A$11,E258)=0,"Unknown Product; ","")&amp;IF(F258="","Missing Product Name; ","")&amp;IF(H258="","Missing Region; ","")&amp;IF(K258&lt;=0,"Invalid Quantity; ","")&amp;IF(L258&lt;0,"Invalid Price; ","")&amp;IF(M258&lt;0,"Invalid Cost; ","")&amp;IF(OR(N258&lt;0,N258&gt;0.5),"Invalid Discount; ","")&amp;IF(COUNTIF(Lookups!$K$2:$K$4,P258)=0,"Invalid Status; ","")</f>
        <v/>
      </c>
      <c r="X258" s="15" t="str">
        <f t="shared" ref="X258:X301" si="49">TEXT(B258,"yyyy-mm")</f>
        <v>2025-05</v>
      </c>
      <c r="Y258" t="str">
        <f t="shared" ref="Y258:Y301" si="50">"Q"&amp;ROUNDUP(MONTH(B258)/3,0)</f>
        <v>Q2</v>
      </c>
      <c r="Z258" t="str">
        <f>IF(R258&gt;=Settings!$B$9,"High Value Customer",IF(R258&gt;=Settings!$B$10,"Medium Value Customer","Standard Customer"))</f>
        <v>High Value Customer</v>
      </c>
      <c r="AA258" t="str">
        <f>IF(R258&gt;=Settings!$B$9,"Large Order",IF(R258&gt;=Settings!$B$10,"Medium Order","Small Order"))</f>
        <v>Large Order</v>
      </c>
      <c r="AB258" t="str">
        <f>IF(N258=0,"No Discount",IF(N258&lt;=0.1,"Low Discount",IF(N258&lt;=Settings!$B$8,"Medium Discount","High Discount")))</f>
        <v>Low Discount</v>
      </c>
      <c r="AC258" t="str">
        <f t="shared" ref="AC258:AC301" si="51">IF(T258&gt;0,"Profitable",IF(T258=0,"Break-even","Loss"))</f>
        <v>Profitable</v>
      </c>
      <c r="AD258" t="str">
        <f>IFERROR(VLOOKUP(E258,Lookups!$A$2:$E$11,2,FALSE),"Product Not Found")</f>
        <v>Office Chair</v>
      </c>
      <c r="AE258" t="str">
        <f>IFERROR(VLOOKUP(E258,Lookups!$A$2:$E$11,3,FALSE),"Category Not Found")</f>
        <v>Furniture</v>
      </c>
      <c r="AF258" t="str">
        <f>IFERROR(IF(L258=VLOOKUP(E258,Lookups!$A$2:$E$11,4,FALSE),"Price OK","Price Mismatch"),"Product Missing")</f>
        <v>Price OK</v>
      </c>
      <c r="AG258" t="str">
        <f t="shared" ref="AG258:AG301" si="52">IF(AND(ISNUMBER(SEARCH("@",D258)),ISNUMBER(SEARCH(".",D258))),"Valid Email","Invalid Email")</f>
        <v>Valid Email</v>
      </c>
      <c r="AH258" t="str">
        <f t="shared" ref="AH258:AH301" si="53">IF(AND(V258="VALID",AF258="Price OK",AG258="Valid Email"),"READY FOR REPORTING","REVIEW REQUIRED")</f>
        <v>READY FOR REPORTING</v>
      </c>
      <c r="AI258" t="str">
        <f>IF(AND(LEFT(A258,LEN(Settings!$B$13))=Settings!$B$13,LEN(A258)=9),"Valid Format","Invalid Format")</f>
        <v>Valid Format</v>
      </c>
      <c r="AJ258" t="str">
        <f>IF(LEFT(C258,LEN(Settings!$B$14))=Settings!$B$14,"Valid Format","Invalid Format")</f>
        <v>Valid Format</v>
      </c>
      <c r="AK258" t="str">
        <f>IF(COUNTIF(Master_Data!$G$5:$G$14,C258)=1,"Known Customer","Customer Not in Master")</f>
        <v>Customer Not in Master</v>
      </c>
      <c r="AL258" t="str">
        <f>IF(U258&gt;=Settings!$B$11,"Target Met","Below Target")</f>
        <v>Target Met</v>
      </c>
      <c r="AM258" t="str">
        <f>IF(YEAR(B258)=Settings!$B$5,"Correct Year","Wrong Year")</f>
        <v>Correct Year</v>
      </c>
      <c r="AN258">
        <f t="shared" ref="AN258:AN301" si="54">COUNTIF(AI258:AM258,"*Valid*")+COUNTIF(AI258:AM258,"Known Customer")+COUNTIF(AI258:AM258,"Target Met")+COUNTIF(AI258:AM258,"Correct Year")</f>
        <v>4</v>
      </c>
    </row>
    <row r="259" spans="1:40">
      <c r="A259" t="str">
        <f>Raw_Data!A259</f>
        <v>ORD-10258</v>
      </c>
      <c r="B259" s="13">
        <f>Raw_Data!B259</f>
        <v>45842</v>
      </c>
      <c r="C259" t="str">
        <f>Raw_Data!C259</f>
        <v>C1013</v>
      </c>
      <c r="D259" t="str">
        <f>Raw_Data!D259</f>
        <v>client121@example.com</v>
      </c>
      <c r="E259" t="str">
        <f>Raw_Data!E259</f>
        <v>P1005</v>
      </c>
      <c r="F259" t="str">
        <f>Raw_Data!F259</f>
        <v>24-inch Monitor</v>
      </c>
      <c r="G259" t="str">
        <f>Raw_Data!G259</f>
        <v>Electronics</v>
      </c>
      <c r="H259" t="str">
        <f>Raw_Data!H259</f>
        <v>South</v>
      </c>
      <c r="I259" t="str">
        <f>Raw_Data!I259</f>
        <v>Online</v>
      </c>
      <c r="J259" t="str">
        <f>Raw_Data!J259</f>
        <v>Elena Stan</v>
      </c>
      <c r="K259">
        <f>Raw_Data!K259</f>
        <v>9</v>
      </c>
      <c r="L259" s="12">
        <f>Raw_Data!L259</f>
        <v>720</v>
      </c>
      <c r="M259" s="12">
        <f>Raw_Data!M259</f>
        <v>510</v>
      </c>
      <c r="N259" s="14">
        <f>Raw_Data!N259</f>
        <v>0.1</v>
      </c>
      <c r="O259" t="str">
        <f>Raw_Data!O259</f>
        <v>Cash</v>
      </c>
      <c r="P259" t="str">
        <f>Raw_Data!P259</f>
        <v>Completed</v>
      </c>
      <c r="Q259" s="12">
        <f t="shared" si="44"/>
        <v>6480</v>
      </c>
      <c r="R259" s="12">
        <f t="shared" si="45"/>
        <v>5832</v>
      </c>
      <c r="S259" s="12">
        <f t="shared" si="46"/>
        <v>4590</v>
      </c>
      <c r="T259" s="12">
        <f t="shared" si="47"/>
        <v>1242</v>
      </c>
      <c r="U259" s="11">
        <f t="shared" si="48"/>
        <v>0.21296296296296297</v>
      </c>
      <c r="V259" t="str">
        <f>IF(OR(A259="",COUNTIF($A$2:$A$301,A259)&gt;1,C259="",D259="",ISERROR(SEARCH("@",D259)),ISERROR(SEARCH(".",D259)),COUNTIF(Lookups!$A$2:$A$11,E259)=0,F259="",H259="",K259&lt;=0,L259&lt;0,M259&lt;0,N259&lt;0,N259&gt;0.5,COUNTIF(Lookups!$K$2:$K$4,P259)=0),"ERROR","VALID")</f>
        <v>VALID</v>
      </c>
      <c r="W259" s="2" t="str">
        <f>IF(A259="","Missing Order ID; ","")&amp;IF(COUNTIF($A$2:$A$301,A259)&gt;1,"Duplicate Order ID; ","")&amp;IF(C259="","Missing Customer ID; ","")&amp;IF(OR(D259="",ISERROR(SEARCH("@",D259)),ISERROR(SEARCH(".",D259))),"Invalid Email; ","")&amp;IF(COUNTIF(Lookups!$A$2:$A$11,E259)=0,"Unknown Product; ","")&amp;IF(F259="","Missing Product Name; ","")&amp;IF(H259="","Missing Region; ","")&amp;IF(K259&lt;=0,"Invalid Quantity; ","")&amp;IF(L259&lt;0,"Invalid Price; ","")&amp;IF(M259&lt;0,"Invalid Cost; ","")&amp;IF(OR(N259&lt;0,N259&gt;0.5),"Invalid Discount; ","")&amp;IF(COUNTIF(Lookups!$K$2:$K$4,P259)=0,"Invalid Status; ","")</f>
        <v/>
      </c>
      <c r="X259" s="15" t="str">
        <f t="shared" si="49"/>
        <v>2025-07</v>
      </c>
      <c r="Y259" t="str">
        <f t="shared" si="50"/>
        <v>Q3</v>
      </c>
      <c r="Z259" t="str">
        <f>IF(R259&gt;=Settings!$B$9,"High Value Customer",IF(R259&gt;=Settings!$B$10,"Medium Value Customer","Standard Customer"))</f>
        <v>High Value Customer</v>
      </c>
      <c r="AA259" t="str">
        <f>IF(R259&gt;=Settings!$B$9,"Large Order",IF(R259&gt;=Settings!$B$10,"Medium Order","Small Order"))</f>
        <v>Large Order</v>
      </c>
      <c r="AB259" t="str">
        <f>IF(N259=0,"No Discount",IF(N259&lt;=0.1,"Low Discount",IF(N259&lt;=Settings!$B$8,"Medium Discount","High Discount")))</f>
        <v>Low Discount</v>
      </c>
      <c r="AC259" t="str">
        <f t="shared" si="51"/>
        <v>Profitable</v>
      </c>
      <c r="AD259" t="str">
        <f>IFERROR(VLOOKUP(E259,Lookups!$A$2:$E$11,2,FALSE),"Product Not Found")</f>
        <v>24-inch Monitor</v>
      </c>
      <c r="AE259" t="str">
        <f>IFERROR(VLOOKUP(E259,Lookups!$A$2:$E$11,3,FALSE),"Category Not Found")</f>
        <v>Electronics</v>
      </c>
      <c r="AF259" t="str">
        <f>IFERROR(IF(L259=VLOOKUP(E259,Lookups!$A$2:$E$11,4,FALSE),"Price OK","Price Mismatch"),"Product Missing")</f>
        <v>Price OK</v>
      </c>
      <c r="AG259" t="str">
        <f t="shared" si="52"/>
        <v>Valid Email</v>
      </c>
      <c r="AH259" t="str">
        <f t="shared" si="53"/>
        <v>READY FOR REPORTING</v>
      </c>
      <c r="AI259" t="str">
        <f>IF(AND(LEFT(A259,LEN(Settings!$B$13))=Settings!$B$13,LEN(A259)=9),"Valid Format","Invalid Format")</f>
        <v>Valid Format</v>
      </c>
      <c r="AJ259" t="str">
        <f>IF(LEFT(C259,LEN(Settings!$B$14))=Settings!$B$14,"Valid Format","Invalid Format")</f>
        <v>Valid Format</v>
      </c>
      <c r="AK259" t="str">
        <f>IF(COUNTIF(Master_Data!$G$5:$G$14,C259)=1,"Known Customer","Customer Not in Master")</f>
        <v>Customer Not in Master</v>
      </c>
      <c r="AL259" t="str">
        <f>IF(U259&gt;=Settings!$B$11,"Target Met","Below Target")</f>
        <v>Below Target</v>
      </c>
      <c r="AM259" t="str">
        <f>IF(YEAR(B259)=Settings!$B$5,"Correct Year","Wrong Year")</f>
        <v>Correct Year</v>
      </c>
      <c r="AN259">
        <f t="shared" si="54"/>
        <v>3</v>
      </c>
    </row>
    <row r="260" spans="1:40">
      <c r="A260" t="str">
        <f>Raw_Data!A260</f>
        <v>ORD-10259</v>
      </c>
      <c r="B260" s="13">
        <f>Raw_Data!B260</f>
        <v>45681</v>
      </c>
      <c r="C260" t="str">
        <f>Raw_Data!C260</f>
        <v>C1019</v>
      </c>
      <c r="D260" t="str">
        <f>Raw_Data!D260</f>
        <v>client5@example.com</v>
      </c>
      <c r="E260" t="str">
        <f>Raw_Data!E260</f>
        <v>P1007</v>
      </c>
      <c r="F260" t="str">
        <f>Raw_Data!F260</f>
        <v>Office Chair</v>
      </c>
      <c r="G260" t="str">
        <f>Raw_Data!G260</f>
        <v>Furniture</v>
      </c>
      <c r="H260" t="str">
        <f>Raw_Data!H260</f>
        <v>South</v>
      </c>
      <c r="I260" t="str">
        <f>Raw_Data!I260</f>
        <v>Marketplace</v>
      </c>
      <c r="J260" t="str">
        <f>Raw_Data!J260</f>
        <v>Ioana Pavel</v>
      </c>
      <c r="K260">
        <f>Raw_Data!K260</f>
        <v>10</v>
      </c>
      <c r="L260" s="12">
        <f>Raw_Data!L260</f>
        <v>840</v>
      </c>
      <c r="M260" s="12">
        <f>Raw_Data!M260</f>
        <v>590</v>
      </c>
      <c r="N260" s="14">
        <f>Raw_Data!N260</f>
        <v>0</v>
      </c>
      <c r="O260" t="str">
        <f>Raw_Data!O260</f>
        <v>Online Wallet</v>
      </c>
      <c r="P260" t="str">
        <f>Raw_Data!P260</f>
        <v>Cancelled</v>
      </c>
      <c r="Q260" s="12">
        <f t="shared" si="44"/>
        <v>8400</v>
      </c>
      <c r="R260" s="12">
        <f t="shared" si="45"/>
        <v>8400</v>
      </c>
      <c r="S260" s="12">
        <f t="shared" si="46"/>
        <v>5900</v>
      </c>
      <c r="T260" s="12">
        <f t="shared" si="47"/>
        <v>2500</v>
      </c>
      <c r="U260" s="11">
        <f t="shared" si="48"/>
        <v>0.29761904761904762</v>
      </c>
      <c r="V260" t="str">
        <f>IF(OR(A260="",COUNTIF($A$2:$A$301,A260)&gt;1,C260="",D260="",ISERROR(SEARCH("@",D260)),ISERROR(SEARCH(".",D260)),COUNTIF(Lookups!$A$2:$A$11,E260)=0,F260="",H260="",K260&lt;=0,L260&lt;0,M260&lt;0,N260&lt;0,N260&gt;0.5,COUNTIF(Lookups!$K$2:$K$4,P260)=0),"ERROR","VALID")</f>
        <v>VALID</v>
      </c>
      <c r="W260" s="2" t="str">
        <f>IF(A260="","Missing Order ID; ","")&amp;IF(COUNTIF($A$2:$A$301,A260)&gt;1,"Duplicate Order ID; ","")&amp;IF(C260="","Missing Customer ID; ","")&amp;IF(OR(D260="",ISERROR(SEARCH("@",D260)),ISERROR(SEARCH(".",D260))),"Invalid Email; ","")&amp;IF(COUNTIF(Lookups!$A$2:$A$11,E260)=0,"Unknown Product; ","")&amp;IF(F260="","Missing Product Name; ","")&amp;IF(H260="","Missing Region; ","")&amp;IF(K260&lt;=0,"Invalid Quantity; ","")&amp;IF(L260&lt;0,"Invalid Price; ","")&amp;IF(M260&lt;0,"Invalid Cost; ","")&amp;IF(OR(N260&lt;0,N260&gt;0.5),"Invalid Discount; ","")&amp;IF(COUNTIF(Lookups!$K$2:$K$4,P260)=0,"Invalid Status; ","")</f>
        <v/>
      </c>
      <c r="X260" s="15" t="str">
        <f t="shared" si="49"/>
        <v>2025-01</v>
      </c>
      <c r="Y260" t="str">
        <f t="shared" si="50"/>
        <v>Q1</v>
      </c>
      <c r="Z260" t="str">
        <f>IF(R260&gt;=Settings!$B$9,"High Value Customer",IF(R260&gt;=Settings!$B$10,"Medium Value Customer","Standard Customer"))</f>
        <v>High Value Customer</v>
      </c>
      <c r="AA260" t="str">
        <f>IF(R260&gt;=Settings!$B$9,"Large Order",IF(R260&gt;=Settings!$B$10,"Medium Order","Small Order"))</f>
        <v>Large Order</v>
      </c>
      <c r="AB260" t="str">
        <f>IF(N260=0,"No Discount",IF(N260&lt;=0.1,"Low Discount",IF(N260&lt;=Settings!$B$8,"Medium Discount","High Discount")))</f>
        <v>No Discount</v>
      </c>
      <c r="AC260" t="str">
        <f t="shared" si="51"/>
        <v>Profitable</v>
      </c>
      <c r="AD260" t="str">
        <f>IFERROR(VLOOKUP(E260,Lookups!$A$2:$E$11,2,FALSE),"Product Not Found")</f>
        <v>Office Chair</v>
      </c>
      <c r="AE260" t="str">
        <f>IFERROR(VLOOKUP(E260,Lookups!$A$2:$E$11,3,FALSE),"Category Not Found")</f>
        <v>Furniture</v>
      </c>
      <c r="AF260" t="str">
        <f>IFERROR(IF(L260=VLOOKUP(E260,Lookups!$A$2:$E$11,4,FALSE),"Price OK","Price Mismatch"),"Product Missing")</f>
        <v>Price OK</v>
      </c>
      <c r="AG260" t="str">
        <f t="shared" si="52"/>
        <v>Valid Email</v>
      </c>
      <c r="AH260" t="str">
        <f t="shared" si="53"/>
        <v>READY FOR REPORTING</v>
      </c>
      <c r="AI260" t="str">
        <f>IF(AND(LEFT(A260,LEN(Settings!$B$13))=Settings!$B$13,LEN(A260)=9),"Valid Format","Invalid Format")</f>
        <v>Valid Format</v>
      </c>
      <c r="AJ260" t="str">
        <f>IF(LEFT(C260,LEN(Settings!$B$14))=Settings!$B$14,"Valid Format","Invalid Format")</f>
        <v>Valid Format</v>
      </c>
      <c r="AK260" t="str">
        <f>IF(COUNTIF(Master_Data!$G$5:$G$14,C260)=1,"Known Customer","Customer Not in Master")</f>
        <v>Customer Not in Master</v>
      </c>
      <c r="AL260" t="str">
        <f>IF(U260&gt;=Settings!$B$11,"Target Met","Below Target")</f>
        <v>Target Met</v>
      </c>
      <c r="AM260" t="str">
        <f>IF(YEAR(B260)=Settings!$B$5,"Correct Year","Wrong Year")</f>
        <v>Correct Year</v>
      </c>
      <c r="AN260">
        <f t="shared" si="54"/>
        <v>4</v>
      </c>
    </row>
    <row r="261" spans="1:40">
      <c r="A261" t="str">
        <f>Raw_Data!A261</f>
        <v>ORD-10260</v>
      </c>
      <c r="B261" s="13">
        <f>Raw_Data!B261</f>
        <v>45736</v>
      </c>
      <c r="C261" t="str">
        <f>Raw_Data!C261</f>
        <v>C1049</v>
      </c>
      <c r="D261" t="str">
        <f>Raw_Data!D261</f>
        <v>client146@example.com</v>
      </c>
      <c r="E261" t="str">
        <f>Raw_Data!E261</f>
        <v>P1005</v>
      </c>
      <c r="F261" t="str">
        <f>Raw_Data!F261</f>
        <v>24-inch Monitor</v>
      </c>
      <c r="G261" t="str">
        <f>Raw_Data!G261</f>
        <v>Electronics</v>
      </c>
      <c r="H261" t="str">
        <f>Raw_Data!H261</f>
        <v>North</v>
      </c>
      <c r="I261" t="str">
        <f>Raw_Data!I261</f>
        <v>Store</v>
      </c>
      <c r="J261" t="str">
        <f>Raw_Data!J261</f>
        <v>Ioana Pavel</v>
      </c>
      <c r="K261">
        <f>Raw_Data!K261</f>
        <v>4</v>
      </c>
      <c r="L261" s="12">
        <f>Raw_Data!L261</f>
        <v>720</v>
      </c>
      <c r="M261" s="12">
        <f>Raw_Data!M261</f>
        <v>510</v>
      </c>
      <c r="N261" s="14">
        <f>Raw_Data!N261</f>
        <v>0.05</v>
      </c>
      <c r="O261" t="str">
        <f>Raw_Data!O261</f>
        <v>Cash</v>
      </c>
      <c r="P261" t="str">
        <f>Raw_Data!P261</f>
        <v>Completed</v>
      </c>
      <c r="Q261" s="12">
        <f t="shared" si="44"/>
        <v>2880</v>
      </c>
      <c r="R261" s="12">
        <f t="shared" si="45"/>
        <v>2736</v>
      </c>
      <c r="S261" s="12">
        <f t="shared" si="46"/>
        <v>2040</v>
      </c>
      <c r="T261" s="12">
        <f t="shared" si="47"/>
        <v>696</v>
      </c>
      <c r="U261" s="11">
        <f t="shared" si="48"/>
        <v>0.25438596491228072</v>
      </c>
      <c r="V261" t="str">
        <f>IF(OR(A261="",COUNTIF($A$2:$A$301,A261)&gt;1,C261="",D261="",ISERROR(SEARCH("@",D261)),ISERROR(SEARCH(".",D261)),COUNTIF(Lookups!$A$2:$A$11,E261)=0,F261="",H261="",K261&lt;=0,L261&lt;0,M261&lt;0,N261&lt;0,N261&gt;0.5,COUNTIF(Lookups!$K$2:$K$4,P261)=0),"ERROR","VALID")</f>
        <v>VALID</v>
      </c>
      <c r="W261" s="2" t="str">
        <f>IF(A261="","Missing Order ID; ","")&amp;IF(COUNTIF($A$2:$A$301,A261)&gt;1,"Duplicate Order ID; ","")&amp;IF(C261="","Missing Customer ID; ","")&amp;IF(OR(D261="",ISERROR(SEARCH("@",D261)),ISERROR(SEARCH(".",D261))),"Invalid Email; ","")&amp;IF(COUNTIF(Lookups!$A$2:$A$11,E261)=0,"Unknown Product; ","")&amp;IF(F261="","Missing Product Name; ","")&amp;IF(H261="","Missing Region; ","")&amp;IF(K261&lt;=0,"Invalid Quantity; ","")&amp;IF(L261&lt;0,"Invalid Price; ","")&amp;IF(M261&lt;0,"Invalid Cost; ","")&amp;IF(OR(N261&lt;0,N261&gt;0.5),"Invalid Discount; ","")&amp;IF(COUNTIF(Lookups!$K$2:$K$4,P261)=0,"Invalid Status; ","")</f>
        <v/>
      </c>
      <c r="X261" s="15" t="str">
        <f t="shared" si="49"/>
        <v>2025-03</v>
      </c>
      <c r="Y261" t="str">
        <f t="shared" si="50"/>
        <v>Q1</v>
      </c>
      <c r="Z261" t="str">
        <f>IF(R261&gt;=Settings!$B$9,"High Value Customer",IF(R261&gt;=Settings!$B$10,"Medium Value Customer","Standard Customer"))</f>
        <v>Medium Value Customer</v>
      </c>
      <c r="AA261" t="str">
        <f>IF(R261&gt;=Settings!$B$9,"Large Order",IF(R261&gt;=Settings!$B$10,"Medium Order","Small Order"))</f>
        <v>Medium Order</v>
      </c>
      <c r="AB261" t="str">
        <f>IF(N261=0,"No Discount",IF(N261&lt;=0.1,"Low Discount",IF(N261&lt;=Settings!$B$8,"Medium Discount","High Discount")))</f>
        <v>Low Discount</v>
      </c>
      <c r="AC261" t="str">
        <f t="shared" si="51"/>
        <v>Profitable</v>
      </c>
      <c r="AD261" t="str">
        <f>IFERROR(VLOOKUP(E261,Lookups!$A$2:$E$11,2,FALSE),"Product Not Found")</f>
        <v>24-inch Monitor</v>
      </c>
      <c r="AE261" t="str">
        <f>IFERROR(VLOOKUP(E261,Lookups!$A$2:$E$11,3,FALSE),"Category Not Found")</f>
        <v>Electronics</v>
      </c>
      <c r="AF261" t="str">
        <f>IFERROR(IF(L261=VLOOKUP(E261,Lookups!$A$2:$E$11,4,FALSE),"Price OK","Price Mismatch"),"Product Missing")</f>
        <v>Price OK</v>
      </c>
      <c r="AG261" t="str">
        <f t="shared" si="52"/>
        <v>Valid Email</v>
      </c>
      <c r="AH261" t="str">
        <f t="shared" si="53"/>
        <v>READY FOR REPORTING</v>
      </c>
      <c r="AI261" t="str">
        <f>IF(AND(LEFT(A261,LEN(Settings!$B$13))=Settings!$B$13,LEN(A261)=9),"Valid Format","Invalid Format")</f>
        <v>Valid Format</v>
      </c>
      <c r="AJ261" t="str">
        <f>IF(LEFT(C261,LEN(Settings!$B$14))=Settings!$B$14,"Valid Format","Invalid Format")</f>
        <v>Valid Format</v>
      </c>
      <c r="AK261" t="str">
        <f>IF(COUNTIF(Master_Data!$G$5:$G$14,C261)=1,"Known Customer","Customer Not in Master")</f>
        <v>Customer Not in Master</v>
      </c>
      <c r="AL261" t="str">
        <f>IF(U261&gt;=Settings!$B$11,"Target Met","Below Target")</f>
        <v>Target Met</v>
      </c>
      <c r="AM261" t="str">
        <f>IF(YEAR(B261)=Settings!$B$5,"Correct Year","Wrong Year")</f>
        <v>Correct Year</v>
      </c>
      <c r="AN261">
        <f t="shared" si="54"/>
        <v>4</v>
      </c>
    </row>
    <row r="262" spans="1:40">
      <c r="A262">
        <f>Raw_Data!A262</f>
        <v>0</v>
      </c>
      <c r="B262" s="13">
        <f>Raw_Data!B262</f>
        <v>45908</v>
      </c>
      <c r="C262" t="str">
        <f>Raw_Data!C262</f>
        <v>C1063</v>
      </c>
      <c r="D262" t="str">
        <f>Raw_Data!D262</f>
        <v>client118@example.com</v>
      </c>
      <c r="E262" t="str">
        <f>Raw_Data!E262</f>
        <v>P1005</v>
      </c>
      <c r="F262" t="str">
        <f>Raw_Data!F262</f>
        <v>24-inch Monitor</v>
      </c>
      <c r="G262" t="str">
        <f>Raw_Data!G262</f>
        <v>Electronics</v>
      </c>
      <c r="H262" t="str">
        <f>Raw_Data!H262</f>
        <v>North</v>
      </c>
      <c r="I262" t="str">
        <f>Raw_Data!I262</f>
        <v>Marketplace</v>
      </c>
      <c r="J262" t="str">
        <f>Raw_Data!J262</f>
        <v>Elena Stan</v>
      </c>
      <c r="K262">
        <f>Raw_Data!K262</f>
        <v>12</v>
      </c>
      <c r="L262" s="12">
        <f>Raw_Data!L262</f>
        <v>720</v>
      </c>
      <c r="M262" s="12">
        <f>Raw_Data!M262</f>
        <v>510</v>
      </c>
      <c r="N262" s="14">
        <f>Raw_Data!N262</f>
        <v>0.2</v>
      </c>
      <c r="O262" t="str">
        <f>Raw_Data!O262</f>
        <v>Bank Transfer</v>
      </c>
      <c r="P262" t="str">
        <f>Raw_Data!P262</f>
        <v>Cancelled</v>
      </c>
      <c r="Q262" s="12">
        <f t="shared" si="44"/>
        <v>8640</v>
      </c>
      <c r="R262" s="12">
        <f t="shared" si="45"/>
        <v>6912</v>
      </c>
      <c r="S262" s="12">
        <f t="shared" si="46"/>
        <v>6120</v>
      </c>
      <c r="T262" s="12">
        <f t="shared" si="47"/>
        <v>792</v>
      </c>
      <c r="U262" s="11">
        <f t="shared" si="48"/>
        <v>0.11458333333333333</v>
      </c>
      <c r="V262" t="str">
        <f>IF(OR(A262="",COUNTIF($A$2:$A$301,A262)&gt;1,C262="",D262="",ISERROR(SEARCH("@",D262)),ISERROR(SEARCH(".",D262)),COUNTIF(Lookups!$A$2:$A$11,E262)=0,F262="",H262="",K262&lt;=0,L262&lt;0,M262&lt;0,N262&lt;0,N262&gt;0.5,COUNTIF(Lookups!$K$2:$K$4,P262)=0),"ERROR","VALID")</f>
        <v>VALID</v>
      </c>
      <c r="W262" s="2" t="str">
        <f>IF(A262="","Missing Order ID; ","")&amp;IF(COUNTIF($A$2:$A$301,A262)&gt;1,"Duplicate Order ID; ","")&amp;IF(C262="","Missing Customer ID; ","")&amp;IF(OR(D262="",ISERROR(SEARCH("@",D262)),ISERROR(SEARCH(".",D262))),"Invalid Email; ","")&amp;IF(COUNTIF(Lookups!$A$2:$A$11,E262)=0,"Unknown Product; ","")&amp;IF(F262="","Missing Product Name; ","")&amp;IF(H262="","Missing Region; ","")&amp;IF(K262&lt;=0,"Invalid Quantity; ","")&amp;IF(L262&lt;0,"Invalid Price; ","")&amp;IF(M262&lt;0,"Invalid Cost; ","")&amp;IF(OR(N262&lt;0,N262&gt;0.5),"Invalid Discount; ","")&amp;IF(COUNTIF(Lookups!$K$2:$K$4,P262)=0,"Invalid Status; ","")</f>
        <v/>
      </c>
      <c r="X262" s="15" t="str">
        <f t="shared" si="49"/>
        <v>2025-09</v>
      </c>
      <c r="Y262" t="str">
        <f t="shared" si="50"/>
        <v>Q3</v>
      </c>
      <c r="Z262" t="str">
        <f>IF(R262&gt;=Settings!$B$9,"High Value Customer",IF(R262&gt;=Settings!$B$10,"Medium Value Customer","Standard Customer"))</f>
        <v>High Value Customer</v>
      </c>
      <c r="AA262" t="str">
        <f>IF(R262&gt;=Settings!$B$9,"Large Order",IF(R262&gt;=Settings!$B$10,"Medium Order","Small Order"))</f>
        <v>Large Order</v>
      </c>
      <c r="AB262" t="str">
        <f>IF(N262=0,"No Discount",IF(N262&lt;=0.1,"Low Discount",IF(N262&lt;=Settings!$B$8,"Medium Discount","High Discount")))</f>
        <v>Medium Discount</v>
      </c>
      <c r="AC262" t="str">
        <f t="shared" si="51"/>
        <v>Profitable</v>
      </c>
      <c r="AD262" t="str">
        <f>IFERROR(VLOOKUP(E262,Lookups!$A$2:$E$11,2,FALSE),"Product Not Found")</f>
        <v>24-inch Monitor</v>
      </c>
      <c r="AE262" t="str">
        <f>IFERROR(VLOOKUP(E262,Lookups!$A$2:$E$11,3,FALSE),"Category Not Found")</f>
        <v>Electronics</v>
      </c>
      <c r="AF262" t="str">
        <f>IFERROR(IF(L262=VLOOKUP(E262,Lookups!$A$2:$E$11,4,FALSE),"Price OK","Price Mismatch"),"Product Missing")</f>
        <v>Price OK</v>
      </c>
      <c r="AG262" t="str">
        <f t="shared" si="52"/>
        <v>Valid Email</v>
      </c>
      <c r="AH262" t="str">
        <f t="shared" si="53"/>
        <v>READY FOR REPORTING</v>
      </c>
      <c r="AI262" t="str">
        <f>IF(AND(LEFT(A262,LEN(Settings!$B$13))=Settings!$B$13,LEN(A262)=9),"Valid Format","Invalid Format")</f>
        <v>Invalid Format</v>
      </c>
      <c r="AJ262" t="str">
        <f>IF(LEFT(C262,LEN(Settings!$B$14))=Settings!$B$14,"Valid Format","Invalid Format")</f>
        <v>Valid Format</v>
      </c>
      <c r="AK262" t="str">
        <f>IF(COUNTIF(Master_Data!$G$5:$G$14,C262)=1,"Known Customer","Customer Not in Master")</f>
        <v>Customer Not in Master</v>
      </c>
      <c r="AL262" t="str">
        <f>IF(U262&gt;=Settings!$B$11,"Target Met","Below Target")</f>
        <v>Below Target</v>
      </c>
      <c r="AM262" t="str">
        <f>IF(YEAR(B262)=Settings!$B$5,"Correct Year","Wrong Year")</f>
        <v>Correct Year</v>
      </c>
      <c r="AN262">
        <f t="shared" si="54"/>
        <v>3</v>
      </c>
    </row>
    <row r="263" spans="1:40">
      <c r="A263" t="str">
        <f>Raw_Data!A263</f>
        <v>ORD-10262</v>
      </c>
      <c r="B263" s="13">
        <f>Raw_Data!B263</f>
        <v>45937</v>
      </c>
      <c r="C263" t="str">
        <f>Raw_Data!C263</f>
        <v>C1083</v>
      </c>
      <c r="D263" t="str">
        <f>Raw_Data!D263</f>
        <v>client16@example.com</v>
      </c>
      <c r="E263" t="str">
        <f>Raw_Data!E263</f>
        <v>P1003</v>
      </c>
      <c r="F263" t="str">
        <f>Raw_Data!F263</f>
        <v>Mechanical Keyboard</v>
      </c>
      <c r="G263" t="str">
        <f>Raw_Data!G263</f>
        <v>Accessories</v>
      </c>
      <c r="H263" t="str">
        <f>Raw_Data!H263</f>
        <v>West</v>
      </c>
      <c r="I263" t="str">
        <f>Raw_Data!I263</f>
        <v>Online</v>
      </c>
      <c r="J263" t="str">
        <f>Raw_Data!J263</f>
        <v>Andrei Pop</v>
      </c>
      <c r="K263">
        <f>Raw_Data!K263</f>
        <v>8</v>
      </c>
      <c r="L263" s="12">
        <f>Raw_Data!L263</f>
        <v>265</v>
      </c>
      <c r="M263" s="12">
        <f>Raw_Data!M263</f>
        <v>155</v>
      </c>
      <c r="N263" s="14">
        <f>Raw_Data!N263</f>
        <v>0</v>
      </c>
      <c r="O263" t="str">
        <f>Raw_Data!O263</f>
        <v>Card</v>
      </c>
      <c r="P263" t="str">
        <f>Raw_Data!P263</f>
        <v>Returned</v>
      </c>
      <c r="Q263" s="12">
        <f t="shared" si="44"/>
        <v>2120</v>
      </c>
      <c r="R263" s="12">
        <f t="shared" si="45"/>
        <v>2120</v>
      </c>
      <c r="S263" s="12">
        <f t="shared" si="46"/>
        <v>1240</v>
      </c>
      <c r="T263" s="12">
        <f t="shared" si="47"/>
        <v>880</v>
      </c>
      <c r="U263" s="11">
        <f t="shared" si="48"/>
        <v>0.41509433962264153</v>
      </c>
      <c r="V263" t="str">
        <f>IF(OR(A263="",COUNTIF($A$2:$A$301,A263)&gt;1,C263="",D263="",ISERROR(SEARCH("@",D263)),ISERROR(SEARCH(".",D263)),COUNTIF(Lookups!$A$2:$A$11,E263)=0,F263="",H263="",K263&lt;=0,L263&lt;0,M263&lt;0,N263&lt;0,N263&gt;0.5,COUNTIF(Lookups!$K$2:$K$4,P263)=0),"ERROR","VALID")</f>
        <v>VALID</v>
      </c>
      <c r="W263" s="2" t="str">
        <f>IF(A263="","Missing Order ID; ","")&amp;IF(COUNTIF($A$2:$A$301,A263)&gt;1,"Duplicate Order ID; ","")&amp;IF(C263="","Missing Customer ID; ","")&amp;IF(OR(D263="",ISERROR(SEARCH("@",D263)),ISERROR(SEARCH(".",D263))),"Invalid Email; ","")&amp;IF(COUNTIF(Lookups!$A$2:$A$11,E263)=0,"Unknown Product; ","")&amp;IF(F263="","Missing Product Name; ","")&amp;IF(H263="","Missing Region; ","")&amp;IF(K263&lt;=0,"Invalid Quantity; ","")&amp;IF(L263&lt;0,"Invalid Price; ","")&amp;IF(M263&lt;0,"Invalid Cost; ","")&amp;IF(OR(N263&lt;0,N263&gt;0.5),"Invalid Discount; ","")&amp;IF(COUNTIF(Lookups!$K$2:$K$4,P263)=0,"Invalid Status; ","")</f>
        <v/>
      </c>
      <c r="X263" s="15" t="str">
        <f t="shared" si="49"/>
        <v>2025-10</v>
      </c>
      <c r="Y263" t="str">
        <f t="shared" si="50"/>
        <v>Q4</v>
      </c>
      <c r="Z263" t="str">
        <f>IF(R263&gt;=Settings!$B$9,"High Value Customer",IF(R263&gt;=Settings!$B$10,"Medium Value Customer","Standard Customer"))</f>
        <v>Medium Value Customer</v>
      </c>
      <c r="AA263" t="str">
        <f>IF(R263&gt;=Settings!$B$9,"Large Order",IF(R263&gt;=Settings!$B$10,"Medium Order","Small Order"))</f>
        <v>Medium Order</v>
      </c>
      <c r="AB263" t="str">
        <f>IF(N263=0,"No Discount",IF(N263&lt;=0.1,"Low Discount",IF(N263&lt;=Settings!$B$8,"Medium Discount","High Discount")))</f>
        <v>No Discount</v>
      </c>
      <c r="AC263" t="str">
        <f t="shared" si="51"/>
        <v>Profitable</v>
      </c>
      <c r="AD263" t="str">
        <f>IFERROR(VLOOKUP(E263,Lookups!$A$2:$E$11,2,FALSE),"Product Not Found")</f>
        <v>Mechanical Keyboard</v>
      </c>
      <c r="AE263" t="str">
        <f>IFERROR(VLOOKUP(E263,Lookups!$A$2:$E$11,3,FALSE),"Category Not Found")</f>
        <v>Accessories</v>
      </c>
      <c r="AF263" t="str">
        <f>IFERROR(IF(L263=VLOOKUP(E263,Lookups!$A$2:$E$11,4,FALSE),"Price OK","Price Mismatch"),"Product Missing")</f>
        <v>Price OK</v>
      </c>
      <c r="AG263" t="str">
        <f t="shared" si="52"/>
        <v>Valid Email</v>
      </c>
      <c r="AH263" t="str">
        <f t="shared" si="53"/>
        <v>READY FOR REPORTING</v>
      </c>
      <c r="AI263" t="str">
        <f>IF(AND(LEFT(A263,LEN(Settings!$B$13))=Settings!$B$13,LEN(A263)=9),"Valid Format","Invalid Format")</f>
        <v>Valid Format</v>
      </c>
      <c r="AJ263" t="str">
        <f>IF(LEFT(C263,LEN(Settings!$B$14))=Settings!$B$14,"Valid Format","Invalid Format")</f>
        <v>Valid Format</v>
      </c>
      <c r="AK263" t="str">
        <f>IF(COUNTIF(Master_Data!$G$5:$G$14,C263)=1,"Known Customer","Customer Not in Master")</f>
        <v>Customer Not in Master</v>
      </c>
      <c r="AL263" t="str">
        <f>IF(U263&gt;=Settings!$B$11,"Target Met","Below Target")</f>
        <v>Target Met</v>
      </c>
      <c r="AM263" t="str">
        <f>IF(YEAR(B263)=Settings!$B$5,"Correct Year","Wrong Year")</f>
        <v>Correct Year</v>
      </c>
      <c r="AN263">
        <f t="shared" si="54"/>
        <v>4</v>
      </c>
    </row>
    <row r="264" spans="1:40">
      <c r="A264" t="str">
        <f>Raw_Data!A264</f>
        <v>ORD-10263</v>
      </c>
      <c r="B264" s="13">
        <f>Raw_Data!B264</f>
        <v>45869</v>
      </c>
      <c r="C264" t="str">
        <f>Raw_Data!C264</f>
        <v>C1009</v>
      </c>
      <c r="D264" t="str">
        <f>Raw_Data!D264</f>
        <v>client39@example.com</v>
      </c>
      <c r="E264" t="str">
        <f>Raw_Data!E264</f>
        <v>P1001</v>
      </c>
      <c r="F264" t="str">
        <f>Raw_Data!F264</f>
        <v>Laptop Stand</v>
      </c>
      <c r="G264" t="str">
        <f>Raw_Data!G264</f>
        <v>Accessories</v>
      </c>
      <c r="H264" t="str">
        <f>Raw_Data!H264</f>
        <v>Bucharest</v>
      </c>
      <c r="I264" t="str">
        <f>Raw_Data!I264</f>
        <v>Online</v>
      </c>
      <c r="J264" t="str">
        <f>Raw_Data!J264</f>
        <v>Ioana Pavel</v>
      </c>
      <c r="K264">
        <f>Raw_Data!K264</f>
        <v>3</v>
      </c>
      <c r="L264" s="12">
        <f>Raw_Data!L264</f>
        <v>95</v>
      </c>
      <c r="M264" s="12">
        <f>Raw_Data!M264</f>
        <v>52</v>
      </c>
      <c r="N264" s="14">
        <f>Raw_Data!N264</f>
        <v>0.2</v>
      </c>
      <c r="O264" t="str">
        <f>Raw_Data!O264</f>
        <v>Online Wallet</v>
      </c>
      <c r="P264" t="str">
        <f>Raw_Data!P264</f>
        <v>Completed</v>
      </c>
      <c r="Q264" s="12">
        <f t="shared" si="44"/>
        <v>285</v>
      </c>
      <c r="R264" s="12">
        <f t="shared" si="45"/>
        <v>228</v>
      </c>
      <c r="S264" s="12">
        <f t="shared" si="46"/>
        <v>156</v>
      </c>
      <c r="T264" s="12">
        <f t="shared" si="47"/>
        <v>72</v>
      </c>
      <c r="U264" s="11">
        <f t="shared" si="48"/>
        <v>0.31578947368421051</v>
      </c>
      <c r="V264" t="str">
        <f>IF(OR(A264="",COUNTIF($A$2:$A$301,A264)&gt;1,C264="",D264="",ISERROR(SEARCH("@",D264)),ISERROR(SEARCH(".",D264)),COUNTIF(Lookups!$A$2:$A$11,E264)=0,F264="",H264="",K264&lt;=0,L264&lt;0,M264&lt;0,N264&lt;0,N264&gt;0.5,COUNTIF(Lookups!$K$2:$K$4,P264)=0),"ERROR","VALID")</f>
        <v>VALID</v>
      </c>
      <c r="W264" s="2" t="str">
        <f>IF(A264="","Missing Order ID; ","")&amp;IF(COUNTIF($A$2:$A$301,A264)&gt;1,"Duplicate Order ID; ","")&amp;IF(C264="","Missing Customer ID; ","")&amp;IF(OR(D264="",ISERROR(SEARCH("@",D264)),ISERROR(SEARCH(".",D264))),"Invalid Email; ","")&amp;IF(COUNTIF(Lookups!$A$2:$A$11,E264)=0,"Unknown Product; ","")&amp;IF(F264="","Missing Product Name; ","")&amp;IF(H264="","Missing Region; ","")&amp;IF(K264&lt;=0,"Invalid Quantity; ","")&amp;IF(L264&lt;0,"Invalid Price; ","")&amp;IF(M264&lt;0,"Invalid Cost; ","")&amp;IF(OR(N264&lt;0,N264&gt;0.5),"Invalid Discount; ","")&amp;IF(COUNTIF(Lookups!$K$2:$K$4,P264)=0,"Invalid Status; ","")</f>
        <v/>
      </c>
      <c r="X264" s="15" t="str">
        <f t="shared" si="49"/>
        <v>2025-07</v>
      </c>
      <c r="Y264" t="str">
        <f t="shared" si="50"/>
        <v>Q3</v>
      </c>
      <c r="Z264" t="str">
        <f>IF(R264&gt;=Settings!$B$9,"High Value Customer",IF(R264&gt;=Settings!$B$10,"Medium Value Customer","Standard Customer"))</f>
        <v>Standard Customer</v>
      </c>
      <c r="AA264" t="str">
        <f>IF(R264&gt;=Settings!$B$9,"Large Order",IF(R264&gt;=Settings!$B$10,"Medium Order","Small Order"))</f>
        <v>Small Order</v>
      </c>
      <c r="AB264" t="str">
        <f>IF(N264=0,"No Discount",IF(N264&lt;=0.1,"Low Discount",IF(N264&lt;=Settings!$B$8,"Medium Discount","High Discount")))</f>
        <v>Medium Discount</v>
      </c>
      <c r="AC264" t="str">
        <f t="shared" si="51"/>
        <v>Profitable</v>
      </c>
      <c r="AD264" t="str">
        <f>IFERROR(VLOOKUP(E264,Lookups!$A$2:$E$11,2,FALSE),"Product Not Found")</f>
        <v>Laptop Stand</v>
      </c>
      <c r="AE264" t="str">
        <f>IFERROR(VLOOKUP(E264,Lookups!$A$2:$E$11,3,FALSE),"Category Not Found")</f>
        <v>Accessories</v>
      </c>
      <c r="AF264" t="str">
        <f>IFERROR(IF(L264=VLOOKUP(E264,Lookups!$A$2:$E$11,4,FALSE),"Price OK","Price Mismatch"),"Product Missing")</f>
        <v>Price OK</v>
      </c>
      <c r="AG264" t="str">
        <f t="shared" si="52"/>
        <v>Valid Email</v>
      </c>
      <c r="AH264" t="str">
        <f t="shared" si="53"/>
        <v>READY FOR REPORTING</v>
      </c>
      <c r="AI264" t="str">
        <f>IF(AND(LEFT(A264,LEN(Settings!$B$13))=Settings!$B$13,LEN(A264)=9),"Valid Format","Invalid Format")</f>
        <v>Valid Format</v>
      </c>
      <c r="AJ264" t="str">
        <f>IF(LEFT(C264,LEN(Settings!$B$14))=Settings!$B$14,"Valid Format","Invalid Format")</f>
        <v>Valid Format</v>
      </c>
      <c r="AK264" t="str">
        <f>IF(COUNTIF(Master_Data!$G$5:$G$14,C264)=1,"Known Customer","Customer Not in Master")</f>
        <v>Known Customer</v>
      </c>
      <c r="AL264" t="str">
        <f>IF(U264&gt;=Settings!$B$11,"Target Met","Below Target")</f>
        <v>Target Met</v>
      </c>
      <c r="AM264" t="str">
        <f>IF(YEAR(B264)=Settings!$B$5,"Correct Year","Wrong Year")</f>
        <v>Correct Year</v>
      </c>
      <c r="AN264">
        <f t="shared" si="54"/>
        <v>5</v>
      </c>
    </row>
    <row r="265" spans="1:40">
      <c r="A265" t="str">
        <f>Raw_Data!A265</f>
        <v>ORD-10264</v>
      </c>
      <c r="B265" s="13">
        <f>Raw_Data!B265</f>
        <v>45688</v>
      </c>
      <c r="C265" t="str">
        <f>Raw_Data!C265</f>
        <v>C1120</v>
      </c>
      <c r="D265" t="str">
        <f>Raw_Data!D265</f>
        <v>client158@example.com</v>
      </c>
      <c r="E265" t="str">
        <f>Raw_Data!E265</f>
        <v>P1006</v>
      </c>
      <c r="F265" t="str">
        <f>Raw_Data!F265</f>
        <v>27-inch Monitor</v>
      </c>
      <c r="G265" t="str">
        <f>Raw_Data!G265</f>
        <v>Electronics</v>
      </c>
      <c r="H265" t="str">
        <f>Raw_Data!H265</f>
        <v>East</v>
      </c>
      <c r="I265" t="str">
        <f>Raw_Data!I265</f>
        <v>Marketplace</v>
      </c>
      <c r="J265" t="str">
        <f>Raw_Data!J265</f>
        <v>Mihai Radu</v>
      </c>
      <c r="K265">
        <f>Raw_Data!K265</f>
        <v>10</v>
      </c>
      <c r="L265" s="12">
        <f>Raw_Data!L265</f>
        <v>1090</v>
      </c>
      <c r="M265" s="12">
        <f>Raw_Data!M265</f>
        <v>790</v>
      </c>
      <c r="N265" s="14">
        <f>Raw_Data!N265</f>
        <v>0.2</v>
      </c>
      <c r="O265" t="str">
        <f>Raw_Data!O265</f>
        <v>Card</v>
      </c>
      <c r="P265" t="str">
        <f>Raw_Data!P265</f>
        <v>Cancelled</v>
      </c>
      <c r="Q265" s="12">
        <f t="shared" si="44"/>
        <v>10900</v>
      </c>
      <c r="R265" s="12">
        <f t="shared" si="45"/>
        <v>8720</v>
      </c>
      <c r="S265" s="12">
        <f t="shared" si="46"/>
        <v>7900</v>
      </c>
      <c r="T265" s="12">
        <f t="shared" si="47"/>
        <v>820</v>
      </c>
      <c r="U265" s="11">
        <f t="shared" si="48"/>
        <v>9.4036697247706427E-2</v>
      </c>
      <c r="V265" t="str">
        <f>IF(OR(A265="",COUNTIF($A$2:$A$301,A265)&gt;1,C265="",D265="",ISERROR(SEARCH("@",D265)),ISERROR(SEARCH(".",D265)),COUNTIF(Lookups!$A$2:$A$11,E265)=0,F265="",H265="",K265&lt;=0,L265&lt;0,M265&lt;0,N265&lt;0,N265&gt;0.5,COUNTIF(Lookups!$K$2:$K$4,P265)=0),"ERROR","VALID")</f>
        <v>VALID</v>
      </c>
      <c r="W265" s="2" t="str">
        <f>IF(A265="","Missing Order ID; ","")&amp;IF(COUNTIF($A$2:$A$301,A265)&gt;1,"Duplicate Order ID; ","")&amp;IF(C265="","Missing Customer ID; ","")&amp;IF(OR(D265="",ISERROR(SEARCH("@",D265)),ISERROR(SEARCH(".",D265))),"Invalid Email; ","")&amp;IF(COUNTIF(Lookups!$A$2:$A$11,E265)=0,"Unknown Product; ","")&amp;IF(F265="","Missing Product Name; ","")&amp;IF(H265="","Missing Region; ","")&amp;IF(K265&lt;=0,"Invalid Quantity; ","")&amp;IF(L265&lt;0,"Invalid Price; ","")&amp;IF(M265&lt;0,"Invalid Cost; ","")&amp;IF(OR(N265&lt;0,N265&gt;0.5),"Invalid Discount; ","")&amp;IF(COUNTIF(Lookups!$K$2:$K$4,P265)=0,"Invalid Status; ","")</f>
        <v/>
      </c>
      <c r="X265" s="15" t="str">
        <f t="shared" si="49"/>
        <v>2025-01</v>
      </c>
      <c r="Y265" t="str">
        <f t="shared" si="50"/>
        <v>Q1</v>
      </c>
      <c r="Z265" t="str">
        <f>IF(R265&gt;=Settings!$B$9,"High Value Customer",IF(R265&gt;=Settings!$B$10,"Medium Value Customer","Standard Customer"))</f>
        <v>High Value Customer</v>
      </c>
      <c r="AA265" t="str">
        <f>IF(R265&gt;=Settings!$B$9,"Large Order",IF(R265&gt;=Settings!$B$10,"Medium Order","Small Order"))</f>
        <v>Large Order</v>
      </c>
      <c r="AB265" t="str">
        <f>IF(N265=0,"No Discount",IF(N265&lt;=0.1,"Low Discount",IF(N265&lt;=Settings!$B$8,"Medium Discount","High Discount")))</f>
        <v>Medium Discount</v>
      </c>
      <c r="AC265" t="str">
        <f t="shared" si="51"/>
        <v>Profitable</v>
      </c>
      <c r="AD265" t="str">
        <f>IFERROR(VLOOKUP(E265,Lookups!$A$2:$E$11,2,FALSE),"Product Not Found")</f>
        <v>27-inch Monitor</v>
      </c>
      <c r="AE265" t="str">
        <f>IFERROR(VLOOKUP(E265,Lookups!$A$2:$E$11,3,FALSE),"Category Not Found")</f>
        <v>Electronics</v>
      </c>
      <c r="AF265" t="str">
        <f>IFERROR(IF(L265=VLOOKUP(E265,Lookups!$A$2:$E$11,4,FALSE),"Price OK","Price Mismatch"),"Product Missing")</f>
        <v>Price OK</v>
      </c>
      <c r="AG265" t="str">
        <f t="shared" si="52"/>
        <v>Valid Email</v>
      </c>
      <c r="AH265" t="str">
        <f t="shared" si="53"/>
        <v>READY FOR REPORTING</v>
      </c>
      <c r="AI265" t="str">
        <f>IF(AND(LEFT(A265,LEN(Settings!$B$13))=Settings!$B$13,LEN(A265)=9),"Valid Format","Invalid Format")</f>
        <v>Valid Format</v>
      </c>
      <c r="AJ265" t="str">
        <f>IF(LEFT(C265,LEN(Settings!$B$14))=Settings!$B$14,"Valid Format","Invalid Format")</f>
        <v>Valid Format</v>
      </c>
      <c r="AK265" t="str">
        <f>IF(COUNTIF(Master_Data!$G$5:$G$14,C265)=1,"Known Customer","Customer Not in Master")</f>
        <v>Customer Not in Master</v>
      </c>
      <c r="AL265" t="str">
        <f>IF(U265&gt;=Settings!$B$11,"Target Met","Below Target")</f>
        <v>Below Target</v>
      </c>
      <c r="AM265" t="str">
        <f>IF(YEAR(B265)=Settings!$B$5,"Correct Year","Wrong Year")</f>
        <v>Correct Year</v>
      </c>
      <c r="AN265">
        <f t="shared" si="54"/>
        <v>3</v>
      </c>
    </row>
    <row r="266" spans="1:40">
      <c r="A266" t="str">
        <f>Raw_Data!A266</f>
        <v>ORD-10265</v>
      </c>
      <c r="B266" s="13">
        <f>Raw_Data!B266</f>
        <v>45930</v>
      </c>
      <c r="C266" t="str">
        <f>Raw_Data!C266</f>
        <v>C1003</v>
      </c>
      <c r="D266" t="str">
        <f>Raw_Data!D266</f>
        <v>client136@example.com</v>
      </c>
      <c r="E266" t="str">
        <f>Raw_Data!E266</f>
        <v>P1001</v>
      </c>
      <c r="F266" t="str">
        <f>Raw_Data!F266</f>
        <v>Laptop Stand</v>
      </c>
      <c r="G266" t="str">
        <f>Raw_Data!G266</f>
        <v>Accessories</v>
      </c>
      <c r="H266" t="str">
        <f>Raw_Data!H266</f>
        <v>South</v>
      </c>
      <c r="I266" t="str">
        <f>Raw_Data!I266</f>
        <v>Marketplace</v>
      </c>
      <c r="J266" t="str">
        <f>Raw_Data!J266</f>
        <v>Elena Stan</v>
      </c>
      <c r="K266">
        <f>Raw_Data!K266</f>
        <v>9</v>
      </c>
      <c r="L266" s="12">
        <f>Raw_Data!L266</f>
        <v>95</v>
      </c>
      <c r="M266" s="12">
        <f>Raw_Data!M266</f>
        <v>52</v>
      </c>
      <c r="N266" s="14">
        <f>Raw_Data!N266</f>
        <v>0.1</v>
      </c>
      <c r="O266" t="str">
        <f>Raw_Data!O266</f>
        <v>Card</v>
      </c>
      <c r="P266" t="str">
        <f>Raw_Data!P266</f>
        <v>Completed</v>
      </c>
      <c r="Q266" s="12">
        <f t="shared" si="44"/>
        <v>855</v>
      </c>
      <c r="R266" s="12">
        <f t="shared" si="45"/>
        <v>769.5</v>
      </c>
      <c r="S266" s="12">
        <f t="shared" si="46"/>
        <v>468</v>
      </c>
      <c r="T266" s="12">
        <f t="shared" si="47"/>
        <v>301.5</v>
      </c>
      <c r="U266" s="11">
        <f t="shared" si="48"/>
        <v>0.391812865497076</v>
      </c>
      <c r="V266" t="str">
        <f>IF(OR(A266="",COUNTIF($A$2:$A$301,A266)&gt;1,C266="",D266="",ISERROR(SEARCH("@",D266)),ISERROR(SEARCH(".",D266)),COUNTIF(Lookups!$A$2:$A$11,E266)=0,F266="",H266="",K266&lt;=0,L266&lt;0,M266&lt;0,N266&lt;0,N266&gt;0.5,COUNTIF(Lookups!$K$2:$K$4,P266)=0),"ERROR","VALID")</f>
        <v>VALID</v>
      </c>
      <c r="W266" s="2" t="str">
        <f>IF(A266="","Missing Order ID; ","")&amp;IF(COUNTIF($A$2:$A$301,A266)&gt;1,"Duplicate Order ID; ","")&amp;IF(C266="","Missing Customer ID; ","")&amp;IF(OR(D266="",ISERROR(SEARCH("@",D266)),ISERROR(SEARCH(".",D266))),"Invalid Email; ","")&amp;IF(COUNTIF(Lookups!$A$2:$A$11,E266)=0,"Unknown Product; ","")&amp;IF(F266="","Missing Product Name; ","")&amp;IF(H266="","Missing Region; ","")&amp;IF(K266&lt;=0,"Invalid Quantity; ","")&amp;IF(L266&lt;0,"Invalid Price; ","")&amp;IF(M266&lt;0,"Invalid Cost; ","")&amp;IF(OR(N266&lt;0,N266&gt;0.5),"Invalid Discount; ","")&amp;IF(COUNTIF(Lookups!$K$2:$K$4,P266)=0,"Invalid Status; ","")</f>
        <v/>
      </c>
      <c r="X266" s="15" t="str">
        <f t="shared" si="49"/>
        <v>2025-09</v>
      </c>
      <c r="Y266" t="str">
        <f t="shared" si="50"/>
        <v>Q3</v>
      </c>
      <c r="Z266" t="str">
        <f>IF(R266&gt;=Settings!$B$9,"High Value Customer",IF(R266&gt;=Settings!$B$10,"Medium Value Customer","Standard Customer"))</f>
        <v>Standard Customer</v>
      </c>
      <c r="AA266" t="str">
        <f>IF(R266&gt;=Settings!$B$9,"Large Order",IF(R266&gt;=Settings!$B$10,"Medium Order","Small Order"))</f>
        <v>Small Order</v>
      </c>
      <c r="AB266" t="str">
        <f>IF(N266=0,"No Discount",IF(N266&lt;=0.1,"Low Discount",IF(N266&lt;=Settings!$B$8,"Medium Discount","High Discount")))</f>
        <v>Low Discount</v>
      </c>
      <c r="AC266" t="str">
        <f t="shared" si="51"/>
        <v>Profitable</v>
      </c>
      <c r="AD266" t="str">
        <f>IFERROR(VLOOKUP(E266,Lookups!$A$2:$E$11,2,FALSE),"Product Not Found")</f>
        <v>Laptop Stand</v>
      </c>
      <c r="AE266" t="str">
        <f>IFERROR(VLOOKUP(E266,Lookups!$A$2:$E$11,3,FALSE),"Category Not Found")</f>
        <v>Accessories</v>
      </c>
      <c r="AF266" t="str">
        <f>IFERROR(IF(L266=VLOOKUP(E266,Lookups!$A$2:$E$11,4,FALSE),"Price OK","Price Mismatch"),"Product Missing")</f>
        <v>Price OK</v>
      </c>
      <c r="AG266" t="str">
        <f t="shared" si="52"/>
        <v>Valid Email</v>
      </c>
      <c r="AH266" t="str">
        <f t="shared" si="53"/>
        <v>READY FOR REPORTING</v>
      </c>
      <c r="AI266" t="str">
        <f>IF(AND(LEFT(A266,LEN(Settings!$B$13))=Settings!$B$13,LEN(A266)=9),"Valid Format","Invalid Format")</f>
        <v>Valid Format</v>
      </c>
      <c r="AJ266" t="str">
        <f>IF(LEFT(C266,LEN(Settings!$B$14))=Settings!$B$14,"Valid Format","Invalid Format")</f>
        <v>Valid Format</v>
      </c>
      <c r="AK266" t="str">
        <f>IF(COUNTIF(Master_Data!$G$5:$G$14,C266)=1,"Known Customer","Customer Not in Master")</f>
        <v>Known Customer</v>
      </c>
      <c r="AL266" t="str">
        <f>IF(U266&gt;=Settings!$B$11,"Target Met","Below Target")</f>
        <v>Target Met</v>
      </c>
      <c r="AM266" t="str">
        <f>IF(YEAR(B266)=Settings!$B$5,"Correct Year","Wrong Year")</f>
        <v>Correct Year</v>
      </c>
      <c r="AN266">
        <f t="shared" si="54"/>
        <v>5</v>
      </c>
    </row>
    <row r="267" spans="1:40">
      <c r="A267" t="str">
        <f>Raw_Data!A267</f>
        <v>ORD-10266</v>
      </c>
      <c r="B267" s="13">
        <f>Raw_Data!B267</f>
        <v>46015</v>
      </c>
      <c r="C267" t="str">
        <f>Raw_Data!C267</f>
        <v>C1014</v>
      </c>
      <c r="D267" t="str">
        <f>Raw_Data!D267</f>
        <v>client25@example.com</v>
      </c>
      <c r="E267" t="str">
        <f>Raw_Data!E267</f>
        <v>P1009</v>
      </c>
      <c r="F267" t="str">
        <f>Raw_Data!F267</f>
        <v>Webcam</v>
      </c>
      <c r="G267" t="str">
        <f>Raw_Data!G267</f>
        <v>Electronics</v>
      </c>
      <c r="H267" t="str">
        <f>Raw_Data!H267</f>
        <v>West</v>
      </c>
      <c r="I267" t="str">
        <f>Raw_Data!I267</f>
        <v>Online</v>
      </c>
      <c r="J267" t="str">
        <f>Raw_Data!J267</f>
        <v>Maria Ionescu</v>
      </c>
      <c r="K267">
        <f>Raw_Data!K267</f>
        <v>11</v>
      </c>
      <c r="L267" s="12">
        <f>Raw_Data!L267</f>
        <v>230</v>
      </c>
      <c r="M267" s="12">
        <f>Raw_Data!M267</f>
        <v>132</v>
      </c>
      <c r="N267" s="14">
        <f>Raw_Data!N267</f>
        <v>0.1</v>
      </c>
      <c r="O267" t="str">
        <f>Raw_Data!O267</f>
        <v>Bank Transfer</v>
      </c>
      <c r="P267" t="str">
        <f>Raw_Data!P267</f>
        <v>Completed</v>
      </c>
      <c r="Q267" s="12">
        <f t="shared" si="44"/>
        <v>2530</v>
      </c>
      <c r="R267" s="12">
        <f t="shared" si="45"/>
        <v>2277</v>
      </c>
      <c r="S267" s="12">
        <f t="shared" si="46"/>
        <v>1452</v>
      </c>
      <c r="T267" s="12">
        <f t="shared" si="47"/>
        <v>825</v>
      </c>
      <c r="U267" s="11">
        <f t="shared" si="48"/>
        <v>0.36231884057971014</v>
      </c>
      <c r="V267" t="str">
        <f>IF(OR(A267="",COUNTIF($A$2:$A$301,A267)&gt;1,C267="",D267="",ISERROR(SEARCH("@",D267)),ISERROR(SEARCH(".",D267)),COUNTIF(Lookups!$A$2:$A$11,E267)=0,F267="",H267="",K267&lt;=0,L267&lt;0,M267&lt;0,N267&lt;0,N267&gt;0.5,COUNTIF(Lookups!$K$2:$K$4,P267)=0),"ERROR","VALID")</f>
        <v>VALID</v>
      </c>
      <c r="W267" s="2" t="str">
        <f>IF(A267="","Missing Order ID; ","")&amp;IF(COUNTIF($A$2:$A$301,A267)&gt;1,"Duplicate Order ID; ","")&amp;IF(C267="","Missing Customer ID; ","")&amp;IF(OR(D267="",ISERROR(SEARCH("@",D267)),ISERROR(SEARCH(".",D267))),"Invalid Email; ","")&amp;IF(COUNTIF(Lookups!$A$2:$A$11,E267)=0,"Unknown Product; ","")&amp;IF(F267="","Missing Product Name; ","")&amp;IF(H267="","Missing Region; ","")&amp;IF(K267&lt;=0,"Invalid Quantity; ","")&amp;IF(L267&lt;0,"Invalid Price; ","")&amp;IF(M267&lt;0,"Invalid Cost; ","")&amp;IF(OR(N267&lt;0,N267&gt;0.5),"Invalid Discount; ","")&amp;IF(COUNTIF(Lookups!$K$2:$K$4,P267)=0,"Invalid Status; ","")</f>
        <v/>
      </c>
      <c r="X267" s="15" t="str">
        <f t="shared" si="49"/>
        <v>2025-12</v>
      </c>
      <c r="Y267" t="str">
        <f t="shared" si="50"/>
        <v>Q4</v>
      </c>
      <c r="Z267" t="str">
        <f>IF(R267&gt;=Settings!$B$9,"High Value Customer",IF(R267&gt;=Settings!$B$10,"Medium Value Customer","Standard Customer"))</f>
        <v>Medium Value Customer</v>
      </c>
      <c r="AA267" t="str">
        <f>IF(R267&gt;=Settings!$B$9,"Large Order",IF(R267&gt;=Settings!$B$10,"Medium Order","Small Order"))</f>
        <v>Medium Order</v>
      </c>
      <c r="AB267" t="str">
        <f>IF(N267=0,"No Discount",IF(N267&lt;=0.1,"Low Discount",IF(N267&lt;=Settings!$B$8,"Medium Discount","High Discount")))</f>
        <v>Low Discount</v>
      </c>
      <c r="AC267" t="str">
        <f t="shared" si="51"/>
        <v>Profitable</v>
      </c>
      <c r="AD267" t="str">
        <f>IFERROR(VLOOKUP(E267,Lookups!$A$2:$E$11,2,FALSE),"Product Not Found")</f>
        <v>Webcam</v>
      </c>
      <c r="AE267" t="str">
        <f>IFERROR(VLOOKUP(E267,Lookups!$A$2:$E$11,3,FALSE),"Category Not Found")</f>
        <v>Electronics</v>
      </c>
      <c r="AF267" t="str">
        <f>IFERROR(IF(L267=VLOOKUP(E267,Lookups!$A$2:$E$11,4,FALSE),"Price OK","Price Mismatch"),"Product Missing")</f>
        <v>Price OK</v>
      </c>
      <c r="AG267" t="str">
        <f t="shared" si="52"/>
        <v>Valid Email</v>
      </c>
      <c r="AH267" t="str">
        <f t="shared" si="53"/>
        <v>READY FOR REPORTING</v>
      </c>
      <c r="AI267" t="str">
        <f>IF(AND(LEFT(A267,LEN(Settings!$B$13))=Settings!$B$13,LEN(A267)=9),"Valid Format","Invalid Format")</f>
        <v>Valid Format</v>
      </c>
      <c r="AJ267" t="str">
        <f>IF(LEFT(C267,LEN(Settings!$B$14))=Settings!$B$14,"Valid Format","Invalid Format")</f>
        <v>Valid Format</v>
      </c>
      <c r="AK267" t="str">
        <f>IF(COUNTIF(Master_Data!$G$5:$G$14,C267)=1,"Known Customer","Customer Not in Master")</f>
        <v>Customer Not in Master</v>
      </c>
      <c r="AL267" t="str">
        <f>IF(U267&gt;=Settings!$B$11,"Target Met","Below Target")</f>
        <v>Target Met</v>
      </c>
      <c r="AM267" t="str">
        <f>IF(YEAR(B267)=Settings!$B$5,"Correct Year","Wrong Year")</f>
        <v>Correct Year</v>
      </c>
      <c r="AN267">
        <f t="shared" si="54"/>
        <v>4</v>
      </c>
    </row>
    <row r="268" spans="1:40">
      <c r="A268" t="str">
        <f>Raw_Data!A268</f>
        <v>ORD-10267</v>
      </c>
      <c r="B268" s="13">
        <f>Raw_Data!B268</f>
        <v>45927</v>
      </c>
      <c r="C268" t="str">
        <f>Raw_Data!C268</f>
        <v>C1102</v>
      </c>
      <c r="D268" t="str">
        <f>Raw_Data!D268</f>
        <v>client102@example.com</v>
      </c>
      <c r="E268" t="str">
        <f>Raw_Data!E268</f>
        <v>P1010</v>
      </c>
      <c r="F268" t="str">
        <f>Raw_Data!F268</f>
        <v>Headset</v>
      </c>
      <c r="G268" t="str">
        <f>Raw_Data!G268</f>
        <v>Electronics</v>
      </c>
      <c r="H268" t="str">
        <f>Raw_Data!H268</f>
        <v>Bucharest</v>
      </c>
      <c r="I268" t="str">
        <f>Raw_Data!I268</f>
        <v>Store</v>
      </c>
      <c r="J268" t="str">
        <f>Raw_Data!J268</f>
        <v>Mihai Radu</v>
      </c>
      <c r="K268">
        <f>Raw_Data!K268</f>
        <v>5</v>
      </c>
      <c r="L268" s="12">
        <f>Raw_Data!L268</f>
        <v>195</v>
      </c>
      <c r="M268" s="12">
        <f>Raw_Data!M268</f>
        <v>105</v>
      </c>
      <c r="N268" s="14">
        <f>Raw_Data!N268</f>
        <v>0.05</v>
      </c>
      <c r="O268" t="str">
        <f>Raw_Data!O268</f>
        <v>Online Wallet</v>
      </c>
      <c r="P268" t="str">
        <f>Raw_Data!P268</f>
        <v>Completed</v>
      </c>
      <c r="Q268" s="12">
        <f t="shared" si="44"/>
        <v>975</v>
      </c>
      <c r="R268" s="12">
        <f t="shared" si="45"/>
        <v>926.25</v>
      </c>
      <c r="S268" s="12">
        <f t="shared" si="46"/>
        <v>525</v>
      </c>
      <c r="T268" s="12">
        <f t="shared" si="47"/>
        <v>401.25</v>
      </c>
      <c r="U268" s="11">
        <f t="shared" si="48"/>
        <v>0.4331983805668016</v>
      </c>
      <c r="V268" t="str">
        <f>IF(OR(A268="",COUNTIF($A$2:$A$301,A268)&gt;1,C268="",D268="",ISERROR(SEARCH("@",D268)),ISERROR(SEARCH(".",D268)),COUNTIF(Lookups!$A$2:$A$11,E268)=0,F268="",H268="",K268&lt;=0,L268&lt;0,M268&lt;0,N268&lt;0,N268&gt;0.5,COUNTIF(Lookups!$K$2:$K$4,P268)=0),"ERROR","VALID")</f>
        <v>VALID</v>
      </c>
      <c r="W268" s="2" t="str">
        <f>IF(A268="","Missing Order ID; ","")&amp;IF(COUNTIF($A$2:$A$301,A268)&gt;1,"Duplicate Order ID; ","")&amp;IF(C268="","Missing Customer ID; ","")&amp;IF(OR(D268="",ISERROR(SEARCH("@",D268)),ISERROR(SEARCH(".",D268))),"Invalid Email; ","")&amp;IF(COUNTIF(Lookups!$A$2:$A$11,E268)=0,"Unknown Product; ","")&amp;IF(F268="","Missing Product Name; ","")&amp;IF(H268="","Missing Region; ","")&amp;IF(K268&lt;=0,"Invalid Quantity; ","")&amp;IF(L268&lt;0,"Invalid Price; ","")&amp;IF(M268&lt;0,"Invalid Cost; ","")&amp;IF(OR(N268&lt;0,N268&gt;0.5),"Invalid Discount; ","")&amp;IF(COUNTIF(Lookups!$K$2:$K$4,P268)=0,"Invalid Status; ","")</f>
        <v/>
      </c>
      <c r="X268" s="15" t="str">
        <f t="shared" si="49"/>
        <v>2025-09</v>
      </c>
      <c r="Y268" t="str">
        <f t="shared" si="50"/>
        <v>Q3</v>
      </c>
      <c r="Z268" t="str">
        <f>IF(R268&gt;=Settings!$B$9,"High Value Customer",IF(R268&gt;=Settings!$B$10,"Medium Value Customer","Standard Customer"))</f>
        <v>Standard Customer</v>
      </c>
      <c r="AA268" t="str">
        <f>IF(R268&gt;=Settings!$B$9,"Large Order",IF(R268&gt;=Settings!$B$10,"Medium Order","Small Order"))</f>
        <v>Small Order</v>
      </c>
      <c r="AB268" t="str">
        <f>IF(N268=0,"No Discount",IF(N268&lt;=0.1,"Low Discount",IF(N268&lt;=Settings!$B$8,"Medium Discount","High Discount")))</f>
        <v>Low Discount</v>
      </c>
      <c r="AC268" t="str">
        <f t="shared" si="51"/>
        <v>Profitable</v>
      </c>
      <c r="AD268" t="str">
        <f>IFERROR(VLOOKUP(E268,Lookups!$A$2:$E$11,2,FALSE),"Product Not Found")</f>
        <v>Headset</v>
      </c>
      <c r="AE268" t="str">
        <f>IFERROR(VLOOKUP(E268,Lookups!$A$2:$E$11,3,FALSE),"Category Not Found")</f>
        <v>Electronics</v>
      </c>
      <c r="AF268" t="str">
        <f>IFERROR(IF(L268=VLOOKUP(E268,Lookups!$A$2:$E$11,4,FALSE),"Price OK","Price Mismatch"),"Product Missing")</f>
        <v>Price OK</v>
      </c>
      <c r="AG268" t="str">
        <f t="shared" si="52"/>
        <v>Valid Email</v>
      </c>
      <c r="AH268" t="str">
        <f t="shared" si="53"/>
        <v>READY FOR REPORTING</v>
      </c>
      <c r="AI268" t="str">
        <f>IF(AND(LEFT(A268,LEN(Settings!$B$13))=Settings!$B$13,LEN(A268)=9),"Valid Format","Invalid Format")</f>
        <v>Valid Format</v>
      </c>
      <c r="AJ268" t="str">
        <f>IF(LEFT(C268,LEN(Settings!$B$14))=Settings!$B$14,"Valid Format","Invalid Format")</f>
        <v>Valid Format</v>
      </c>
      <c r="AK268" t="str">
        <f>IF(COUNTIF(Master_Data!$G$5:$G$14,C268)=1,"Known Customer","Customer Not in Master")</f>
        <v>Customer Not in Master</v>
      </c>
      <c r="AL268" t="str">
        <f>IF(U268&gt;=Settings!$B$11,"Target Met","Below Target")</f>
        <v>Target Met</v>
      </c>
      <c r="AM268" t="str">
        <f>IF(YEAR(B268)=Settings!$B$5,"Correct Year","Wrong Year")</f>
        <v>Correct Year</v>
      </c>
      <c r="AN268">
        <f t="shared" si="54"/>
        <v>4</v>
      </c>
    </row>
    <row r="269" spans="1:40">
      <c r="A269" t="str">
        <f>Raw_Data!A269</f>
        <v>ORD-10268</v>
      </c>
      <c r="B269" s="13">
        <f>Raw_Data!B269</f>
        <v>45782</v>
      </c>
      <c r="C269" t="str">
        <f>Raw_Data!C269</f>
        <v>C1088</v>
      </c>
      <c r="D269" t="str">
        <f>Raw_Data!D269</f>
        <v>client21@example.com</v>
      </c>
      <c r="E269" t="str">
        <f>Raw_Data!E269</f>
        <v>P1010</v>
      </c>
      <c r="F269" t="str">
        <f>Raw_Data!F269</f>
        <v>Headset</v>
      </c>
      <c r="G269" t="str">
        <f>Raw_Data!G269</f>
        <v>Electronics</v>
      </c>
      <c r="H269" t="str">
        <f>Raw_Data!H269</f>
        <v>Bucharest</v>
      </c>
      <c r="I269" t="str">
        <f>Raw_Data!I269</f>
        <v>Online</v>
      </c>
      <c r="J269" t="str">
        <f>Raw_Data!J269</f>
        <v>Mihai Radu</v>
      </c>
      <c r="K269">
        <f>Raw_Data!K269</f>
        <v>12</v>
      </c>
      <c r="L269" s="12">
        <f>Raw_Data!L269</f>
        <v>195</v>
      </c>
      <c r="M269" s="12">
        <f>Raw_Data!M269</f>
        <v>105</v>
      </c>
      <c r="N269" s="14">
        <f>Raw_Data!N269</f>
        <v>0</v>
      </c>
      <c r="O269" t="str">
        <f>Raw_Data!O269</f>
        <v>Online Wallet</v>
      </c>
      <c r="P269" t="str">
        <f>Raw_Data!P269</f>
        <v>Completed</v>
      </c>
      <c r="Q269" s="12">
        <f t="shared" si="44"/>
        <v>2340</v>
      </c>
      <c r="R269" s="12">
        <f t="shared" si="45"/>
        <v>2340</v>
      </c>
      <c r="S269" s="12">
        <f t="shared" si="46"/>
        <v>1260</v>
      </c>
      <c r="T269" s="12">
        <f t="shared" si="47"/>
        <v>1080</v>
      </c>
      <c r="U269" s="11">
        <f t="shared" si="48"/>
        <v>0.46153846153846156</v>
      </c>
      <c r="V269" t="str">
        <f>IF(OR(A269="",COUNTIF($A$2:$A$301,A269)&gt;1,C269="",D269="",ISERROR(SEARCH("@",D269)),ISERROR(SEARCH(".",D269)),COUNTIF(Lookups!$A$2:$A$11,E269)=0,F269="",H269="",K269&lt;=0,L269&lt;0,M269&lt;0,N269&lt;0,N269&gt;0.5,COUNTIF(Lookups!$K$2:$K$4,P269)=0),"ERROR","VALID")</f>
        <v>VALID</v>
      </c>
      <c r="W269" s="2" t="str">
        <f>IF(A269="","Missing Order ID; ","")&amp;IF(COUNTIF($A$2:$A$301,A269)&gt;1,"Duplicate Order ID; ","")&amp;IF(C269="","Missing Customer ID; ","")&amp;IF(OR(D269="",ISERROR(SEARCH("@",D269)),ISERROR(SEARCH(".",D269))),"Invalid Email; ","")&amp;IF(COUNTIF(Lookups!$A$2:$A$11,E269)=0,"Unknown Product; ","")&amp;IF(F269="","Missing Product Name; ","")&amp;IF(H269="","Missing Region; ","")&amp;IF(K269&lt;=0,"Invalid Quantity; ","")&amp;IF(L269&lt;0,"Invalid Price; ","")&amp;IF(M269&lt;0,"Invalid Cost; ","")&amp;IF(OR(N269&lt;0,N269&gt;0.5),"Invalid Discount; ","")&amp;IF(COUNTIF(Lookups!$K$2:$K$4,P269)=0,"Invalid Status; ","")</f>
        <v/>
      </c>
      <c r="X269" s="15" t="str">
        <f t="shared" si="49"/>
        <v>2025-05</v>
      </c>
      <c r="Y269" t="str">
        <f t="shared" si="50"/>
        <v>Q2</v>
      </c>
      <c r="Z269" t="str">
        <f>IF(R269&gt;=Settings!$B$9,"High Value Customer",IF(R269&gt;=Settings!$B$10,"Medium Value Customer","Standard Customer"))</f>
        <v>Medium Value Customer</v>
      </c>
      <c r="AA269" t="str">
        <f>IF(R269&gt;=Settings!$B$9,"Large Order",IF(R269&gt;=Settings!$B$10,"Medium Order","Small Order"))</f>
        <v>Medium Order</v>
      </c>
      <c r="AB269" t="str">
        <f>IF(N269=0,"No Discount",IF(N269&lt;=0.1,"Low Discount",IF(N269&lt;=Settings!$B$8,"Medium Discount","High Discount")))</f>
        <v>No Discount</v>
      </c>
      <c r="AC269" t="str">
        <f t="shared" si="51"/>
        <v>Profitable</v>
      </c>
      <c r="AD269" t="str">
        <f>IFERROR(VLOOKUP(E269,Lookups!$A$2:$E$11,2,FALSE),"Product Not Found")</f>
        <v>Headset</v>
      </c>
      <c r="AE269" t="str">
        <f>IFERROR(VLOOKUP(E269,Lookups!$A$2:$E$11,3,FALSE),"Category Not Found")</f>
        <v>Electronics</v>
      </c>
      <c r="AF269" t="str">
        <f>IFERROR(IF(L269=VLOOKUP(E269,Lookups!$A$2:$E$11,4,FALSE),"Price OK","Price Mismatch"),"Product Missing")</f>
        <v>Price OK</v>
      </c>
      <c r="AG269" t="str">
        <f t="shared" si="52"/>
        <v>Valid Email</v>
      </c>
      <c r="AH269" t="str">
        <f t="shared" si="53"/>
        <v>READY FOR REPORTING</v>
      </c>
      <c r="AI269" t="str">
        <f>IF(AND(LEFT(A269,LEN(Settings!$B$13))=Settings!$B$13,LEN(A269)=9),"Valid Format","Invalid Format")</f>
        <v>Valid Format</v>
      </c>
      <c r="AJ269" t="str">
        <f>IF(LEFT(C269,LEN(Settings!$B$14))=Settings!$B$14,"Valid Format","Invalid Format")</f>
        <v>Valid Format</v>
      </c>
      <c r="AK269" t="str">
        <f>IF(COUNTIF(Master_Data!$G$5:$G$14,C269)=1,"Known Customer","Customer Not in Master")</f>
        <v>Customer Not in Master</v>
      </c>
      <c r="AL269" t="str">
        <f>IF(U269&gt;=Settings!$B$11,"Target Met","Below Target")</f>
        <v>Target Met</v>
      </c>
      <c r="AM269" t="str">
        <f>IF(YEAR(B269)=Settings!$B$5,"Correct Year","Wrong Year")</f>
        <v>Correct Year</v>
      </c>
      <c r="AN269">
        <f t="shared" si="54"/>
        <v>4</v>
      </c>
    </row>
    <row r="270" spans="1:40">
      <c r="A270" t="str">
        <f>Raw_Data!A270</f>
        <v>ORD-10269</v>
      </c>
      <c r="B270" s="13">
        <f>Raw_Data!B270</f>
        <v>45940</v>
      </c>
      <c r="C270" t="str">
        <f>Raw_Data!C270</f>
        <v>C1002</v>
      </c>
      <c r="D270" t="str">
        <f>Raw_Data!D270</f>
        <v>client180@example.com</v>
      </c>
      <c r="E270" t="str">
        <f>Raw_Data!E270</f>
        <v>P1007</v>
      </c>
      <c r="F270" t="str">
        <f>Raw_Data!F270</f>
        <v>Office Chair</v>
      </c>
      <c r="G270" t="str">
        <f>Raw_Data!G270</f>
        <v>Furniture</v>
      </c>
      <c r="H270" t="str">
        <f>Raw_Data!H270</f>
        <v>North</v>
      </c>
      <c r="I270" t="str">
        <f>Raw_Data!I270</f>
        <v>Online</v>
      </c>
      <c r="J270" t="str">
        <f>Raw_Data!J270</f>
        <v>Mihai Radu</v>
      </c>
      <c r="K270">
        <f>Raw_Data!K270</f>
        <v>8</v>
      </c>
      <c r="L270" s="12">
        <f>Raw_Data!L270</f>
        <v>840</v>
      </c>
      <c r="M270" s="12">
        <f>Raw_Data!M270</f>
        <v>590</v>
      </c>
      <c r="N270" s="14">
        <f>Raw_Data!N270</f>
        <v>0</v>
      </c>
      <c r="O270" t="str">
        <f>Raw_Data!O270</f>
        <v>Online Wallet</v>
      </c>
      <c r="P270" t="str">
        <f>Raw_Data!P270</f>
        <v>Cancelled</v>
      </c>
      <c r="Q270" s="12">
        <f t="shared" si="44"/>
        <v>6720</v>
      </c>
      <c r="R270" s="12">
        <f t="shared" si="45"/>
        <v>6720</v>
      </c>
      <c r="S270" s="12">
        <f t="shared" si="46"/>
        <v>4720</v>
      </c>
      <c r="T270" s="12">
        <f t="shared" si="47"/>
        <v>2000</v>
      </c>
      <c r="U270" s="11">
        <f t="shared" si="48"/>
        <v>0.29761904761904762</v>
      </c>
      <c r="V270" t="str">
        <f>IF(OR(A270="",COUNTIF($A$2:$A$301,A270)&gt;1,C270="",D270="",ISERROR(SEARCH("@",D270)),ISERROR(SEARCH(".",D270)),COUNTIF(Lookups!$A$2:$A$11,E270)=0,F270="",H270="",K270&lt;=0,L270&lt;0,M270&lt;0,N270&lt;0,N270&gt;0.5,COUNTIF(Lookups!$K$2:$K$4,P270)=0),"ERROR","VALID")</f>
        <v>VALID</v>
      </c>
      <c r="W270" s="2" t="str">
        <f>IF(A270="","Missing Order ID; ","")&amp;IF(COUNTIF($A$2:$A$301,A270)&gt;1,"Duplicate Order ID; ","")&amp;IF(C270="","Missing Customer ID; ","")&amp;IF(OR(D270="",ISERROR(SEARCH("@",D270)),ISERROR(SEARCH(".",D270))),"Invalid Email; ","")&amp;IF(COUNTIF(Lookups!$A$2:$A$11,E270)=0,"Unknown Product; ","")&amp;IF(F270="","Missing Product Name; ","")&amp;IF(H270="","Missing Region; ","")&amp;IF(K270&lt;=0,"Invalid Quantity; ","")&amp;IF(L270&lt;0,"Invalid Price; ","")&amp;IF(M270&lt;0,"Invalid Cost; ","")&amp;IF(OR(N270&lt;0,N270&gt;0.5),"Invalid Discount; ","")&amp;IF(COUNTIF(Lookups!$K$2:$K$4,P270)=0,"Invalid Status; ","")</f>
        <v/>
      </c>
      <c r="X270" s="15" t="str">
        <f t="shared" si="49"/>
        <v>2025-10</v>
      </c>
      <c r="Y270" t="str">
        <f t="shared" si="50"/>
        <v>Q4</v>
      </c>
      <c r="Z270" t="str">
        <f>IF(R270&gt;=Settings!$B$9,"High Value Customer",IF(R270&gt;=Settings!$B$10,"Medium Value Customer","Standard Customer"))</f>
        <v>High Value Customer</v>
      </c>
      <c r="AA270" t="str">
        <f>IF(R270&gt;=Settings!$B$9,"Large Order",IF(R270&gt;=Settings!$B$10,"Medium Order","Small Order"))</f>
        <v>Large Order</v>
      </c>
      <c r="AB270" t="str">
        <f>IF(N270=0,"No Discount",IF(N270&lt;=0.1,"Low Discount",IF(N270&lt;=Settings!$B$8,"Medium Discount","High Discount")))</f>
        <v>No Discount</v>
      </c>
      <c r="AC270" t="str">
        <f t="shared" si="51"/>
        <v>Profitable</v>
      </c>
      <c r="AD270" t="str">
        <f>IFERROR(VLOOKUP(E270,Lookups!$A$2:$E$11,2,FALSE),"Product Not Found")</f>
        <v>Office Chair</v>
      </c>
      <c r="AE270" t="str">
        <f>IFERROR(VLOOKUP(E270,Lookups!$A$2:$E$11,3,FALSE),"Category Not Found")</f>
        <v>Furniture</v>
      </c>
      <c r="AF270" t="str">
        <f>IFERROR(IF(L270=VLOOKUP(E270,Lookups!$A$2:$E$11,4,FALSE),"Price OK","Price Mismatch"),"Product Missing")</f>
        <v>Price OK</v>
      </c>
      <c r="AG270" t="str">
        <f t="shared" si="52"/>
        <v>Valid Email</v>
      </c>
      <c r="AH270" t="str">
        <f t="shared" si="53"/>
        <v>READY FOR REPORTING</v>
      </c>
      <c r="AI270" t="str">
        <f>IF(AND(LEFT(A270,LEN(Settings!$B$13))=Settings!$B$13,LEN(A270)=9),"Valid Format","Invalid Format")</f>
        <v>Valid Format</v>
      </c>
      <c r="AJ270" t="str">
        <f>IF(LEFT(C270,LEN(Settings!$B$14))=Settings!$B$14,"Valid Format","Invalid Format")</f>
        <v>Valid Format</v>
      </c>
      <c r="AK270" t="str">
        <f>IF(COUNTIF(Master_Data!$G$5:$G$14,C270)=1,"Known Customer","Customer Not in Master")</f>
        <v>Known Customer</v>
      </c>
      <c r="AL270" t="str">
        <f>IF(U270&gt;=Settings!$B$11,"Target Met","Below Target")</f>
        <v>Target Met</v>
      </c>
      <c r="AM270" t="str">
        <f>IF(YEAR(B270)=Settings!$B$5,"Correct Year","Wrong Year")</f>
        <v>Correct Year</v>
      </c>
      <c r="AN270">
        <f t="shared" si="54"/>
        <v>5</v>
      </c>
    </row>
    <row r="271" spans="1:40">
      <c r="A271" t="str">
        <f>Raw_Data!A271</f>
        <v>ORD-10270</v>
      </c>
      <c r="B271" s="13">
        <f>Raw_Data!B271</f>
        <v>45947</v>
      </c>
      <c r="C271" t="str">
        <f>Raw_Data!C271</f>
        <v>C1030</v>
      </c>
      <c r="D271" t="str">
        <f>Raw_Data!D271</f>
        <v>client55@example.com</v>
      </c>
      <c r="E271" t="str">
        <f>Raw_Data!E271</f>
        <v>P1006</v>
      </c>
      <c r="F271" t="str">
        <f>Raw_Data!F271</f>
        <v>27-inch Monitor</v>
      </c>
      <c r="G271" t="str">
        <f>Raw_Data!G271</f>
        <v>Electronics</v>
      </c>
      <c r="H271" t="str">
        <f>Raw_Data!H271</f>
        <v>West</v>
      </c>
      <c r="I271" t="str">
        <f>Raw_Data!I271</f>
        <v>Store</v>
      </c>
      <c r="J271" t="str">
        <f>Raw_Data!J271</f>
        <v>Elena Stan</v>
      </c>
      <c r="K271">
        <f>Raw_Data!K271</f>
        <v>2</v>
      </c>
      <c r="L271" s="12">
        <f>Raw_Data!L271</f>
        <v>1090</v>
      </c>
      <c r="M271" s="12">
        <f>Raw_Data!M271</f>
        <v>790</v>
      </c>
      <c r="N271" s="14">
        <f>Raw_Data!N271</f>
        <v>0.15</v>
      </c>
      <c r="O271" t="str">
        <f>Raw_Data!O271</f>
        <v>Card</v>
      </c>
      <c r="P271" t="str">
        <f>Raw_Data!P271</f>
        <v>Completed</v>
      </c>
      <c r="Q271" s="12">
        <f t="shared" si="44"/>
        <v>2180</v>
      </c>
      <c r="R271" s="12">
        <f t="shared" si="45"/>
        <v>1853</v>
      </c>
      <c r="S271" s="12">
        <f t="shared" si="46"/>
        <v>1580</v>
      </c>
      <c r="T271" s="12">
        <f t="shared" si="47"/>
        <v>273</v>
      </c>
      <c r="U271" s="11">
        <f t="shared" si="48"/>
        <v>0.14732865623313546</v>
      </c>
      <c r="V271" t="str">
        <f>IF(OR(A271="",COUNTIF($A$2:$A$301,A271)&gt;1,C271="",D271="",ISERROR(SEARCH("@",D271)),ISERROR(SEARCH(".",D271)),COUNTIF(Lookups!$A$2:$A$11,E271)=0,F271="",H271="",K271&lt;=0,L271&lt;0,M271&lt;0,N271&lt;0,N271&gt;0.5,COUNTIF(Lookups!$K$2:$K$4,P271)=0),"ERROR","VALID")</f>
        <v>VALID</v>
      </c>
      <c r="W271" s="2" t="str">
        <f>IF(A271="","Missing Order ID; ","")&amp;IF(COUNTIF($A$2:$A$301,A271)&gt;1,"Duplicate Order ID; ","")&amp;IF(C271="","Missing Customer ID; ","")&amp;IF(OR(D271="",ISERROR(SEARCH("@",D271)),ISERROR(SEARCH(".",D271))),"Invalid Email; ","")&amp;IF(COUNTIF(Lookups!$A$2:$A$11,E271)=0,"Unknown Product; ","")&amp;IF(F271="","Missing Product Name; ","")&amp;IF(H271="","Missing Region; ","")&amp;IF(K271&lt;=0,"Invalid Quantity; ","")&amp;IF(L271&lt;0,"Invalid Price; ","")&amp;IF(M271&lt;0,"Invalid Cost; ","")&amp;IF(OR(N271&lt;0,N271&gt;0.5),"Invalid Discount; ","")&amp;IF(COUNTIF(Lookups!$K$2:$K$4,P271)=0,"Invalid Status; ","")</f>
        <v/>
      </c>
      <c r="X271" s="15" t="str">
        <f t="shared" si="49"/>
        <v>2025-10</v>
      </c>
      <c r="Y271" t="str">
        <f t="shared" si="50"/>
        <v>Q4</v>
      </c>
      <c r="Z271" t="str">
        <f>IF(R271&gt;=Settings!$B$9,"High Value Customer",IF(R271&gt;=Settings!$B$10,"Medium Value Customer","Standard Customer"))</f>
        <v>Standard Customer</v>
      </c>
      <c r="AA271" t="str">
        <f>IF(R271&gt;=Settings!$B$9,"Large Order",IF(R271&gt;=Settings!$B$10,"Medium Order","Small Order"))</f>
        <v>Small Order</v>
      </c>
      <c r="AB271" t="str">
        <f>IF(N271=0,"No Discount",IF(N271&lt;=0.1,"Low Discount",IF(N271&lt;=Settings!$B$8,"Medium Discount","High Discount")))</f>
        <v>Medium Discount</v>
      </c>
      <c r="AC271" t="str">
        <f t="shared" si="51"/>
        <v>Profitable</v>
      </c>
      <c r="AD271" t="str">
        <f>IFERROR(VLOOKUP(E271,Lookups!$A$2:$E$11,2,FALSE),"Product Not Found")</f>
        <v>27-inch Monitor</v>
      </c>
      <c r="AE271" t="str">
        <f>IFERROR(VLOOKUP(E271,Lookups!$A$2:$E$11,3,FALSE),"Category Not Found")</f>
        <v>Electronics</v>
      </c>
      <c r="AF271" t="str">
        <f>IFERROR(IF(L271=VLOOKUP(E271,Lookups!$A$2:$E$11,4,FALSE),"Price OK","Price Mismatch"),"Product Missing")</f>
        <v>Price OK</v>
      </c>
      <c r="AG271" t="str">
        <f t="shared" si="52"/>
        <v>Valid Email</v>
      </c>
      <c r="AH271" t="str">
        <f t="shared" si="53"/>
        <v>READY FOR REPORTING</v>
      </c>
      <c r="AI271" t="str">
        <f>IF(AND(LEFT(A271,LEN(Settings!$B$13))=Settings!$B$13,LEN(A271)=9),"Valid Format","Invalid Format")</f>
        <v>Valid Format</v>
      </c>
      <c r="AJ271" t="str">
        <f>IF(LEFT(C271,LEN(Settings!$B$14))=Settings!$B$14,"Valid Format","Invalid Format")</f>
        <v>Valid Format</v>
      </c>
      <c r="AK271" t="str">
        <f>IF(COUNTIF(Master_Data!$G$5:$G$14,C271)=1,"Known Customer","Customer Not in Master")</f>
        <v>Customer Not in Master</v>
      </c>
      <c r="AL271" t="str">
        <f>IF(U271&gt;=Settings!$B$11,"Target Met","Below Target")</f>
        <v>Below Target</v>
      </c>
      <c r="AM271" t="str">
        <f>IF(YEAR(B271)=Settings!$B$5,"Correct Year","Wrong Year")</f>
        <v>Correct Year</v>
      </c>
      <c r="AN271">
        <f t="shared" si="54"/>
        <v>3</v>
      </c>
    </row>
    <row r="272" spans="1:40">
      <c r="A272" t="str">
        <f>Raw_Data!A272</f>
        <v>ORD-10271</v>
      </c>
      <c r="B272" s="13">
        <f>Raw_Data!B272</f>
        <v>46008</v>
      </c>
      <c r="C272" t="str">
        <f>Raw_Data!C272</f>
        <v>C1085</v>
      </c>
      <c r="D272" t="str">
        <f>Raw_Data!D272</f>
        <v>client9@example.com</v>
      </c>
      <c r="E272" t="str">
        <f>Raw_Data!E272</f>
        <v>P1002</v>
      </c>
      <c r="F272" t="str">
        <f>Raw_Data!F272</f>
        <v>Wireless Mouse</v>
      </c>
      <c r="G272" t="str">
        <f>Raw_Data!G272</f>
        <v>Accessories</v>
      </c>
      <c r="H272" t="str">
        <f>Raw_Data!H272</f>
        <v>North</v>
      </c>
      <c r="I272" t="str">
        <f>Raw_Data!I272</f>
        <v>Store</v>
      </c>
      <c r="J272" t="str">
        <f>Raw_Data!J272</f>
        <v>Andrei Pop</v>
      </c>
      <c r="K272">
        <f>Raw_Data!K272</f>
        <v>5</v>
      </c>
      <c r="L272" s="12">
        <f>Raw_Data!L272</f>
        <v>85</v>
      </c>
      <c r="M272" s="12">
        <f>Raw_Data!M272</f>
        <v>44</v>
      </c>
      <c r="N272" s="14">
        <f>Raw_Data!N272</f>
        <v>0.15</v>
      </c>
      <c r="O272" t="str">
        <f>Raw_Data!O272</f>
        <v>Bank Transfer</v>
      </c>
      <c r="P272" t="str">
        <f>Raw_Data!P272</f>
        <v>Returned</v>
      </c>
      <c r="Q272" s="12">
        <f t="shared" si="44"/>
        <v>425</v>
      </c>
      <c r="R272" s="12">
        <f t="shared" si="45"/>
        <v>361.25</v>
      </c>
      <c r="S272" s="12">
        <f t="shared" si="46"/>
        <v>220</v>
      </c>
      <c r="T272" s="12">
        <f t="shared" si="47"/>
        <v>141.25</v>
      </c>
      <c r="U272" s="11">
        <f t="shared" si="48"/>
        <v>0.39100346020761245</v>
      </c>
      <c r="V272" t="str">
        <f>IF(OR(A272="",COUNTIF($A$2:$A$301,A272)&gt;1,C272="",D272="",ISERROR(SEARCH("@",D272)),ISERROR(SEARCH(".",D272)),COUNTIF(Lookups!$A$2:$A$11,E272)=0,F272="",H272="",K272&lt;=0,L272&lt;0,M272&lt;0,N272&lt;0,N272&gt;0.5,COUNTIF(Lookups!$K$2:$K$4,P272)=0),"ERROR","VALID")</f>
        <v>VALID</v>
      </c>
      <c r="W272" s="2" t="str">
        <f>IF(A272="","Missing Order ID; ","")&amp;IF(COUNTIF($A$2:$A$301,A272)&gt;1,"Duplicate Order ID; ","")&amp;IF(C272="","Missing Customer ID; ","")&amp;IF(OR(D272="",ISERROR(SEARCH("@",D272)),ISERROR(SEARCH(".",D272))),"Invalid Email; ","")&amp;IF(COUNTIF(Lookups!$A$2:$A$11,E272)=0,"Unknown Product; ","")&amp;IF(F272="","Missing Product Name; ","")&amp;IF(H272="","Missing Region; ","")&amp;IF(K272&lt;=0,"Invalid Quantity; ","")&amp;IF(L272&lt;0,"Invalid Price; ","")&amp;IF(M272&lt;0,"Invalid Cost; ","")&amp;IF(OR(N272&lt;0,N272&gt;0.5),"Invalid Discount; ","")&amp;IF(COUNTIF(Lookups!$K$2:$K$4,P272)=0,"Invalid Status; ","")</f>
        <v/>
      </c>
      <c r="X272" s="15" t="str">
        <f t="shared" si="49"/>
        <v>2025-12</v>
      </c>
      <c r="Y272" t="str">
        <f t="shared" si="50"/>
        <v>Q4</v>
      </c>
      <c r="Z272" t="str">
        <f>IF(R272&gt;=Settings!$B$9,"High Value Customer",IF(R272&gt;=Settings!$B$10,"Medium Value Customer","Standard Customer"))</f>
        <v>Standard Customer</v>
      </c>
      <c r="AA272" t="str">
        <f>IF(R272&gt;=Settings!$B$9,"Large Order",IF(R272&gt;=Settings!$B$10,"Medium Order","Small Order"))</f>
        <v>Small Order</v>
      </c>
      <c r="AB272" t="str">
        <f>IF(N272=0,"No Discount",IF(N272&lt;=0.1,"Low Discount",IF(N272&lt;=Settings!$B$8,"Medium Discount","High Discount")))</f>
        <v>Medium Discount</v>
      </c>
      <c r="AC272" t="str">
        <f t="shared" si="51"/>
        <v>Profitable</v>
      </c>
      <c r="AD272" t="str">
        <f>IFERROR(VLOOKUP(E272,Lookups!$A$2:$E$11,2,FALSE),"Product Not Found")</f>
        <v>Wireless Mouse</v>
      </c>
      <c r="AE272" t="str">
        <f>IFERROR(VLOOKUP(E272,Lookups!$A$2:$E$11,3,FALSE),"Category Not Found")</f>
        <v>Accessories</v>
      </c>
      <c r="AF272" t="str">
        <f>IFERROR(IF(L272=VLOOKUP(E272,Lookups!$A$2:$E$11,4,FALSE),"Price OK","Price Mismatch"),"Product Missing")</f>
        <v>Price OK</v>
      </c>
      <c r="AG272" t="str">
        <f t="shared" si="52"/>
        <v>Valid Email</v>
      </c>
      <c r="AH272" t="str">
        <f t="shared" si="53"/>
        <v>READY FOR REPORTING</v>
      </c>
      <c r="AI272" t="str">
        <f>IF(AND(LEFT(A272,LEN(Settings!$B$13))=Settings!$B$13,LEN(A272)=9),"Valid Format","Invalid Format")</f>
        <v>Valid Format</v>
      </c>
      <c r="AJ272" t="str">
        <f>IF(LEFT(C272,LEN(Settings!$B$14))=Settings!$B$14,"Valid Format","Invalid Format")</f>
        <v>Valid Format</v>
      </c>
      <c r="AK272" t="str">
        <f>IF(COUNTIF(Master_Data!$G$5:$G$14,C272)=1,"Known Customer","Customer Not in Master")</f>
        <v>Customer Not in Master</v>
      </c>
      <c r="AL272" t="str">
        <f>IF(U272&gt;=Settings!$B$11,"Target Met","Below Target")</f>
        <v>Target Met</v>
      </c>
      <c r="AM272" t="str">
        <f>IF(YEAR(B272)=Settings!$B$5,"Correct Year","Wrong Year")</f>
        <v>Correct Year</v>
      </c>
      <c r="AN272">
        <f t="shared" si="54"/>
        <v>4</v>
      </c>
    </row>
    <row r="273" spans="1:40">
      <c r="A273" t="str">
        <f>Raw_Data!A273</f>
        <v>ORD-10272</v>
      </c>
      <c r="B273" s="13">
        <f>Raw_Data!B273</f>
        <v>45731</v>
      </c>
      <c r="C273" t="str">
        <f>Raw_Data!C273</f>
        <v>C1039</v>
      </c>
      <c r="D273" t="str">
        <f>Raw_Data!D273</f>
        <v>client42@example.com</v>
      </c>
      <c r="E273" t="str">
        <f>Raw_Data!E273</f>
        <v>P1010</v>
      </c>
      <c r="F273" t="str">
        <f>Raw_Data!F273</f>
        <v>Headset</v>
      </c>
      <c r="G273" t="str">
        <f>Raw_Data!G273</f>
        <v>Electronics</v>
      </c>
      <c r="H273" t="str">
        <f>Raw_Data!H273</f>
        <v>West</v>
      </c>
      <c r="I273" t="str">
        <f>Raw_Data!I273</f>
        <v>Online</v>
      </c>
      <c r="J273" t="str">
        <f>Raw_Data!J273</f>
        <v>Ioana Pavel</v>
      </c>
      <c r="K273">
        <f>Raw_Data!K273</f>
        <v>12</v>
      </c>
      <c r="L273" s="12">
        <f>Raw_Data!L273</f>
        <v>195</v>
      </c>
      <c r="M273" s="12">
        <f>Raw_Data!M273</f>
        <v>105</v>
      </c>
      <c r="N273" s="14">
        <f>Raw_Data!N273</f>
        <v>0.1</v>
      </c>
      <c r="O273" t="str">
        <f>Raw_Data!O273</f>
        <v>Online Wallet</v>
      </c>
      <c r="P273" t="str">
        <f>Raw_Data!P273</f>
        <v>Completed</v>
      </c>
      <c r="Q273" s="12">
        <f t="shared" si="44"/>
        <v>2340</v>
      </c>
      <c r="R273" s="12">
        <f t="shared" si="45"/>
        <v>2106</v>
      </c>
      <c r="S273" s="12">
        <f t="shared" si="46"/>
        <v>1260</v>
      </c>
      <c r="T273" s="12">
        <f t="shared" si="47"/>
        <v>846</v>
      </c>
      <c r="U273" s="11">
        <f t="shared" si="48"/>
        <v>0.40170940170940173</v>
      </c>
      <c r="V273" t="str">
        <f>IF(OR(A273="",COUNTIF($A$2:$A$301,A273)&gt;1,C273="",D273="",ISERROR(SEARCH("@",D273)),ISERROR(SEARCH(".",D273)),COUNTIF(Lookups!$A$2:$A$11,E273)=0,F273="",H273="",K273&lt;=0,L273&lt;0,M273&lt;0,N273&lt;0,N273&gt;0.5,COUNTIF(Lookups!$K$2:$K$4,P273)=0),"ERROR","VALID")</f>
        <v>VALID</v>
      </c>
      <c r="W273" s="2" t="str">
        <f>IF(A273="","Missing Order ID; ","")&amp;IF(COUNTIF($A$2:$A$301,A273)&gt;1,"Duplicate Order ID; ","")&amp;IF(C273="","Missing Customer ID; ","")&amp;IF(OR(D273="",ISERROR(SEARCH("@",D273)),ISERROR(SEARCH(".",D273))),"Invalid Email; ","")&amp;IF(COUNTIF(Lookups!$A$2:$A$11,E273)=0,"Unknown Product; ","")&amp;IF(F273="","Missing Product Name; ","")&amp;IF(H273="","Missing Region; ","")&amp;IF(K273&lt;=0,"Invalid Quantity; ","")&amp;IF(L273&lt;0,"Invalid Price; ","")&amp;IF(M273&lt;0,"Invalid Cost; ","")&amp;IF(OR(N273&lt;0,N273&gt;0.5),"Invalid Discount; ","")&amp;IF(COUNTIF(Lookups!$K$2:$K$4,P273)=0,"Invalid Status; ","")</f>
        <v/>
      </c>
      <c r="X273" s="15" t="str">
        <f t="shared" si="49"/>
        <v>2025-03</v>
      </c>
      <c r="Y273" t="str">
        <f t="shared" si="50"/>
        <v>Q1</v>
      </c>
      <c r="Z273" t="str">
        <f>IF(R273&gt;=Settings!$B$9,"High Value Customer",IF(R273&gt;=Settings!$B$10,"Medium Value Customer","Standard Customer"))</f>
        <v>Medium Value Customer</v>
      </c>
      <c r="AA273" t="str">
        <f>IF(R273&gt;=Settings!$B$9,"Large Order",IF(R273&gt;=Settings!$B$10,"Medium Order","Small Order"))</f>
        <v>Medium Order</v>
      </c>
      <c r="AB273" t="str">
        <f>IF(N273=0,"No Discount",IF(N273&lt;=0.1,"Low Discount",IF(N273&lt;=Settings!$B$8,"Medium Discount","High Discount")))</f>
        <v>Low Discount</v>
      </c>
      <c r="AC273" t="str">
        <f t="shared" si="51"/>
        <v>Profitable</v>
      </c>
      <c r="AD273" t="str">
        <f>IFERROR(VLOOKUP(E273,Lookups!$A$2:$E$11,2,FALSE),"Product Not Found")</f>
        <v>Headset</v>
      </c>
      <c r="AE273" t="str">
        <f>IFERROR(VLOOKUP(E273,Lookups!$A$2:$E$11,3,FALSE),"Category Not Found")</f>
        <v>Electronics</v>
      </c>
      <c r="AF273" t="str">
        <f>IFERROR(IF(L273=VLOOKUP(E273,Lookups!$A$2:$E$11,4,FALSE),"Price OK","Price Mismatch"),"Product Missing")</f>
        <v>Price OK</v>
      </c>
      <c r="AG273" t="str">
        <f t="shared" si="52"/>
        <v>Valid Email</v>
      </c>
      <c r="AH273" t="str">
        <f t="shared" si="53"/>
        <v>READY FOR REPORTING</v>
      </c>
      <c r="AI273" t="str">
        <f>IF(AND(LEFT(A273,LEN(Settings!$B$13))=Settings!$B$13,LEN(A273)=9),"Valid Format","Invalid Format")</f>
        <v>Valid Format</v>
      </c>
      <c r="AJ273" t="str">
        <f>IF(LEFT(C273,LEN(Settings!$B$14))=Settings!$B$14,"Valid Format","Invalid Format")</f>
        <v>Valid Format</v>
      </c>
      <c r="AK273" t="str">
        <f>IF(COUNTIF(Master_Data!$G$5:$G$14,C273)=1,"Known Customer","Customer Not in Master")</f>
        <v>Customer Not in Master</v>
      </c>
      <c r="AL273" t="str">
        <f>IF(U273&gt;=Settings!$B$11,"Target Met","Below Target")</f>
        <v>Target Met</v>
      </c>
      <c r="AM273" t="str">
        <f>IF(YEAR(B273)=Settings!$B$5,"Correct Year","Wrong Year")</f>
        <v>Correct Year</v>
      </c>
      <c r="AN273">
        <f t="shared" si="54"/>
        <v>4</v>
      </c>
    </row>
    <row r="274" spans="1:40">
      <c r="A274" t="str">
        <f>Raw_Data!A274</f>
        <v>ORD-10273</v>
      </c>
      <c r="B274" s="13">
        <f>Raw_Data!B274</f>
        <v>45827</v>
      </c>
      <c r="C274" t="str">
        <f>Raw_Data!C274</f>
        <v>C1102</v>
      </c>
      <c r="D274" t="str">
        <f>Raw_Data!D274</f>
        <v>client177@example.com</v>
      </c>
      <c r="E274" t="str">
        <f>Raw_Data!E274</f>
        <v>P1009</v>
      </c>
      <c r="F274" t="str">
        <f>Raw_Data!F274</f>
        <v>Webcam</v>
      </c>
      <c r="G274" t="str">
        <f>Raw_Data!G274</f>
        <v>Electronics</v>
      </c>
      <c r="H274" t="str">
        <f>Raw_Data!H274</f>
        <v>Bucharest</v>
      </c>
      <c r="I274" t="str">
        <f>Raw_Data!I274</f>
        <v>Marketplace</v>
      </c>
      <c r="J274" t="str">
        <f>Raw_Data!J274</f>
        <v>Elena Stan</v>
      </c>
      <c r="K274">
        <f>Raw_Data!K274</f>
        <v>7</v>
      </c>
      <c r="L274" s="12">
        <f>Raw_Data!L274</f>
        <v>230</v>
      </c>
      <c r="M274" s="12">
        <f>Raw_Data!M274</f>
        <v>132</v>
      </c>
      <c r="N274" s="14">
        <f>Raw_Data!N274</f>
        <v>0.2</v>
      </c>
      <c r="O274" t="str">
        <f>Raw_Data!O274</f>
        <v>Card</v>
      </c>
      <c r="P274" t="str">
        <f>Raw_Data!P274</f>
        <v>Completed</v>
      </c>
      <c r="Q274" s="12">
        <f t="shared" si="44"/>
        <v>1610</v>
      </c>
      <c r="R274" s="12">
        <f t="shared" si="45"/>
        <v>1288</v>
      </c>
      <c r="S274" s="12">
        <f t="shared" si="46"/>
        <v>924</v>
      </c>
      <c r="T274" s="12">
        <f t="shared" si="47"/>
        <v>364</v>
      </c>
      <c r="U274" s="11">
        <f t="shared" si="48"/>
        <v>0.28260869565217389</v>
      </c>
      <c r="V274" t="str">
        <f>IF(OR(A274="",COUNTIF($A$2:$A$301,A274)&gt;1,C274="",D274="",ISERROR(SEARCH("@",D274)),ISERROR(SEARCH(".",D274)),COUNTIF(Lookups!$A$2:$A$11,E274)=0,F274="",H274="",K274&lt;=0,L274&lt;0,M274&lt;0,N274&lt;0,N274&gt;0.5,COUNTIF(Lookups!$K$2:$K$4,P274)=0),"ERROR","VALID")</f>
        <v>VALID</v>
      </c>
      <c r="W274" s="2" t="str">
        <f>IF(A274="","Missing Order ID; ","")&amp;IF(COUNTIF($A$2:$A$301,A274)&gt;1,"Duplicate Order ID; ","")&amp;IF(C274="","Missing Customer ID; ","")&amp;IF(OR(D274="",ISERROR(SEARCH("@",D274)),ISERROR(SEARCH(".",D274))),"Invalid Email; ","")&amp;IF(COUNTIF(Lookups!$A$2:$A$11,E274)=0,"Unknown Product; ","")&amp;IF(F274="","Missing Product Name; ","")&amp;IF(H274="","Missing Region; ","")&amp;IF(K274&lt;=0,"Invalid Quantity; ","")&amp;IF(L274&lt;0,"Invalid Price; ","")&amp;IF(M274&lt;0,"Invalid Cost; ","")&amp;IF(OR(N274&lt;0,N274&gt;0.5),"Invalid Discount; ","")&amp;IF(COUNTIF(Lookups!$K$2:$K$4,P274)=0,"Invalid Status; ","")</f>
        <v/>
      </c>
      <c r="X274" s="15" t="str">
        <f t="shared" si="49"/>
        <v>2025-06</v>
      </c>
      <c r="Y274" t="str">
        <f t="shared" si="50"/>
        <v>Q2</v>
      </c>
      <c r="Z274" t="str">
        <f>IF(R274&gt;=Settings!$B$9,"High Value Customer",IF(R274&gt;=Settings!$B$10,"Medium Value Customer","Standard Customer"))</f>
        <v>Standard Customer</v>
      </c>
      <c r="AA274" t="str">
        <f>IF(R274&gt;=Settings!$B$9,"Large Order",IF(R274&gt;=Settings!$B$10,"Medium Order","Small Order"))</f>
        <v>Small Order</v>
      </c>
      <c r="AB274" t="str">
        <f>IF(N274=0,"No Discount",IF(N274&lt;=0.1,"Low Discount",IF(N274&lt;=Settings!$B$8,"Medium Discount","High Discount")))</f>
        <v>Medium Discount</v>
      </c>
      <c r="AC274" t="str">
        <f t="shared" si="51"/>
        <v>Profitable</v>
      </c>
      <c r="AD274" t="str">
        <f>IFERROR(VLOOKUP(E274,Lookups!$A$2:$E$11,2,FALSE),"Product Not Found")</f>
        <v>Webcam</v>
      </c>
      <c r="AE274" t="str">
        <f>IFERROR(VLOOKUP(E274,Lookups!$A$2:$E$11,3,FALSE),"Category Not Found")</f>
        <v>Electronics</v>
      </c>
      <c r="AF274" t="str">
        <f>IFERROR(IF(L274=VLOOKUP(E274,Lookups!$A$2:$E$11,4,FALSE),"Price OK","Price Mismatch"),"Product Missing")</f>
        <v>Price OK</v>
      </c>
      <c r="AG274" t="str">
        <f t="shared" si="52"/>
        <v>Valid Email</v>
      </c>
      <c r="AH274" t="str">
        <f t="shared" si="53"/>
        <v>READY FOR REPORTING</v>
      </c>
      <c r="AI274" t="str">
        <f>IF(AND(LEFT(A274,LEN(Settings!$B$13))=Settings!$B$13,LEN(A274)=9),"Valid Format","Invalid Format")</f>
        <v>Valid Format</v>
      </c>
      <c r="AJ274" t="str">
        <f>IF(LEFT(C274,LEN(Settings!$B$14))=Settings!$B$14,"Valid Format","Invalid Format")</f>
        <v>Valid Format</v>
      </c>
      <c r="AK274" t="str">
        <f>IF(COUNTIF(Master_Data!$G$5:$G$14,C274)=1,"Known Customer","Customer Not in Master")</f>
        <v>Customer Not in Master</v>
      </c>
      <c r="AL274" t="str">
        <f>IF(U274&gt;=Settings!$B$11,"Target Met","Below Target")</f>
        <v>Target Met</v>
      </c>
      <c r="AM274" t="str">
        <f>IF(YEAR(B274)=Settings!$B$5,"Correct Year","Wrong Year")</f>
        <v>Correct Year</v>
      </c>
      <c r="AN274">
        <f t="shared" si="54"/>
        <v>4</v>
      </c>
    </row>
    <row r="275" spans="1:40">
      <c r="A275" t="str">
        <f>Raw_Data!A275</f>
        <v>ORD-10274</v>
      </c>
      <c r="B275" s="13">
        <f>Raw_Data!B275</f>
        <v>45881</v>
      </c>
      <c r="C275" t="str">
        <f>Raw_Data!C275</f>
        <v>C1078</v>
      </c>
      <c r="D275" t="str">
        <f>Raw_Data!D275</f>
        <v>client158@example.com</v>
      </c>
      <c r="E275" t="str">
        <f>Raw_Data!E275</f>
        <v>P1002</v>
      </c>
      <c r="F275" t="str">
        <f>Raw_Data!F275</f>
        <v>Wireless Mouse</v>
      </c>
      <c r="G275" t="str">
        <f>Raw_Data!G275</f>
        <v>Accessories</v>
      </c>
      <c r="H275" t="str">
        <f>Raw_Data!H275</f>
        <v>West</v>
      </c>
      <c r="I275" t="str">
        <f>Raw_Data!I275</f>
        <v>Store</v>
      </c>
      <c r="J275" t="str">
        <f>Raw_Data!J275</f>
        <v>Elena Stan</v>
      </c>
      <c r="K275">
        <f>Raw_Data!K275</f>
        <v>4</v>
      </c>
      <c r="L275" s="12">
        <f>Raw_Data!L275</f>
        <v>85</v>
      </c>
      <c r="M275" s="12">
        <f>Raw_Data!M275</f>
        <v>44</v>
      </c>
      <c r="N275" s="14">
        <f>Raw_Data!N275</f>
        <v>0</v>
      </c>
      <c r="O275" t="str">
        <f>Raw_Data!O275</f>
        <v>Card</v>
      </c>
      <c r="P275" t="str">
        <f>Raw_Data!P275</f>
        <v>Completed</v>
      </c>
      <c r="Q275" s="12">
        <f t="shared" si="44"/>
        <v>340</v>
      </c>
      <c r="R275" s="12">
        <f t="shared" si="45"/>
        <v>340</v>
      </c>
      <c r="S275" s="12">
        <f t="shared" si="46"/>
        <v>176</v>
      </c>
      <c r="T275" s="12">
        <f t="shared" si="47"/>
        <v>164</v>
      </c>
      <c r="U275" s="11">
        <f t="shared" si="48"/>
        <v>0.4823529411764706</v>
      </c>
      <c r="V275" t="str">
        <f>IF(OR(A275="",COUNTIF($A$2:$A$301,A275)&gt;1,C275="",D275="",ISERROR(SEARCH("@",D275)),ISERROR(SEARCH(".",D275)),COUNTIF(Lookups!$A$2:$A$11,E275)=0,F275="",H275="",K275&lt;=0,L275&lt;0,M275&lt;0,N275&lt;0,N275&gt;0.5,COUNTIF(Lookups!$K$2:$K$4,P275)=0),"ERROR","VALID")</f>
        <v>VALID</v>
      </c>
      <c r="W275" s="2" t="str">
        <f>IF(A275="","Missing Order ID; ","")&amp;IF(COUNTIF($A$2:$A$301,A275)&gt;1,"Duplicate Order ID; ","")&amp;IF(C275="","Missing Customer ID; ","")&amp;IF(OR(D275="",ISERROR(SEARCH("@",D275)),ISERROR(SEARCH(".",D275))),"Invalid Email; ","")&amp;IF(COUNTIF(Lookups!$A$2:$A$11,E275)=0,"Unknown Product; ","")&amp;IF(F275="","Missing Product Name; ","")&amp;IF(H275="","Missing Region; ","")&amp;IF(K275&lt;=0,"Invalid Quantity; ","")&amp;IF(L275&lt;0,"Invalid Price; ","")&amp;IF(M275&lt;0,"Invalid Cost; ","")&amp;IF(OR(N275&lt;0,N275&gt;0.5),"Invalid Discount; ","")&amp;IF(COUNTIF(Lookups!$K$2:$K$4,P275)=0,"Invalid Status; ","")</f>
        <v/>
      </c>
      <c r="X275" s="15" t="str">
        <f t="shared" si="49"/>
        <v>2025-08</v>
      </c>
      <c r="Y275" t="str">
        <f t="shared" si="50"/>
        <v>Q3</v>
      </c>
      <c r="Z275" t="str">
        <f>IF(R275&gt;=Settings!$B$9,"High Value Customer",IF(R275&gt;=Settings!$B$10,"Medium Value Customer","Standard Customer"))</f>
        <v>Standard Customer</v>
      </c>
      <c r="AA275" t="str">
        <f>IF(R275&gt;=Settings!$B$9,"Large Order",IF(R275&gt;=Settings!$B$10,"Medium Order","Small Order"))</f>
        <v>Small Order</v>
      </c>
      <c r="AB275" t="str">
        <f>IF(N275=0,"No Discount",IF(N275&lt;=0.1,"Low Discount",IF(N275&lt;=Settings!$B$8,"Medium Discount","High Discount")))</f>
        <v>No Discount</v>
      </c>
      <c r="AC275" t="str">
        <f t="shared" si="51"/>
        <v>Profitable</v>
      </c>
      <c r="AD275" t="str">
        <f>IFERROR(VLOOKUP(E275,Lookups!$A$2:$E$11,2,FALSE),"Product Not Found")</f>
        <v>Wireless Mouse</v>
      </c>
      <c r="AE275" t="str">
        <f>IFERROR(VLOOKUP(E275,Lookups!$A$2:$E$11,3,FALSE),"Category Not Found")</f>
        <v>Accessories</v>
      </c>
      <c r="AF275" t="str">
        <f>IFERROR(IF(L275=VLOOKUP(E275,Lookups!$A$2:$E$11,4,FALSE),"Price OK","Price Mismatch"),"Product Missing")</f>
        <v>Price OK</v>
      </c>
      <c r="AG275" t="str">
        <f t="shared" si="52"/>
        <v>Valid Email</v>
      </c>
      <c r="AH275" t="str">
        <f t="shared" si="53"/>
        <v>READY FOR REPORTING</v>
      </c>
      <c r="AI275" t="str">
        <f>IF(AND(LEFT(A275,LEN(Settings!$B$13))=Settings!$B$13,LEN(A275)=9),"Valid Format","Invalid Format")</f>
        <v>Valid Format</v>
      </c>
      <c r="AJ275" t="str">
        <f>IF(LEFT(C275,LEN(Settings!$B$14))=Settings!$B$14,"Valid Format","Invalid Format")</f>
        <v>Valid Format</v>
      </c>
      <c r="AK275" t="str">
        <f>IF(COUNTIF(Master_Data!$G$5:$G$14,C275)=1,"Known Customer","Customer Not in Master")</f>
        <v>Customer Not in Master</v>
      </c>
      <c r="AL275" t="str">
        <f>IF(U275&gt;=Settings!$B$11,"Target Met","Below Target")</f>
        <v>Target Met</v>
      </c>
      <c r="AM275" t="str">
        <f>IF(YEAR(B275)=Settings!$B$5,"Correct Year","Wrong Year")</f>
        <v>Correct Year</v>
      </c>
      <c r="AN275">
        <f t="shared" si="54"/>
        <v>4</v>
      </c>
    </row>
    <row r="276" spans="1:40">
      <c r="A276" t="str">
        <f>Raw_Data!A276</f>
        <v>ORD-10275</v>
      </c>
      <c r="B276" s="13">
        <f>Raw_Data!B276</f>
        <v>45888</v>
      </c>
      <c r="C276" t="str">
        <f>Raw_Data!C276</f>
        <v>C1071</v>
      </c>
      <c r="D276" t="str">
        <f>Raw_Data!D276</f>
        <v>client97@example.com</v>
      </c>
      <c r="E276" t="str">
        <f>Raw_Data!E276</f>
        <v>P1005</v>
      </c>
      <c r="F276" t="str">
        <f>Raw_Data!F276</f>
        <v>24-inch Monitor</v>
      </c>
      <c r="G276" t="str">
        <f>Raw_Data!G276</f>
        <v>Electronics</v>
      </c>
      <c r="H276" t="str">
        <f>Raw_Data!H276</f>
        <v>East</v>
      </c>
      <c r="I276" t="str">
        <f>Raw_Data!I276</f>
        <v>Online</v>
      </c>
      <c r="J276" t="str">
        <f>Raw_Data!J276</f>
        <v>Ioana Pavel</v>
      </c>
      <c r="K276">
        <f>Raw_Data!K276</f>
        <v>8</v>
      </c>
      <c r="L276" s="12">
        <f>Raw_Data!L276</f>
        <v>720</v>
      </c>
      <c r="M276" s="12">
        <f>Raw_Data!M276</f>
        <v>510</v>
      </c>
      <c r="N276" s="14">
        <f>Raw_Data!N276</f>
        <v>0</v>
      </c>
      <c r="O276" t="str">
        <f>Raw_Data!O276</f>
        <v>Online Wallet</v>
      </c>
      <c r="P276" t="str">
        <f>Raw_Data!P276</f>
        <v>Completed</v>
      </c>
      <c r="Q276" s="12">
        <f t="shared" si="44"/>
        <v>5760</v>
      </c>
      <c r="R276" s="12">
        <f t="shared" si="45"/>
        <v>5760</v>
      </c>
      <c r="S276" s="12">
        <f t="shared" si="46"/>
        <v>4080</v>
      </c>
      <c r="T276" s="12">
        <f t="shared" si="47"/>
        <v>1680</v>
      </c>
      <c r="U276" s="11">
        <f t="shared" si="48"/>
        <v>0.29166666666666669</v>
      </c>
      <c r="V276" t="str">
        <f>IF(OR(A276="",COUNTIF($A$2:$A$301,A276)&gt;1,C276="",D276="",ISERROR(SEARCH("@",D276)),ISERROR(SEARCH(".",D276)),COUNTIF(Lookups!$A$2:$A$11,E276)=0,F276="",H276="",K276&lt;=0,L276&lt;0,M276&lt;0,N276&lt;0,N276&gt;0.5,COUNTIF(Lookups!$K$2:$K$4,P276)=0),"ERROR","VALID")</f>
        <v>VALID</v>
      </c>
      <c r="W276" s="2" t="str">
        <f>IF(A276="","Missing Order ID; ","")&amp;IF(COUNTIF($A$2:$A$301,A276)&gt;1,"Duplicate Order ID; ","")&amp;IF(C276="","Missing Customer ID; ","")&amp;IF(OR(D276="",ISERROR(SEARCH("@",D276)),ISERROR(SEARCH(".",D276))),"Invalid Email; ","")&amp;IF(COUNTIF(Lookups!$A$2:$A$11,E276)=0,"Unknown Product; ","")&amp;IF(F276="","Missing Product Name; ","")&amp;IF(H276="","Missing Region; ","")&amp;IF(K276&lt;=0,"Invalid Quantity; ","")&amp;IF(L276&lt;0,"Invalid Price; ","")&amp;IF(M276&lt;0,"Invalid Cost; ","")&amp;IF(OR(N276&lt;0,N276&gt;0.5),"Invalid Discount; ","")&amp;IF(COUNTIF(Lookups!$K$2:$K$4,P276)=0,"Invalid Status; ","")</f>
        <v/>
      </c>
      <c r="X276" s="15" t="str">
        <f t="shared" si="49"/>
        <v>2025-08</v>
      </c>
      <c r="Y276" t="str">
        <f t="shared" si="50"/>
        <v>Q3</v>
      </c>
      <c r="Z276" t="str">
        <f>IF(R276&gt;=Settings!$B$9,"High Value Customer",IF(R276&gt;=Settings!$B$10,"Medium Value Customer","Standard Customer"))</f>
        <v>High Value Customer</v>
      </c>
      <c r="AA276" t="str">
        <f>IF(R276&gt;=Settings!$B$9,"Large Order",IF(R276&gt;=Settings!$B$10,"Medium Order","Small Order"))</f>
        <v>Large Order</v>
      </c>
      <c r="AB276" t="str">
        <f>IF(N276=0,"No Discount",IF(N276&lt;=0.1,"Low Discount",IF(N276&lt;=Settings!$B$8,"Medium Discount","High Discount")))</f>
        <v>No Discount</v>
      </c>
      <c r="AC276" t="str">
        <f t="shared" si="51"/>
        <v>Profitable</v>
      </c>
      <c r="AD276" t="str">
        <f>IFERROR(VLOOKUP(E276,Lookups!$A$2:$E$11,2,FALSE),"Product Not Found")</f>
        <v>24-inch Monitor</v>
      </c>
      <c r="AE276" t="str">
        <f>IFERROR(VLOOKUP(E276,Lookups!$A$2:$E$11,3,FALSE),"Category Not Found")</f>
        <v>Electronics</v>
      </c>
      <c r="AF276" t="str">
        <f>IFERROR(IF(L276=VLOOKUP(E276,Lookups!$A$2:$E$11,4,FALSE),"Price OK","Price Mismatch"),"Product Missing")</f>
        <v>Price OK</v>
      </c>
      <c r="AG276" t="str">
        <f t="shared" si="52"/>
        <v>Valid Email</v>
      </c>
      <c r="AH276" t="str">
        <f t="shared" si="53"/>
        <v>READY FOR REPORTING</v>
      </c>
      <c r="AI276" t="str">
        <f>IF(AND(LEFT(A276,LEN(Settings!$B$13))=Settings!$B$13,LEN(A276)=9),"Valid Format","Invalid Format")</f>
        <v>Valid Format</v>
      </c>
      <c r="AJ276" t="str">
        <f>IF(LEFT(C276,LEN(Settings!$B$14))=Settings!$B$14,"Valid Format","Invalid Format")</f>
        <v>Valid Format</v>
      </c>
      <c r="AK276" t="str">
        <f>IF(COUNTIF(Master_Data!$G$5:$G$14,C276)=1,"Known Customer","Customer Not in Master")</f>
        <v>Customer Not in Master</v>
      </c>
      <c r="AL276" t="str">
        <f>IF(U276&gt;=Settings!$B$11,"Target Met","Below Target")</f>
        <v>Target Met</v>
      </c>
      <c r="AM276" t="str">
        <f>IF(YEAR(B276)=Settings!$B$5,"Correct Year","Wrong Year")</f>
        <v>Correct Year</v>
      </c>
      <c r="AN276">
        <f t="shared" si="54"/>
        <v>4</v>
      </c>
    </row>
    <row r="277" spans="1:40">
      <c r="A277" t="str">
        <f>Raw_Data!A277</f>
        <v>ORD-10276</v>
      </c>
      <c r="B277" s="13">
        <f>Raw_Data!B277</f>
        <v>45974</v>
      </c>
      <c r="C277" t="str">
        <f>Raw_Data!C277</f>
        <v>C1010</v>
      </c>
      <c r="D277" t="str">
        <f>Raw_Data!D277</f>
        <v>client22@example.com</v>
      </c>
      <c r="E277" t="str">
        <f>Raw_Data!E277</f>
        <v>P1002</v>
      </c>
      <c r="F277" t="str">
        <f>Raw_Data!F277</f>
        <v>Wireless Mouse</v>
      </c>
      <c r="G277" t="str">
        <f>Raw_Data!G277</f>
        <v>Accessories</v>
      </c>
      <c r="H277" t="str">
        <f>Raw_Data!H277</f>
        <v>South</v>
      </c>
      <c r="I277" t="str">
        <f>Raw_Data!I277</f>
        <v>Online</v>
      </c>
      <c r="J277" t="str">
        <f>Raw_Data!J277</f>
        <v>Mihai Radu</v>
      </c>
      <c r="K277">
        <f>Raw_Data!K277</f>
        <v>5</v>
      </c>
      <c r="L277" s="12">
        <f>Raw_Data!L277</f>
        <v>85</v>
      </c>
      <c r="M277" s="12">
        <f>Raw_Data!M277</f>
        <v>44</v>
      </c>
      <c r="N277" s="14">
        <f>Raw_Data!N277</f>
        <v>0</v>
      </c>
      <c r="O277" t="str">
        <f>Raw_Data!O277</f>
        <v>Bank Transfer</v>
      </c>
      <c r="P277" t="str">
        <f>Raw_Data!P277</f>
        <v>Cancelled</v>
      </c>
      <c r="Q277" s="12">
        <f t="shared" si="44"/>
        <v>425</v>
      </c>
      <c r="R277" s="12">
        <f t="shared" si="45"/>
        <v>425</v>
      </c>
      <c r="S277" s="12">
        <f t="shared" si="46"/>
        <v>220</v>
      </c>
      <c r="T277" s="12">
        <f t="shared" si="47"/>
        <v>205</v>
      </c>
      <c r="U277" s="11">
        <f t="shared" si="48"/>
        <v>0.4823529411764706</v>
      </c>
      <c r="V277" t="str">
        <f>IF(OR(A277="",COUNTIF($A$2:$A$301,A277)&gt;1,C277="",D277="",ISERROR(SEARCH("@",D277)),ISERROR(SEARCH(".",D277)),COUNTIF(Lookups!$A$2:$A$11,E277)=0,F277="",H277="",K277&lt;=0,L277&lt;0,M277&lt;0,N277&lt;0,N277&gt;0.5,COUNTIF(Lookups!$K$2:$K$4,P277)=0),"ERROR","VALID")</f>
        <v>VALID</v>
      </c>
      <c r="W277" s="2" t="str">
        <f>IF(A277="","Missing Order ID; ","")&amp;IF(COUNTIF($A$2:$A$301,A277)&gt;1,"Duplicate Order ID; ","")&amp;IF(C277="","Missing Customer ID; ","")&amp;IF(OR(D277="",ISERROR(SEARCH("@",D277)),ISERROR(SEARCH(".",D277))),"Invalid Email; ","")&amp;IF(COUNTIF(Lookups!$A$2:$A$11,E277)=0,"Unknown Product; ","")&amp;IF(F277="","Missing Product Name; ","")&amp;IF(H277="","Missing Region; ","")&amp;IF(K277&lt;=0,"Invalid Quantity; ","")&amp;IF(L277&lt;0,"Invalid Price; ","")&amp;IF(M277&lt;0,"Invalid Cost; ","")&amp;IF(OR(N277&lt;0,N277&gt;0.5),"Invalid Discount; ","")&amp;IF(COUNTIF(Lookups!$K$2:$K$4,P277)=0,"Invalid Status; ","")</f>
        <v/>
      </c>
      <c r="X277" s="15" t="str">
        <f t="shared" si="49"/>
        <v>2025-11</v>
      </c>
      <c r="Y277" t="str">
        <f t="shared" si="50"/>
        <v>Q4</v>
      </c>
      <c r="Z277" t="str">
        <f>IF(R277&gt;=Settings!$B$9,"High Value Customer",IF(R277&gt;=Settings!$B$10,"Medium Value Customer","Standard Customer"))</f>
        <v>Standard Customer</v>
      </c>
      <c r="AA277" t="str">
        <f>IF(R277&gt;=Settings!$B$9,"Large Order",IF(R277&gt;=Settings!$B$10,"Medium Order","Small Order"))</f>
        <v>Small Order</v>
      </c>
      <c r="AB277" t="str">
        <f>IF(N277=0,"No Discount",IF(N277&lt;=0.1,"Low Discount",IF(N277&lt;=Settings!$B$8,"Medium Discount","High Discount")))</f>
        <v>No Discount</v>
      </c>
      <c r="AC277" t="str">
        <f t="shared" si="51"/>
        <v>Profitable</v>
      </c>
      <c r="AD277" t="str">
        <f>IFERROR(VLOOKUP(E277,Lookups!$A$2:$E$11,2,FALSE),"Product Not Found")</f>
        <v>Wireless Mouse</v>
      </c>
      <c r="AE277" t="str">
        <f>IFERROR(VLOOKUP(E277,Lookups!$A$2:$E$11,3,FALSE),"Category Not Found")</f>
        <v>Accessories</v>
      </c>
      <c r="AF277" t="str">
        <f>IFERROR(IF(L277=VLOOKUP(E277,Lookups!$A$2:$E$11,4,FALSE),"Price OK","Price Mismatch"),"Product Missing")</f>
        <v>Price OK</v>
      </c>
      <c r="AG277" t="str">
        <f t="shared" si="52"/>
        <v>Valid Email</v>
      </c>
      <c r="AH277" t="str">
        <f t="shared" si="53"/>
        <v>READY FOR REPORTING</v>
      </c>
      <c r="AI277" t="str">
        <f>IF(AND(LEFT(A277,LEN(Settings!$B$13))=Settings!$B$13,LEN(A277)=9),"Valid Format","Invalid Format")</f>
        <v>Valid Format</v>
      </c>
      <c r="AJ277" t="str">
        <f>IF(LEFT(C277,LEN(Settings!$B$14))=Settings!$B$14,"Valid Format","Invalid Format")</f>
        <v>Valid Format</v>
      </c>
      <c r="AK277" t="str">
        <f>IF(COUNTIF(Master_Data!$G$5:$G$14,C277)=1,"Known Customer","Customer Not in Master")</f>
        <v>Known Customer</v>
      </c>
      <c r="AL277" t="str">
        <f>IF(U277&gt;=Settings!$B$11,"Target Met","Below Target")</f>
        <v>Target Met</v>
      </c>
      <c r="AM277" t="str">
        <f>IF(YEAR(B277)=Settings!$B$5,"Correct Year","Wrong Year")</f>
        <v>Correct Year</v>
      </c>
      <c r="AN277">
        <f t="shared" si="54"/>
        <v>5</v>
      </c>
    </row>
    <row r="278" spans="1:40">
      <c r="A278" t="str">
        <f>Raw_Data!A278</f>
        <v>ORD-10277</v>
      </c>
      <c r="B278" s="13">
        <f>Raw_Data!B278</f>
        <v>45820</v>
      </c>
      <c r="C278" t="str">
        <f>Raw_Data!C278</f>
        <v>C1001</v>
      </c>
      <c r="D278" t="str">
        <f>Raw_Data!D278</f>
        <v>client79@example.com</v>
      </c>
      <c r="E278" t="str">
        <f>Raw_Data!E278</f>
        <v>P1007</v>
      </c>
      <c r="F278" t="str">
        <f>Raw_Data!F278</f>
        <v>Office Chair</v>
      </c>
      <c r="G278" t="str">
        <f>Raw_Data!G278</f>
        <v>Furniture</v>
      </c>
      <c r="H278" t="str">
        <f>Raw_Data!H278</f>
        <v>East</v>
      </c>
      <c r="I278" t="str">
        <f>Raw_Data!I278</f>
        <v>Store</v>
      </c>
      <c r="J278" t="str">
        <f>Raw_Data!J278</f>
        <v>Elena Stan</v>
      </c>
      <c r="K278">
        <f>Raw_Data!K278</f>
        <v>6</v>
      </c>
      <c r="L278" s="12">
        <f>Raw_Data!L278</f>
        <v>840</v>
      </c>
      <c r="M278" s="12">
        <f>Raw_Data!M278</f>
        <v>590</v>
      </c>
      <c r="N278" s="14">
        <f>Raw_Data!N278</f>
        <v>0</v>
      </c>
      <c r="O278" t="str">
        <f>Raw_Data!O278</f>
        <v>Card</v>
      </c>
      <c r="P278" t="str">
        <f>Raw_Data!P278</f>
        <v>Completed</v>
      </c>
      <c r="Q278" s="12">
        <f t="shared" si="44"/>
        <v>5040</v>
      </c>
      <c r="R278" s="12">
        <f t="shared" si="45"/>
        <v>5040</v>
      </c>
      <c r="S278" s="12">
        <f t="shared" si="46"/>
        <v>3540</v>
      </c>
      <c r="T278" s="12">
        <f t="shared" si="47"/>
        <v>1500</v>
      </c>
      <c r="U278" s="11">
        <f t="shared" si="48"/>
        <v>0.29761904761904762</v>
      </c>
      <c r="V278" t="str">
        <f>IF(OR(A278="",COUNTIF($A$2:$A$301,A278)&gt;1,C278="",D278="",ISERROR(SEARCH("@",D278)),ISERROR(SEARCH(".",D278)),COUNTIF(Lookups!$A$2:$A$11,E278)=0,F278="",H278="",K278&lt;=0,L278&lt;0,M278&lt;0,N278&lt;0,N278&gt;0.5,COUNTIF(Lookups!$K$2:$K$4,P278)=0),"ERROR","VALID")</f>
        <v>VALID</v>
      </c>
      <c r="W278" s="2" t="str">
        <f>IF(A278="","Missing Order ID; ","")&amp;IF(COUNTIF($A$2:$A$301,A278)&gt;1,"Duplicate Order ID; ","")&amp;IF(C278="","Missing Customer ID; ","")&amp;IF(OR(D278="",ISERROR(SEARCH("@",D278)),ISERROR(SEARCH(".",D278))),"Invalid Email; ","")&amp;IF(COUNTIF(Lookups!$A$2:$A$11,E278)=0,"Unknown Product; ","")&amp;IF(F278="","Missing Product Name; ","")&amp;IF(H278="","Missing Region; ","")&amp;IF(K278&lt;=0,"Invalid Quantity; ","")&amp;IF(L278&lt;0,"Invalid Price; ","")&amp;IF(M278&lt;0,"Invalid Cost; ","")&amp;IF(OR(N278&lt;0,N278&gt;0.5),"Invalid Discount; ","")&amp;IF(COUNTIF(Lookups!$K$2:$K$4,P278)=0,"Invalid Status; ","")</f>
        <v/>
      </c>
      <c r="X278" s="15" t="str">
        <f t="shared" si="49"/>
        <v>2025-06</v>
      </c>
      <c r="Y278" t="str">
        <f t="shared" si="50"/>
        <v>Q2</v>
      </c>
      <c r="Z278" t="str">
        <f>IF(R278&gt;=Settings!$B$9,"High Value Customer",IF(R278&gt;=Settings!$B$10,"Medium Value Customer","Standard Customer"))</f>
        <v>High Value Customer</v>
      </c>
      <c r="AA278" t="str">
        <f>IF(R278&gt;=Settings!$B$9,"Large Order",IF(R278&gt;=Settings!$B$10,"Medium Order","Small Order"))</f>
        <v>Large Order</v>
      </c>
      <c r="AB278" t="str">
        <f>IF(N278=0,"No Discount",IF(N278&lt;=0.1,"Low Discount",IF(N278&lt;=Settings!$B$8,"Medium Discount","High Discount")))</f>
        <v>No Discount</v>
      </c>
      <c r="AC278" t="str">
        <f t="shared" si="51"/>
        <v>Profitable</v>
      </c>
      <c r="AD278" t="str">
        <f>IFERROR(VLOOKUP(E278,Lookups!$A$2:$E$11,2,FALSE),"Product Not Found")</f>
        <v>Office Chair</v>
      </c>
      <c r="AE278" t="str">
        <f>IFERROR(VLOOKUP(E278,Lookups!$A$2:$E$11,3,FALSE),"Category Not Found")</f>
        <v>Furniture</v>
      </c>
      <c r="AF278" t="str">
        <f>IFERROR(IF(L278=VLOOKUP(E278,Lookups!$A$2:$E$11,4,FALSE),"Price OK","Price Mismatch"),"Product Missing")</f>
        <v>Price OK</v>
      </c>
      <c r="AG278" t="str">
        <f t="shared" si="52"/>
        <v>Valid Email</v>
      </c>
      <c r="AH278" t="str">
        <f t="shared" si="53"/>
        <v>READY FOR REPORTING</v>
      </c>
      <c r="AI278" t="str">
        <f>IF(AND(LEFT(A278,LEN(Settings!$B$13))=Settings!$B$13,LEN(A278)=9),"Valid Format","Invalid Format")</f>
        <v>Valid Format</v>
      </c>
      <c r="AJ278" t="str">
        <f>IF(LEFT(C278,LEN(Settings!$B$14))=Settings!$B$14,"Valid Format","Invalid Format")</f>
        <v>Valid Format</v>
      </c>
      <c r="AK278" t="str">
        <f>IF(COUNTIF(Master_Data!$G$5:$G$14,C278)=1,"Known Customer","Customer Not in Master")</f>
        <v>Known Customer</v>
      </c>
      <c r="AL278" t="str">
        <f>IF(U278&gt;=Settings!$B$11,"Target Met","Below Target")</f>
        <v>Target Met</v>
      </c>
      <c r="AM278" t="str">
        <f>IF(YEAR(B278)=Settings!$B$5,"Correct Year","Wrong Year")</f>
        <v>Correct Year</v>
      </c>
      <c r="AN278">
        <f t="shared" si="54"/>
        <v>5</v>
      </c>
    </row>
    <row r="279" spans="1:40">
      <c r="A279" t="str">
        <f>Raw_Data!A279</f>
        <v>ORD-10278</v>
      </c>
      <c r="B279" s="13">
        <f>Raw_Data!B279</f>
        <v>45702</v>
      </c>
      <c r="C279" t="str">
        <f>Raw_Data!C279</f>
        <v>C1072</v>
      </c>
      <c r="D279" t="str">
        <f>Raw_Data!D279</f>
        <v>client143@example.com</v>
      </c>
      <c r="E279" t="str">
        <f>Raw_Data!E279</f>
        <v>P1003</v>
      </c>
      <c r="F279" t="str">
        <f>Raw_Data!F279</f>
        <v>Mechanical Keyboard</v>
      </c>
      <c r="G279" t="str">
        <f>Raw_Data!G279</f>
        <v>Accessories</v>
      </c>
      <c r="H279" t="str">
        <f>Raw_Data!H279</f>
        <v>West</v>
      </c>
      <c r="I279" t="str">
        <f>Raw_Data!I279</f>
        <v>Store</v>
      </c>
      <c r="J279" t="str">
        <f>Raw_Data!J279</f>
        <v>Andrei Pop</v>
      </c>
      <c r="K279">
        <f>Raw_Data!K279</f>
        <v>3</v>
      </c>
      <c r="L279" s="12">
        <f>Raw_Data!L279</f>
        <v>265</v>
      </c>
      <c r="M279" s="12">
        <f>Raw_Data!M279</f>
        <v>155</v>
      </c>
      <c r="N279" s="14">
        <f>Raw_Data!N279</f>
        <v>0.1</v>
      </c>
      <c r="O279" t="str">
        <f>Raw_Data!O279</f>
        <v>Card</v>
      </c>
      <c r="P279" t="str">
        <f>Raw_Data!P279</f>
        <v>Completed</v>
      </c>
      <c r="Q279" s="12">
        <f t="shared" si="44"/>
        <v>795</v>
      </c>
      <c r="R279" s="12">
        <f t="shared" si="45"/>
        <v>715.5</v>
      </c>
      <c r="S279" s="12">
        <f t="shared" si="46"/>
        <v>465</v>
      </c>
      <c r="T279" s="12">
        <f t="shared" si="47"/>
        <v>250.5</v>
      </c>
      <c r="U279" s="11">
        <f t="shared" si="48"/>
        <v>0.35010482180293501</v>
      </c>
      <c r="V279" t="str">
        <f>IF(OR(A279="",COUNTIF($A$2:$A$301,A279)&gt;1,C279="",D279="",ISERROR(SEARCH("@",D279)),ISERROR(SEARCH(".",D279)),COUNTIF(Lookups!$A$2:$A$11,E279)=0,F279="",H279="",K279&lt;=0,L279&lt;0,M279&lt;0,N279&lt;0,N279&gt;0.5,COUNTIF(Lookups!$K$2:$K$4,P279)=0),"ERROR","VALID")</f>
        <v>VALID</v>
      </c>
      <c r="W279" s="2" t="str">
        <f>IF(A279="","Missing Order ID; ","")&amp;IF(COUNTIF($A$2:$A$301,A279)&gt;1,"Duplicate Order ID; ","")&amp;IF(C279="","Missing Customer ID; ","")&amp;IF(OR(D279="",ISERROR(SEARCH("@",D279)),ISERROR(SEARCH(".",D279))),"Invalid Email; ","")&amp;IF(COUNTIF(Lookups!$A$2:$A$11,E279)=0,"Unknown Product; ","")&amp;IF(F279="","Missing Product Name; ","")&amp;IF(H279="","Missing Region; ","")&amp;IF(K279&lt;=0,"Invalid Quantity; ","")&amp;IF(L279&lt;0,"Invalid Price; ","")&amp;IF(M279&lt;0,"Invalid Cost; ","")&amp;IF(OR(N279&lt;0,N279&gt;0.5),"Invalid Discount; ","")&amp;IF(COUNTIF(Lookups!$K$2:$K$4,P279)=0,"Invalid Status; ","")</f>
        <v/>
      </c>
      <c r="X279" s="15" t="str">
        <f t="shared" si="49"/>
        <v>2025-02</v>
      </c>
      <c r="Y279" t="str">
        <f t="shared" si="50"/>
        <v>Q1</v>
      </c>
      <c r="Z279" t="str">
        <f>IF(R279&gt;=Settings!$B$9,"High Value Customer",IF(R279&gt;=Settings!$B$10,"Medium Value Customer","Standard Customer"))</f>
        <v>Standard Customer</v>
      </c>
      <c r="AA279" t="str">
        <f>IF(R279&gt;=Settings!$B$9,"Large Order",IF(R279&gt;=Settings!$B$10,"Medium Order","Small Order"))</f>
        <v>Small Order</v>
      </c>
      <c r="AB279" t="str">
        <f>IF(N279=0,"No Discount",IF(N279&lt;=0.1,"Low Discount",IF(N279&lt;=Settings!$B$8,"Medium Discount","High Discount")))</f>
        <v>Low Discount</v>
      </c>
      <c r="AC279" t="str">
        <f t="shared" si="51"/>
        <v>Profitable</v>
      </c>
      <c r="AD279" t="str">
        <f>IFERROR(VLOOKUP(E279,Lookups!$A$2:$E$11,2,FALSE),"Product Not Found")</f>
        <v>Mechanical Keyboard</v>
      </c>
      <c r="AE279" t="str">
        <f>IFERROR(VLOOKUP(E279,Lookups!$A$2:$E$11,3,FALSE),"Category Not Found")</f>
        <v>Accessories</v>
      </c>
      <c r="AF279" t="str">
        <f>IFERROR(IF(L279=VLOOKUP(E279,Lookups!$A$2:$E$11,4,FALSE),"Price OK","Price Mismatch"),"Product Missing")</f>
        <v>Price OK</v>
      </c>
      <c r="AG279" t="str">
        <f t="shared" si="52"/>
        <v>Valid Email</v>
      </c>
      <c r="AH279" t="str">
        <f t="shared" si="53"/>
        <v>READY FOR REPORTING</v>
      </c>
      <c r="AI279" t="str">
        <f>IF(AND(LEFT(A279,LEN(Settings!$B$13))=Settings!$B$13,LEN(A279)=9),"Valid Format","Invalid Format")</f>
        <v>Valid Format</v>
      </c>
      <c r="AJ279" t="str">
        <f>IF(LEFT(C279,LEN(Settings!$B$14))=Settings!$B$14,"Valid Format","Invalid Format")</f>
        <v>Valid Format</v>
      </c>
      <c r="AK279" t="str">
        <f>IF(COUNTIF(Master_Data!$G$5:$G$14,C279)=1,"Known Customer","Customer Not in Master")</f>
        <v>Customer Not in Master</v>
      </c>
      <c r="AL279" t="str">
        <f>IF(U279&gt;=Settings!$B$11,"Target Met","Below Target")</f>
        <v>Target Met</v>
      </c>
      <c r="AM279" t="str">
        <f>IF(YEAR(B279)=Settings!$B$5,"Correct Year","Wrong Year")</f>
        <v>Correct Year</v>
      </c>
      <c r="AN279">
        <f t="shared" si="54"/>
        <v>4</v>
      </c>
    </row>
    <row r="280" spans="1:40">
      <c r="A280" t="str">
        <f>Raw_Data!A280</f>
        <v>ORD-10279</v>
      </c>
      <c r="B280" s="13">
        <f>Raw_Data!B280</f>
        <v>45839</v>
      </c>
      <c r="C280" t="str">
        <f>Raw_Data!C280</f>
        <v>C1077</v>
      </c>
      <c r="D280" t="str">
        <f>Raw_Data!D280</f>
        <v>client84@example.com</v>
      </c>
      <c r="E280" t="str">
        <f>Raw_Data!E280</f>
        <v>P1002</v>
      </c>
      <c r="F280" t="str">
        <f>Raw_Data!F280</f>
        <v>Wireless Mouse</v>
      </c>
      <c r="G280" t="str">
        <f>Raw_Data!G280</f>
        <v>Accessories</v>
      </c>
      <c r="H280" t="str">
        <f>Raw_Data!H280</f>
        <v>East</v>
      </c>
      <c r="I280" t="str">
        <f>Raw_Data!I280</f>
        <v>Online</v>
      </c>
      <c r="J280" t="str">
        <f>Raw_Data!J280</f>
        <v>Elena Stan</v>
      </c>
      <c r="K280">
        <f>Raw_Data!K280</f>
        <v>9</v>
      </c>
      <c r="L280" s="12">
        <f>Raw_Data!L280</f>
        <v>85</v>
      </c>
      <c r="M280" s="12">
        <f>Raw_Data!M280</f>
        <v>44</v>
      </c>
      <c r="N280" s="14">
        <f>Raw_Data!N280</f>
        <v>0</v>
      </c>
      <c r="O280" t="str">
        <f>Raw_Data!O280</f>
        <v>Online Wallet</v>
      </c>
      <c r="P280" t="str">
        <f>Raw_Data!P280</f>
        <v>Returned</v>
      </c>
      <c r="Q280" s="12">
        <f t="shared" si="44"/>
        <v>765</v>
      </c>
      <c r="R280" s="12">
        <f t="shared" si="45"/>
        <v>765</v>
      </c>
      <c r="S280" s="12">
        <f t="shared" si="46"/>
        <v>396</v>
      </c>
      <c r="T280" s="12">
        <f t="shared" si="47"/>
        <v>369</v>
      </c>
      <c r="U280" s="11">
        <f t="shared" si="48"/>
        <v>0.4823529411764706</v>
      </c>
      <c r="V280" t="str">
        <f>IF(OR(A280="",COUNTIF($A$2:$A$301,A280)&gt;1,C280="",D280="",ISERROR(SEARCH("@",D280)),ISERROR(SEARCH(".",D280)),COUNTIF(Lookups!$A$2:$A$11,E280)=0,F280="",H280="",K280&lt;=0,L280&lt;0,M280&lt;0,N280&lt;0,N280&gt;0.5,COUNTIF(Lookups!$K$2:$K$4,P280)=0),"ERROR","VALID")</f>
        <v>VALID</v>
      </c>
      <c r="W280" s="2" t="str">
        <f>IF(A280="","Missing Order ID; ","")&amp;IF(COUNTIF($A$2:$A$301,A280)&gt;1,"Duplicate Order ID; ","")&amp;IF(C280="","Missing Customer ID; ","")&amp;IF(OR(D280="",ISERROR(SEARCH("@",D280)),ISERROR(SEARCH(".",D280))),"Invalid Email; ","")&amp;IF(COUNTIF(Lookups!$A$2:$A$11,E280)=0,"Unknown Product; ","")&amp;IF(F280="","Missing Product Name; ","")&amp;IF(H280="","Missing Region; ","")&amp;IF(K280&lt;=0,"Invalid Quantity; ","")&amp;IF(L280&lt;0,"Invalid Price; ","")&amp;IF(M280&lt;0,"Invalid Cost; ","")&amp;IF(OR(N280&lt;0,N280&gt;0.5),"Invalid Discount; ","")&amp;IF(COUNTIF(Lookups!$K$2:$K$4,P280)=0,"Invalid Status; ","")</f>
        <v/>
      </c>
      <c r="X280" s="15" t="str">
        <f t="shared" si="49"/>
        <v>2025-07</v>
      </c>
      <c r="Y280" t="str">
        <f t="shared" si="50"/>
        <v>Q3</v>
      </c>
      <c r="Z280" t="str">
        <f>IF(R280&gt;=Settings!$B$9,"High Value Customer",IF(R280&gt;=Settings!$B$10,"Medium Value Customer","Standard Customer"))</f>
        <v>Standard Customer</v>
      </c>
      <c r="AA280" t="str">
        <f>IF(R280&gt;=Settings!$B$9,"Large Order",IF(R280&gt;=Settings!$B$10,"Medium Order","Small Order"))</f>
        <v>Small Order</v>
      </c>
      <c r="AB280" t="str">
        <f>IF(N280=0,"No Discount",IF(N280&lt;=0.1,"Low Discount",IF(N280&lt;=Settings!$B$8,"Medium Discount","High Discount")))</f>
        <v>No Discount</v>
      </c>
      <c r="AC280" t="str">
        <f t="shared" si="51"/>
        <v>Profitable</v>
      </c>
      <c r="AD280" t="str">
        <f>IFERROR(VLOOKUP(E280,Lookups!$A$2:$E$11,2,FALSE),"Product Not Found")</f>
        <v>Wireless Mouse</v>
      </c>
      <c r="AE280" t="str">
        <f>IFERROR(VLOOKUP(E280,Lookups!$A$2:$E$11,3,FALSE),"Category Not Found")</f>
        <v>Accessories</v>
      </c>
      <c r="AF280" t="str">
        <f>IFERROR(IF(L280=VLOOKUP(E280,Lookups!$A$2:$E$11,4,FALSE),"Price OK","Price Mismatch"),"Product Missing")</f>
        <v>Price OK</v>
      </c>
      <c r="AG280" t="str">
        <f t="shared" si="52"/>
        <v>Valid Email</v>
      </c>
      <c r="AH280" t="str">
        <f t="shared" si="53"/>
        <v>READY FOR REPORTING</v>
      </c>
      <c r="AI280" t="str">
        <f>IF(AND(LEFT(A280,LEN(Settings!$B$13))=Settings!$B$13,LEN(A280)=9),"Valid Format","Invalid Format")</f>
        <v>Valid Format</v>
      </c>
      <c r="AJ280" t="str">
        <f>IF(LEFT(C280,LEN(Settings!$B$14))=Settings!$B$14,"Valid Format","Invalid Format")</f>
        <v>Valid Format</v>
      </c>
      <c r="AK280" t="str">
        <f>IF(COUNTIF(Master_Data!$G$5:$G$14,C280)=1,"Known Customer","Customer Not in Master")</f>
        <v>Customer Not in Master</v>
      </c>
      <c r="AL280" t="str">
        <f>IF(U280&gt;=Settings!$B$11,"Target Met","Below Target")</f>
        <v>Target Met</v>
      </c>
      <c r="AM280" t="str">
        <f>IF(YEAR(B280)=Settings!$B$5,"Correct Year","Wrong Year")</f>
        <v>Correct Year</v>
      </c>
      <c r="AN280">
        <f t="shared" si="54"/>
        <v>4</v>
      </c>
    </row>
    <row r="281" spans="1:40">
      <c r="A281" t="str">
        <f>Raw_Data!A281</f>
        <v>ORD-10280</v>
      </c>
      <c r="B281" s="13">
        <f>Raw_Data!B281</f>
        <v>45701</v>
      </c>
      <c r="C281" t="str">
        <f>Raw_Data!C281</f>
        <v>C1074</v>
      </c>
      <c r="D281" t="str">
        <f>Raw_Data!D281</f>
        <v>client134@example.com</v>
      </c>
      <c r="E281" t="str">
        <f>Raw_Data!E281</f>
        <v>P1007</v>
      </c>
      <c r="F281" t="str">
        <f>Raw_Data!F281</f>
        <v>Office Chair</v>
      </c>
      <c r="G281" t="str">
        <f>Raw_Data!G281</f>
        <v>Furniture</v>
      </c>
      <c r="H281" t="str">
        <f>Raw_Data!H281</f>
        <v>North</v>
      </c>
      <c r="I281" t="str">
        <f>Raw_Data!I281</f>
        <v>Marketplace</v>
      </c>
      <c r="J281" t="str">
        <f>Raw_Data!J281</f>
        <v>Mihai Radu</v>
      </c>
      <c r="K281">
        <f>Raw_Data!K281</f>
        <v>12</v>
      </c>
      <c r="L281" s="12">
        <f>Raw_Data!L281</f>
        <v>840</v>
      </c>
      <c r="M281" s="12">
        <f>Raw_Data!M281</f>
        <v>590</v>
      </c>
      <c r="N281" s="14">
        <f>Raw_Data!N281</f>
        <v>0.15</v>
      </c>
      <c r="O281" t="str">
        <f>Raw_Data!O281</f>
        <v>Bank Transfer</v>
      </c>
      <c r="P281" t="str">
        <f>Raw_Data!P281</f>
        <v>Completed</v>
      </c>
      <c r="Q281" s="12">
        <f t="shared" si="44"/>
        <v>10080</v>
      </c>
      <c r="R281" s="12">
        <f t="shared" si="45"/>
        <v>8568</v>
      </c>
      <c r="S281" s="12">
        <f t="shared" si="46"/>
        <v>7080</v>
      </c>
      <c r="T281" s="12">
        <f t="shared" si="47"/>
        <v>1488</v>
      </c>
      <c r="U281" s="11">
        <f t="shared" si="48"/>
        <v>0.17366946778711484</v>
      </c>
      <c r="V281" t="str">
        <f>IF(OR(A281="",COUNTIF($A$2:$A$301,A281)&gt;1,C281="",D281="",ISERROR(SEARCH("@",D281)),ISERROR(SEARCH(".",D281)),COUNTIF(Lookups!$A$2:$A$11,E281)=0,F281="",H281="",K281&lt;=0,L281&lt;0,M281&lt;0,N281&lt;0,N281&gt;0.5,COUNTIF(Lookups!$K$2:$K$4,P281)=0),"ERROR","VALID")</f>
        <v>VALID</v>
      </c>
      <c r="W281" s="2" t="str">
        <f>IF(A281="","Missing Order ID; ","")&amp;IF(COUNTIF($A$2:$A$301,A281)&gt;1,"Duplicate Order ID; ","")&amp;IF(C281="","Missing Customer ID; ","")&amp;IF(OR(D281="",ISERROR(SEARCH("@",D281)),ISERROR(SEARCH(".",D281))),"Invalid Email; ","")&amp;IF(COUNTIF(Lookups!$A$2:$A$11,E281)=0,"Unknown Product; ","")&amp;IF(F281="","Missing Product Name; ","")&amp;IF(H281="","Missing Region; ","")&amp;IF(K281&lt;=0,"Invalid Quantity; ","")&amp;IF(L281&lt;0,"Invalid Price; ","")&amp;IF(M281&lt;0,"Invalid Cost; ","")&amp;IF(OR(N281&lt;0,N281&gt;0.5),"Invalid Discount; ","")&amp;IF(COUNTIF(Lookups!$K$2:$K$4,P281)=0,"Invalid Status; ","")</f>
        <v/>
      </c>
      <c r="X281" s="15" t="str">
        <f t="shared" si="49"/>
        <v>2025-02</v>
      </c>
      <c r="Y281" t="str">
        <f t="shared" si="50"/>
        <v>Q1</v>
      </c>
      <c r="Z281" t="str">
        <f>IF(R281&gt;=Settings!$B$9,"High Value Customer",IF(R281&gt;=Settings!$B$10,"Medium Value Customer","Standard Customer"))</f>
        <v>High Value Customer</v>
      </c>
      <c r="AA281" t="str">
        <f>IF(R281&gt;=Settings!$B$9,"Large Order",IF(R281&gt;=Settings!$B$10,"Medium Order","Small Order"))</f>
        <v>Large Order</v>
      </c>
      <c r="AB281" t="str">
        <f>IF(N281=0,"No Discount",IF(N281&lt;=0.1,"Low Discount",IF(N281&lt;=Settings!$B$8,"Medium Discount","High Discount")))</f>
        <v>Medium Discount</v>
      </c>
      <c r="AC281" t="str">
        <f t="shared" si="51"/>
        <v>Profitable</v>
      </c>
      <c r="AD281" t="str">
        <f>IFERROR(VLOOKUP(E281,Lookups!$A$2:$E$11,2,FALSE),"Product Not Found")</f>
        <v>Office Chair</v>
      </c>
      <c r="AE281" t="str">
        <f>IFERROR(VLOOKUP(E281,Lookups!$A$2:$E$11,3,FALSE),"Category Not Found")</f>
        <v>Furniture</v>
      </c>
      <c r="AF281" t="str">
        <f>IFERROR(IF(L281=VLOOKUP(E281,Lookups!$A$2:$E$11,4,FALSE),"Price OK","Price Mismatch"),"Product Missing")</f>
        <v>Price OK</v>
      </c>
      <c r="AG281" t="str">
        <f t="shared" si="52"/>
        <v>Valid Email</v>
      </c>
      <c r="AH281" t="str">
        <f t="shared" si="53"/>
        <v>READY FOR REPORTING</v>
      </c>
      <c r="AI281" t="str">
        <f>IF(AND(LEFT(A281,LEN(Settings!$B$13))=Settings!$B$13,LEN(A281)=9),"Valid Format","Invalid Format")</f>
        <v>Valid Format</v>
      </c>
      <c r="AJ281" t="str">
        <f>IF(LEFT(C281,LEN(Settings!$B$14))=Settings!$B$14,"Valid Format","Invalid Format")</f>
        <v>Valid Format</v>
      </c>
      <c r="AK281" t="str">
        <f>IF(COUNTIF(Master_Data!$G$5:$G$14,C281)=1,"Known Customer","Customer Not in Master")</f>
        <v>Customer Not in Master</v>
      </c>
      <c r="AL281" t="str">
        <f>IF(U281&gt;=Settings!$B$11,"Target Met","Below Target")</f>
        <v>Below Target</v>
      </c>
      <c r="AM281" t="str">
        <f>IF(YEAR(B281)=Settings!$B$5,"Correct Year","Wrong Year")</f>
        <v>Correct Year</v>
      </c>
      <c r="AN281">
        <f t="shared" si="54"/>
        <v>3</v>
      </c>
    </row>
    <row r="282" spans="1:40">
      <c r="A282" t="str">
        <f>Raw_Data!A282</f>
        <v>ORD-10281</v>
      </c>
      <c r="B282" s="13">
        <f>Raw_Data!B282</f>
        <v>45795</v>
      </c>
      <c r="C282" t="str">
        <f>Raw_Data!C282</f>
        <v>C1019</v>
      </c>
      <c r="D282" t="str">
        <f>Raw_Data!D282</f>
        <v>customer@</v>
      </c>
      <c r="E282" t="str">
        <f>Raw_Data!E282</f>
        <v>P1003</v>
      </c>
      <c r="F282" t="str">
        <f>Raw_Data!F282</f>
        <v>Mechanical Keyboard</v>
      </c>
      <c r="G282" t="str">
        <f>Raw_Data!G282</f>
        <v>Accessories</v>
      </c>
      <c r="H282" t="str">
        <f>Raw_Data!H282</f>
        <v>North</v>
      </c>
      <c r="I282" t="str">
        <f>Raw_Data!I282</f>
        <v>Store</v>
      </c>
      <c r="J282" t="str">
        <f>Raw_Data!J282</f>
        <v>Elena Stan</v>
      </c>
      <c r="K282">
        <f>Raw_Data!K282</f>
        <v>5</v>
      </c>
      <c r="L282" s="12">
        <f>Raw_Data!L282</f>
        <v>265</v>
      </c>
      <c r="M282" s="12">
        <f>Raw_Data!M282</f>
        <v>155</v>
      </c>
      <c r="N282" s="14">
        <f>Raw_Data!N282</f>
        <v>0.05</v>
      </c>
      <c r="O282" t="str">
        <f>Raw_Data!O282</f>
        <v>Online Wallet</v>
      </c>
      <c r="P282" t="str">
        <f>Raw_Data!P282</f>
        <v>Completed</v>
      </c>
      <c r="Q282" s="12">
        <f t="shared" si="44"/>
        <v>1325</v>
      </c>
      <c r="R282" s="12">
        <f t="shared" si="45"/>
        <v>1258.75</v>
      </c>
      <c r="S282" s="12">
        <f t="shared" si="46"/>
        <v>775</v>
      </c>
      <c r="T282" s="12">
        <f t="shared" si="47"/>
        <v>483.75</v>
      </c>
      <c r="U282" s="11">
        <f t="shared" si="48"/>
        <v>0.3843098311817279</v>
      </c>
      <c r="V282" t="str">
        <f>IF(OR(A282="",COUNTIF($A$2:$A$301,A282)&gt;1,C282="",D282="",ISERROR(SEARCH("@",D282)),ISERROR(SEARCH(".",D282)),COUNTIF(Lookups!$A$2:$A$11,E282)=0,F282="",H282="",K282&lt;=0,L282&lt;0,M282&lt;0,N282&lt;0,N282&gt;0.5,COUNTIF(Lookups!$K$2:$K$4,P282)=0),"ERROR","VALID")</f>
        <v>ERROR</v>
      </c>
      <c r="W282" s="2" t="str">
        <f>IF(A282="","Missing Order ID; ","")&amp;IF(COUNTIF($A$2:$A$301,A282)&gt;1,"Duplicate Order ID; ","")&amp;IF(C282="","Missing Customer ID; ","")&amp;IF(OR(D282="",ISERROR(SEARCH("@",D282)),ISERROR(SEARCH(".",D282))),"Invalid Email; ","")&amp;IF(COUNTIF(Lookups!$A$2:$A$11,E282)=0,"Unknown Product; ","")&amp;IF(F282="","Missing Product Name; ","")&amp;IF(H282="","Missing Region; ","")&amp;IF(K282&lt;=0,"Invalid Quantity; ","")&amp;IF(L282&lt;0,"Invalid Price; ","")&amp;IF(M282&lt;0,"Invalid Cost; ","")&amp;IF(OR(N282&lt;0,N282&gt;0.5),"Invalid Discount; ","")&amp;IF(COUNTIF(Lookups!$K$2:$K$4,P282)=0,"Invalid Status; ","")</f>
        <v xml:space="preserve">Invalid Email; </v>
      </c>
      <c r="X282" s="15" t="str">
        <f t="shared" si="49"/>
        <v>2025-05</v>
      </c>
      <c r="Y282" t="str">
        <f t="shared" si="50"/>
        <v>Q2</v>
      </c>
      <c r="Z282" t="str">
        <f>IF(R282&gt;=Settings!$B$9,"High Value Customer",IF(R282&gt;=Settings!$B$10,"Medium Value Customer","Standard Customer"))</f>
        <v>Standard Customer</v>
      </c>
      <c r="AA282" t="str">
        <f>IF(R282&gt;=Settings!$B$9,"Large Order",IF(R282&gt;=Settings!$B$10,"Medium Order","Small Order"))</f>
        <v>Small Order</v>
      </c>
      <c r="AB282" t="str">
        <f>IF(N282=0,"No Discount",IF(N282&lt;=0.1,"Low Discount",IF(N282&lt;=Settings!$B$8,"Medium Discount","High Discount")))</f>
        <v>Low Discount</v>
      </c>
      <c r="AC282" t="str">
        <f t="shared" si="51"/>
        <v>Profitable</v>
      </c>
      <c r="AD282" t="str">
        <f>IFERROR(VLOOKUP(E282,Lookups!$A$2:$E$11,2,FALSE),"Product Not Found")</f>
        <v>Mechanical Keyboard</v>
      </c>
      <c r="AE282" t="str">
        <f>IFERROR(VLOOKUP(E282,Lookups!$A$2:$E$11,3,FALSE),"Category Not Found")</f>
        <v>Accessories</v>
      </c>
      <c r="AF282" t="str">
        <f>IFERROR(IF(L282=VLOOKUP(E282,Lookups!$A$2:$E$11,4,FALSE),"Price OK","Price Mismatch"),"Product Missing")</f>
        <v>Price OK</v>
      </c>
      <c r="AG282" t="str">
        <f t="shared" si="52"/>
        <v>Invalid Email</v>
      </c>
      <c r="AH282" t="str">
        <f t="shared" si="53"/>
        <v>REVIEW REQUIRED</v>
      </c>
      <c r="AI282" t="str">
        <f>IF(AND(LEFT(A282,LEN(Settings!$B$13))=Settings!$B$13,LEN(A282)=9),"Valid Format","Invalid Format")</f>
        <v>Valid Format</v>
      </c>
      <c r="AJ282" t="str">
        <f>IF(LEFT(C282,LEN(Settings!$B$14))=Settings!$B$14,"Valid Format","Invalid Format")</f>
        <v>Valid Format</v>
      </c>
      <c r="AK282" t="str">
        <f>IF(COUNTIF(Master_Data!$G$5:$G$14,C282)=1,"Known Customer","Customer Not in Master")</f>
        <v>Customer Not in Master</v>
      </c>
      <c r="AL282" t="str">
        <f>IF(U282&gt;=Settings!$B$11,"Target Met","Below Target")</f>
        <v>Target Met</v>
      </c>
      <c r="AM282" t="str">
        <f>IF(YEAR(B282)=Settings!$B$5,"Correct Year","Wrong Year")</f>
        <v>Correct Year</v>
      </c>
      <c r="AN282">
        <f t="shared" si="54"/>
        <v>4</v>
      </c>
    </row>
    <row r="283" spans="1:40">
      <c r="A283" t="str">
        <f>Raw_Data!A283</f>
        <v>ORD-10282</v>
      </c>
      <c r="B283" s="13">
        <f>Raw_Data!B283</f>
        <v>45905</v>
      </c>
      <c r="C283" t="str">
        <f>Raw_Data!C283</f>
        <v>C1121</v>
      </c>
      <c r="D283" t="str">
        <f>Raw_Data!D283</f>
        <v>client64@example.com</v>
      </c>
      <c r="E283" t="str">
        <f>Raw_Data!E283</f>
        <v>P1005</v>
      </c>
      <c r="F283" t="str">
        <f>Raw_Data!F283</f>
        <v>24-inch Monitor</v>
      </c>
      <c r="G283" t="str">
        <f>Raw_Data!G283</f>
        <v>Electronics</v>
      </c>
      <c r="H283" t="str">
        <f>Raw_Data!H283</f>
        <v>East</v>
      </c>
      <c r="I283" t="str">
        <f>Raw_Data!I283</f>
        <v>Marketplace</v>
      </c>
      <c r="J283" t="str">
        <f>Raw_Data!J283</f>
        <v>Ioana Pavel</v>
      </c>
      <c r="K283">
        <f>Raw_Data!K283</f>
        <v>2</v>
      </c>
      <c r="L283" s="12">
        <f>Raw_Data!L283</f>
        <v>720</v>
      </c>
      <c r="M283" s="12">
        <f>Raw_Data!M283</f>
        <v>510</v>
      </c>
      <c r="N283" s="14">
        <f>Raw_Data!N283</f>
        <v>0.05</v>
      </c>
      <c r="O283" t="str">
        <f>Raw_Data!O283</f>
        <v>Bank Transfer</v>
      </c>
      <c r="P283" t="str">
        <f>Raw_Data!P283</f>
        <v>Completed</v>
      </c>
      <c r="Q283" s="12">
        <f t="shared" si="44"/>
        <v>1440</v>
      </c>
      <c r="R283" s="12">
        <f t="shared" si="45"/>
        <v>1368</v>
      </c>
      <c r="S283" s="12">
        <f t="shared" si="46"/>
        <v>1020</v>
      </c>
      <c r="T283" s="12">
        <f t="shared" si="47"/>
        <v>348</v>
      </c>
      <c r="U283" s="11">
        <f t="shared" si="48"/>
        <v>0.25438596491228072</v>
      </c>
      <c r="V283" t="str">
        <f>IF(OR(A283="",COUNTIF($A$2:$A$301,A283)&gt;1,C283="",D283="",ISERROR(SEARCH("@",D283)),ISERROR(SEARCH(".",D283)),COUNTIF(Lookups!$A$2:$A$11,E283)=0,F283="",H283="",K283&lt;=0,L283&lt;0,M283&lt;0,N283&lt;0,N283&gt;0.5,COUNTIF(Lookups!$K$2:$K$4,P283)=0),"ERROR","VALID")</f>
        <v>VALID</v>
      </c>
      <c r="W283" s="2" t="str">
        <f>IF(A283="","Missing Order ID; ","")&amp;IF(COUNTIF($A$2:$A$301,A283)&gt;1,"Duplicate Order ID; ","")&amp;IF(C283="","Missing Customer ID; ","")&amp;IF(OR(D283="",ISERROR(SEARCH("@",D283)),ISERROR(SEARCH(".",D283))),"Invalid Email; ","")&amp;IF(COUNTIF(Lookups!$A$2:$A$11,E283)=0,"Unknown Product; ","")&amp;IF(F283="","Missing Product Name; ","")&amp;IF(H283="","Missing Region; ","")&amp;IF(K283&lt;=0,"Invalid Quantity; ","")&amp;IF(L283&lt;0,"Invalid Price; ","")&amp;IF(M283&lt;0,"Invalid Cost; ","")&amp;IF(OR(N283&lt;0,N283&gt;0.5),"Invalid Discount; ","")&amp;IF(COUNTIF(Lookups!$K$2:$K$4,P283)=0,"Invalid Status; ","")</f>
        <v/>
      </c>
      <c r="X283" s="15" t="str">
        <f t="shared" si="49"/>
        <v>2025-09</v>
      </c>
      <c r="Y283" t="str">
        <f t="shared" si="50"/>
        <v>Q3</v>
      </c>
      <c r="Z283" t="str">
        <f>IF(R283&gt;=Settings!$B$9,"High Value Customer",IF(R283&gt;=Settings!$B$10,"Medium Value Customer","Standard Customer"))</f>
        <v>Standard Customer</v>
      </c>
      <c r="AA283" t="str">
        <f>IF(R283&gt;=Settings!$B$9,"Large Order",IF(R283&gt;=Settings!$B$10,"Medium Order","Small Order"))</f>
        <v>Small Order</v>
      </c>
      <c r="AB283" t="str">
        <f>IF(N283=0,"No Discount",IF(N283&lt;=0.1,"Low Discount",IF(N283&lt;=Settings!$B$8,"Medium Discount","High Discount")))</f>
        <v>Low Discount</v>
      </c>
      <c r="AC283" t="str">
        <f t="shared" si="51"/>
        <v>Profitable</v>
      </c>
      <c r="AD283" t="str">
        <f>IFERROR(VLOOKUP(E283,Lookups!$A$2:$E$11,2,FALSE),"Product Not Found")</f>
        <v>24-inch Monitor</v>
      </c>
      <c r="AE283" t="str">
        <f>IFERROR(VLOOKUP(E283,Lookups!$A$2:$E$11,3,FALSE),"Category Not Found")</f>
        <v>Electronics</v>
      </c>
      <c r="AF283" t="str">
        <f>IFERROR(IF(L283=VLOOKUP(E283,Lookups!$A$2:$E$11,4,FALSE),"Price OK","Price Mismatch"),"Product Missing")</f>
        <v>Price OK</v>
      </c>
      <c r="AG283" t="str">
        <f t="shared" si="52"/>
        <v>Valid Email</v>
      </c>
      <c r="AH283" t="str">
        <f t="shared" si="53"/>
        <v>READY FOR REPORTING</v>
      </c>
      <c r="AI283" t="str">
        <f>IF(AND(LEFT(A283,LEN(Settings!$B$13))=Settings!$B$13,LEN(A283)=9),"Valid Format","Invalid Format")</f>
        <v>Valid Format</v>
      </c>
      <c r="AJ283" t="str">
        <f>IF(LEFT(C283,LEN(Settings!$B$14))=Settings!$B$14,"Valid Format","Invalid Format")</f>
        <v>Valid Format</v>
      </c>
      <c r="AK283" t="str">
        <f>IF(COUNTIF(Master_Data!$G$5:$G$14,C283)=1,"Known Customer","Customer Not in Master")</f>
        <v>Customer Not in Master</v>
      </c>
      <c r="AL283" t="str">
        <f>IF(U283&gt;=Settings!$B$11,"Target Met","Below Target")</f>
        <v>Target Met</v>
      </c>
      <c r="AM283" t="str">
        <f>IF(YEAR(B283)=Settings!$B$5,"Correct Year","Wrong Year")</f>
        <v>Correct Year</v>
      </c>
      <c r="AN283">
        <f t="shared" si="54"/>
        <v>4</v>
      </c>
    </row>
    <row r="284" spans="1:40">
      <c r="A284" t="str">
        <f>Raw_Data!A284</f>
        <v>ORD-10283</v>
      </c>
      <c r="B284" s="13">
        <f>Raw_Data!B284</f>
        <v>45712</v>
      </c>
      <c r="C284" t="str">
        <f>Raw_Data!C284</f>
        <v>C1122</v>
      </c>
      <c r="D284" t="str">
        <f>Raw_Data!D284</f>
        <v>client102@example.com</v>
      </c>
      <c r="E284" t="str">
        <f>Raw_Data!E284</f>
        <v>P1008</v>
      </c>
      <c r="F284" t="str">
        <f>Raw_Data!F284</f>
        <v>Standing Desk</v>
      </c>
      <c r="G284" t="str">
        <f>Raw_Data!G284</f>
        <v>Furniture</v>
      </c>
      <c r="H284" t="str">
        <f>Raw_Data!H284</f>
        <v>South</v>
      </c>
      <c r="I284" t="str">
        <f>Raw_Data!I284</f>
        <v>Marketplace</v>
      </c>
      <c r="J284" t="str">
        <f>Raw_Data!J284</f>
        <v>Mihai Radu</v>
      </c>
      <c r="K284">
        <f>Raw_Data!K284</f>
        <v>3</v>
      </c>
      <c r="L284" s="12">
        <f>Raw_Data!L284</f>
        <v>1450</v>
      </c>
      <c r="M284" s="12">
        <f>Raw_Data!M284</f>
        <v>1030</v>
      </c>
      <c r="N284" s="14">
        <f>Raw_Data!N284</f>
        <v>0.05</v>
      </c>
      <c r="O284" t="str">
        <f>Raw_Data!O284</f>
        <v>Cash</v>
      </c>
      <c r="P284" t="str">
        <f>Raw_Data!P284</f>
        <v>Completed</v>
      </c>
      <c r="Q284" s="12">
        <f t="shared" si="44"/>
        <v>4350</v>
      </c>
      <c r="R284" s="12">
        <f t="shared" si="45"/>
        <v>4132.5</v>
      </c>
      <c r="S284" s="12">
        <f t="shared" si="46"/>
        <v>3090</v>
      </c>
      <c r="T284" s="12">
        <f t="shared" si="47"/>
        <v>1042.5</v>
      </c>
      <c r="U284" s="11">
        <f t="shared" si="48"/>
        <v>0.25226860254083483</v>
      </c>
      <c r="V284" t="str">
        <f>IF(OR(A284="",COUNTIF($A$2:$A$301,A284)&gt;1,C284="",D284="",ISERROR(SEARCH("@",D284)),ISERROR(SEARCH(".",D284)),COUNTIF(Lookups!$A$2:$A$11,E284)=0,F284="",H284="",K284&lt;=0,L284&lt;0,M284&lt;0,N284&lt;0,N284&gt;0.5,COUNTIF(Lookups!$K$2:$K$4,P284)=0),"ERROR","VALID")</f>
        <v>VALID</v>
      </c>
      <c r="W284" s="2" t="str">
        <f>IF(A284="","Missing Order ID; ","")&amp;IF(COUNTIF($A$2:$A$301,A284)&gt;1,"Duplicate Order ID; ","")&amp;IF(C284="","Missing Customer ID; ","")&amp;IF(OR(D284="",ISERROR(SEARCH("@",D284)),ISERROR(SEARCH(".",D284))),"Invalid Email; ","")&amp;IF(COUNTIF(Lookups!$A$2:$A$11,E284)=0,"Unknown Product; ","")&amp;IF(F284="","Missing Product Name; ","")&amp;IF(H284="","Missing Region; ","")&amp;IF(K284&lt;=0,"Invalid Quantity; ","")&amp;IF(L284&lt;0,"Invalid Price; ","")&amp;IF(M284&lt;0,"Invalid Cost; ","")&amp;IF(OR(N284&lt;0,N284&gt;0.5),"Invalid Discount; ","")&amp;IF(COUNTIF(Lookups!$K$2:$K$4,P284)=0,"Invalid Status; ","")</f>
        <v/>
      </c>
      <c r="X284" s="15" t="str">
        <f t="shared" si="49"/>
        <v>2025-02</v>
      </c>
      <c r="Y284" t="str">
        <f t="shared" si="50"/>
        <v>Q1</v>
      </c>
      <c r="Z284" t="str">
        <f>IF(R284&gt;=Settings!$B$9,"High Value Customer",IF(R284&gt;=Settings!$B$10,"Medium Value Customer","Standard Customer"))</f>
        <v>Medium Value Customer</v>
      </c>
      <c r="AA284" t="str">
        <f>IF(R284&gt;=Settings!$B$9,"Large Order",IF(R284&gt;=Settings!$B$10,"Medium Order","Small Order"))</f>
        <v>Medium Order</v>
      </c>
      <c r="AB284" t="str">
        <f>IF(N284=0,"No Discount",IF(N284&lt;=0.1,"Low Discount",IF(N284&lt;=Settings!$B$8,"Medium Discount","High Discount")))</f>
        <v>Low Discount</v>
      </c>
      <c r="AC284" t="str">
        <f t="shared" si="51"/>
        <v>Profitable</v>
      </c>
      <c r="AD284" t="str">
        <f>IFERROR(VLOOKUP(E284,Lookups!$A$2:$E$11,2,FALSE),"Product Not Found")</f>
        <v>Standing Desk</v>
      </c>
      <c r="AE284" t="str">
        <f>IFERROR(VLOOKUP(E284,Lookups!$A$2:$E$11,3,FALSE),"Category Not Found")</f>
        <v>Furniture</v>
      </c>
      <c r="AF284" t="str">
        <f>IFERROR(IF(L284=VLOOKUP(E284,Lookups!$A$2:$E$11,4,FALSE),"Price OK","Price Mismatch"),"Product Missing")</f>
        <v>Price OK</v>
      </c>
      <c r="AG284" t="str">
        <f t="shared" si="52"/>
        <v>Valid Email</v>
      </c>
      <c r="AH284" t="str">
        <f t="shared" si="53"/>
        <v>READY FOR REPORTING</v>
      </c>
      <c r="AI284" t="str">
        <f>IF(AND(LEFT(A284,LEN(Settings!$B$13))=Settings!$B$13,LEN(A284)=9),"Valid Format","Invalid Format")</f>
        <v>Valid Format</v>
      </c>
      <c r="AJ284" t="str">
        <f>IF(LEFT(C284,LEN(Settings!$B$14))=Settings!$B$14,"Valid Format","Invalid Format")</f>
        <v>Valid Format</v>
      </c>
      <c r="AK284" t="str">
        <f>IF(COUNTIF(Master_Data!$G$5:$G$14,C284)=1,"Known Customer","Customer Not in Master")</f>
        <v>Customer Not in Master</v>
      </c>
      <c r="AL284" t="str">
        <f>IF(U284&gt;=Settings!$B$11,"Target Met","Below Target")</f>
        <v>Target Met</v>
      </c>
      <c r="AM284" t="str">
        <f>IF(YEAR(B284)=Settings!$B$5,"Correct Year","Wrong Year")</f>
        <v>Correct Year</v>
      </c>
      <c r="AN284">
        <f t="shared" si="54"/>
        <v>4</v>
      </c>
    </row>
    <row r="285" spans="1:40">
      <c r="A285" t="str">
        <f>Raw_Data!A285</f>
        <v>ORD-10284</v>
      </c>
      <c r="B285" s="13">
        <f>Raw_Data!B285</f>
        <v>45829</v>
      </c>
      <c r="C285" t="str">
        <f>Raw_Data!C285</f>
        <v>C1018</v>
      </c>
      <c r="D285" t="str">
        <f>Raw_Data!D285</f>
        <v>client77@example.com</v>
      </c>
      <c r="E285" t="str">
        <f>Raw_Data!E285</f>
        <v>P1008</v>
      </c>
      <c r="F285" t="str">
        <f>Raw_Data!F285</f>
        <v>Standing Desk</v>
      </c>
      <c r="G285" t="str">
        <f>Raw_Data!G285</f>
        <v>Furniture</v>
      </c>
      <c r="H285" t="str">
        <f>Raw_Data!H285</f>
        <v>South</v>
      </c>
      <c r="I285" t="str">
        <f>Raw_Data!I285</f>
        <v>Marketplace</v>
      </c>
      <c r="J285" t="str">
        <f>Raw_Data!J285</f>
        <v>Maria Ionescu</v>
      </c>
      <c r="K285">
        <f>Raw_Data!K285</f>
        <v>7</v>
      </c>
      <c r="L285" s="12">
        <f>Raw_Data!L285</f>
        <v>1450</v>
      </c>
      <c r="M285" s="12">
        <f>Raw_Data!M285</f>
        <v>1030</v>
      </c>
      <c r="N285" s="14">
        <f>Raw_Data!N285</f>
        <v>0.2</v>
      </c>
      <c r="O285" t="str">
        <f>Raw_Data!O285</f>
        <v>Online Wallet</v>
      </c>
      <c r="P285" t="str">
        <f>Raw_Data!P285</f>
        <v>Returned</v>
      </c>
      <c r="Q285" s="12">
        <f t="shared" si="44"/>
        <v>10150</v>
      </c>
      <c r="R285" s="12">
        <f t="shared" si="45"/>
        <v>8120</v>
      </c>
      <c r="S285" s="12">
        <f t="shared" si="46"/>
        <v>7210</v>
      </c>
      <c r="T285" s="12">
        <f t="shared" si="47"/>
        <v>910</v>
      </c>
      <c r="U285" s="11">
        <f t="shared" si="48"/>
        <v>0.11206896551724138</v>
      </c>
      <c r="V285" t="str">
        <f>IF(OR(A285="",COUNTIF($A$2:$A$301,A285)&gt;1,C285="",D285="",ISERROR(SEARCH("@",D285)),ISERROR(SEARCH(".",D285)),COUNTIF(Lookups!$A$2:$A$11,E285)=0,F285="",H285="",K285&lt;=0,L285&lt;0,M285&lt;0,N285&lt;0,N285&gt;0.5,COUNTIF(Lookups!$K$2:$K$4,P285)=0),"ERROR","VALID")</f>
        <v>VALID</v>
      </c>
      <c r="W285" s="2" t="str">
        <f>IF(A285="","Missing Order ID; ","")&amp;IF(COUNTIF($A$2:$A$301,A285)&gt;1,"Duplicate Order ID; ","")&amp;IF(C285="","Missing Customer ID; ","")&amp;IF(OR(D285="",ISERROR(SEARCH("@",D285)),ISERROR(SEARCH(".",D285))),"Invalid Email; ","")&amp;IF(COUNTIF(Lookups!$A$2:$A$11,E285)=0,"Unknown Product; ","")&amp;IF(F285="","Missing Product Name; ","")&amp;IF(H285="","Missing Region; ","")&amp;IF(K285&lt;=0,"Invalid Quantity; ","")&amp;IF(L285&lt;0,"Invalid Price; ","")&amp;IF(M285&lt;0,"Invalid Cost; ","")&amp;IF(OR(N285&lt;0,N285&gt;0.5),"Invalid Discount; ","")&amp;IF(COUNTIF(Lookups!$K$2:$K$4,P285)=0,"Invalid Status; ","")</f>
        <v/>
      </c>
      <c r="X285" s="15" t="str">
        <f t="shared" si="49"/>
        <v>2025-06</v>
      </c>
      <c r="Y285" t="str">
        <f t="shared" si="50"/>
        <v>Q2</v>
      </c>
      <c r="Z285" t="str">
        <f>IF(R285&gt;=Settings!$B$9,"High Value Customer",IF(R285&gt;=Settings!$B$10,"Medium Value Customer","Standard Customer"))</f>
        <v>High Value Customer</v>
      </c>
      <c r="AA285" t="str">
        <f>IF(R285&gt;=Settings!$B$9,"Large Order",IF(R285&gt;=Settings!$B$10,"Medium Order","Small Order"))</f>
        <v>Large Order</v>
      </c>
      <c r="AB285" t="str">
        <f>IF(N285=0,"No Discount",IF(N285&lt;=0.1,"Low Discount",IF(N285&lt;=Settings!$B$8,"Medium Discount","High Discount")))</f>
        <v>Medium Discount</v>
      </c>
      <c r="AC285" t="str">
        <f t="shared" si="51"/>
        <v>Profitable</v>
      </c>
      <c r="AD285" t="str">
        <f>IFERROR(VLOOKUP(E285,Lookups!$A$2:$E$11,2,FALSE),"Product Not Found")</f>
        <v>Standing Desk</v>
      </c>
      <c r="AE285" t="str">
        <f>IFERROR(VLOOKUP(E285,Lookups!$A$2:$E$11,3,FALSE),"Category Not Found")</f>
        <v>Furniture</v>
      </c>
      <c r="AF285" t="str">
        <f>IFERROR(IF(L285=VLOOKUP(E285,Lookups!$A$2:$E$11,4,FALSE),"Price OK","Price Mismatch"),"Product Missing")</f>
        <v>Price OK</v>
      </c>
      <c r="AG285" t="str">
        <f t="shared" si="52"/>
        <v>Valid Email</v>
      </c>
      <c r="AH285" t="str">
        <f t="shared" si="53"/>
        <v>READY FOR REPORTING</v>
      </c>
      <c r="AI285" t="str">
        <f>IF(AND(LEFT(A285,LEN(Settings!$B$13))=Settings!$B$13,LEN(A285)=9),"Valid Format","Invalid Format")</f>
        <v>Valid Format</v>
      </c>
      <c r="AJ285" t="str">
        <f>IF(LEFT(C285,LEN(Settings!$B$14))=Settings!$B$14,"Valid Format","Invalid Format")</f>
        <v>Valid Format</v>
      </c>
      <c r="AK285" t="str">
        <f>IF(COUNTIF(Master_Data!$G$5:$G$14,C285)=1,"Known Customer","Customer Not in Master")</f>
        <v>Customer Not in Master</v>
      </c>
      <c r="AL285" t="str">
        <f>IF(U285&gt;=Settings!$B$11,"Target Met","Below Target")</f>
        <v>Below Target</v>
      </c>
      <c r="AM285" t="str">
        <f>IF(YEAR(B285)=Settings!$B$5,"Correct Year","Wrong Year")</f>
        <v>Correct Year</v>
      </c>
      <c r="AN285">
        <f t="shared" si="54"/>
        <v>3</v>
      </c>
    </row>
    <row r="286" spans="1:40">
      <c r="A286" t="str">
        <f>Raw_Data!A286</f>
        <v>ORD-10285</v>
      </c>
      <c r="B286" s="13">
        <f>Raw_Data!B286</f>
        <v>45748</v>
      </c>
      <c r="C286" t="str">
        <f>Raw_Data!C286</f>
        <v>C1095</v>
      </c>
      <c r="D286" t="str">
        <f>Raw_Data!D286</f>
        <v>client178@example.com</v>
      </c>
      <c r="E286" t="str">
        <f>Raw_Data!E286</f>
        <v>P1006</v>
      </c>
      <c r="F286" t="str">
        <f>Raw_Data!F286</f>
        <v>27-inch Monitor</v>
      </c>
      <c r="G286" t="str">
        <f>Raw_Data!G286</f>
        <v>Electronics</v>
      </c>
      <c r="H286" t="str">
        <f>Raw_Data!H286</f>
        <v>East</v>
      </c>
      <c r="I286" t="str">
        <f>Raw_Data!I286</f>
        <v>Marketplace</v>
      </c>
      <c r="J286" t="str">
        <f>Raw_Data!J286</f>
        <v>Maria Ionescu</v>
      </c>
      <c r="K286">
        <f>Raw_Data!K286</f>
        <v>7</v>
      </c>
      <c r="L286" s="12">
        <f>Raw_Data!L286</f>
        <v>1090</v>
      </c>
      <c r="M286" s="12">
        <f>Raw_Data!M286</f>
        <v>790</v>
      </c>
      <c r="N286" s="14">
        <f>Raw_Data!N286</f>
        <v>0.05</v>
      </c>
      <c r="O286" t="str">
        <f>Raw_Data!O286</f>
        <v>Cash</v>
      </c>
      <c r="P286" t="str">
        <f>Raw_Data!P286</f>
        <v>Completed</v>
      </c>
      <c r="Q286" s="12">
        <f t="shared" si="44"/>
        <v>7630</v>
      </c>
      <c r="R286" s="12">
        <f t="shared" si="45"/>
        <v>7248.5</v>
      </c>
      <c r="S286" s="12">
        <f t="shared" si="46"/>
        <v>5530</v>
      </c>
      <c r="T286" s="12">
        <f t="shared" si="47"/>
        <v>1718.5</v>
      </c>
      <c r="U286" s="11">
        <f t="shared" si="48"/>
        <v>0.23708353452438435</v>
      </c>
      <c r="V286" t="str">
        <f>IF(OR(A286="",COUNTIF($A$2:$A$301,A286)&gt;1,C286="",D286="",ISERROR(SEARCH("@",D286)),ISERROR(SEARCH(".",D286)),COUNTIF(Lookups!$A$2:$A$11,E286)=0,F286="",H286="",K286&lt;=0,L286&lt;0,M286&lt;0,N286&lt;0,N286&gt;0.5,COUNTIF(Lookups!$K$2:$K$4,P286)=0),"ERROR","VALID")</f>
        <v>VALID</v>
      </c>
      <c r="W286" s="2" t="str">
        <f>IF(A286="","Missing Order ID; ","")&amp;IF(COUNTIF($A$2:$A$301,A286)&gt;1,"Duplicate Order ID; ","")&amp;IF(C286="","Missing Customer ID; ","")&amp;IF(OR(D286="",ISERROR(SEARCH("@",D286)),ISERROR(SEARCH(".",D286))),"Invalid Email; ","")&amp;IF(COUNTIF(Lookups!$A$2:$A$11,E286)=0,"Unknown Product; ","")&amp;IF(F286="","Missing Product Name; ","")&amp;IF(H286="","Missing Region; ","")&amp;IF(K286&lt;=0,"Invalid Quantity; ","")&amp;IF(L286&lt;0,"Invalid Price; ","")&amp;IF(M286&lt;0,"Invalid Cost; ","")&amp;IF(OR(N286&lt;0,N286&gt;0.5),"Invalid Discount; ","")&amp;IF(COUNTIF(Lookups!$K$2:$K$4,P286)=0,"Invalid Status; ","")</f>
        <v/>
      </c>
      <c r="X286" s="15" t="str">
        <f t="shared" si="49"/>
        <v>2025-04</v>
      </c>
      <c r="Y286" t="str">
        <f t="shared" si="50"/>
        <v>Q2</v>
      </c>
      <c r="Z286" t="str">
        <f>IF(R286&gt;=Settings!$B$9,"High Value Customer",IF(R286&gt;=Settings!$B$10,"Medium Value Customer","Standard Customer"))</f>
        <v>High Value Customer</v>
      </c>
      <c r="AA286" t="str">
        <f>IF(R286&gt;=Settings!$B$9,"Large Order",IF(R286&gt;=Settings!$B$10,"Medium Order","Small Order"))</f>
        <v>Large Order</v>
      </c>
      <c r="AB286" t="str">
        <f>IF(N286=0,"No Discount",IF(N286&lt;=0.1,"Low Discount",IF(N286&lt;=Settings!$B$8,"Medium Discount","High Discount")))</f>
        <v>Low Discount</v>
      </c>
      <c r="AC286" t="str">
        <f t="shared" si="51"/>
        <v>Profitable</v>
      </c>
      <c r="AD286" t="str">
        <f>IFERROR(VLOOKUP(E286,Lookups!$A$2:$E$11,2,FALSE),"Product Not Found")</f>
        <v>27-inch Monitor</v>
      </c>
      <c r="AE286" t="str">
        <f>IFERROR(VLOOKUP(E286,Lookups!$A$2:$E$11,3,FALSE),"Category Not Found")</f>
        <v>Electronics</v>
      </c>
      <c r="AF286" t="str">
        <f>IFERROR(IF(L286=VLOOKUP(E286,Lookups!$A$2:$E$11,4,FALSE),"Price OK","Price Mismatch"),"Product Missing")</f>
        <v>Price OK</v>
      </c>
      <c r="AG286" t="str">
        <f t="shared" si="52"/>
        <v>Valid Email</v>
      </c>
      <c r="AH286" t="str">
        <f t="shared" si="53"/>
        <v>READY FOR REPORTING</v>
      </c>
      <c r="AI286" t="str">
        <f>IF(AND(LEFT(A286,LEN(Settings!$B$13))=Settings!$B$13,LEN(A286)=9),"Valid Format","Invalid Format")</f>
        <v>Valid Format</v>
      </c>
      <c r="AJ286" t="str">
        <f>IF(LEFT(C286,LEN(Settings!$B$14))=Settings!$B$14,"Valid Format","Invalid Format")</f>
        <v>Valid Format</v>
      </c>
      <c r="AK286" t="str">
        <f>IF(COUNTIF(Master_Data!$G$5:$G$14,C286)=1,"Known Customer","Customer Not in Master")</f>
        <v>Customer Not in Master</v>
      </c>
      <c r="AL286" t="str">
        <f>IF(U286&gt;=Settings!$B$11,"Target Met","Below Target")</f>
        <v>Below Target</v>
      </c>
      <c r="AM286" t="str">
        <f>IF(YEAR(B286)=Settings!$B$5,"Correct Year","Wrong Year")</f>
        <v>Correct Year</v>
      </c>
      <c r="AN286">
        <f t="shared" si="54"/>
        <v>3</v>
      </c>
    </row>
    <row r="287" spans="1:40">
      <c r="A287" t="str">
        <f>Raw_Data!A287</f>
        <v>ORD-10286</v>
      </c>
      <c r="B287" s="13">
        <f>Raw_Data!B287</f>
        <v>45801</v>
      </c>
      <c r="C287" t="str">
        <f>Raw_Data!C287</f>
        <v>C1120</v>
      </c>
      <c r="D287" t="str">
        <f>Raw_Data!D287</f>
        <v>client145@example.com</v>
      </c>
      <c r="E287" t="str">
        <f>Raw_Data!E287</f>
        <v>P1007</v>
      </c>
      <c r="F287" t="str">
        <f>Raw_Data!F287</f>
        <v>Office Chair</v>
      </c>
      <c r="G287" t="str">
        <f>Raw_Data!G287</f>
        <v>Furniture</v>
      </c>
      <c r="H287" t="str">
        <f>Raw_Data!H287</f>
        <v>North</v>
      </c>
      <c r="I287" t="str">
        <f>Raw_Data!I287</f>
        <v>Marketplace</v>
      </c>
      <c r="J287" t="str">
        <f>Raw_Data!J287</f>
        <v>Ioana Pavel</v>
      </c>
      <c r="K287">
        <f>Raw_Data!K287</f>
        <v>7</v>
      </c>
      <c r="L287" s="12">
        <f>Raw_Data!L287</f>
        <v>840</v>
      </c>
      <c r="M287" s="12">
        <f>Raw_Data!M287</f>
        <v>590</v>
      </c>
      <c r="N287" s="14">
        <f>Raw_Data!N287</f>
        <v>0.05</v>
      </c>
      <c r="O287" t="str">
        <f>Raw_Data!O287</f>
        <v>Bank Transfer</v>
      </c>
      <c r="P287" t="str">
        <f>Raw_Data!P287</f>
        <v>Completed</v>
      </c>
      <c r="Q287" s="12">
        <f t="shared" si="44"/>
        <v>5880</v>
      </c>
      <c r="R287" s="12">
        <f t="shared" si="45"/>
        <v>5586</v>
      </c>
      <c r="S287" s="12">
        <f t="shared" si="46"/>
        <v>4130</v>
      </c>
      <c r="T287" s="12">
        <f t="shared" si="47"/>
        <v>1456</v>
      </c>
      <c r="U287" s="11">
        <f t="shared" si="48"/>
        <v>0.26065162907268169</v>
      </c>
      <c r="V287" t="str">
        <f>IF(OR(A287="",COUNTIF($A$2:$A$301,A287)&gt;1,C287="",D287="",ISERROR(SEARCH("@",D287)),ISERROR(SEARCH(".",D287)),COUNTIF(Lookups!$A$2:$A$11,E287)=0,F287="",H287="",K287&lt;=0,L287&lt;0,M287&lt;0,N287&lt;0,N287&gt;0.5,COUNTIF(Lookups!$K$2:$K$4,P287)=0),"ERROR","VALID")</f>
        <v>VALID</v>
      </c>
      <c r="W287" s="2" t="str">
        <f>IF(A287="","Missing Order ID; ","")&amp;IF(COUNTIF($A$2:$A$301,A287)&gt;1,"Duplicate Order ID; ","")&amp;IF(C287="","Missing Customer ID; ","")&amp;IF(OR(D287="",ISERROR(SEARCH("@",D287)),ISERROR(SEARCH(".",D287))),"Invalid Email; ","")&amp;IF(COUNTIF(Lookups!$A$2:$A$11,E287)=0,"Unknown Product; ","")&amp;IF(F287="","Missing Product Name; ","")&amp;IF(H287="","Missing Region; ","")&amp;IF(K287&lt;=0,"Invalid Quantity; ","")&amp;IF(L287&lt;0,"Invalid Price; ","")&amp;IF(M287&lt;0,"Invalid Cost; ","")&amp;IF(OR(N287&lt;0,N287&gt;0.5),"Invalid Discount; ","")&amp;IF(COUNTIF(Lookups!$K$2:$K$4,P287)=0,"Invalid Status; ","")</f>
        <v/>
      </c>
      <c r="X287" s="15" t="str">
        <f t="shared" si="49"/>
        <v>2025-05</v>
      </c>
      <c r="Y287" t="str">
        <f t="shared" si="50"/>
        <v>Q2</v>
      </c>
      <c r="Z287" t="str">
        <f>IF(R287&gt;=Settings!$B$9,"High Value Customer",IF(R287&gt;=Settings!$B$10,"Medium Value Customer","Standard Customer"))</f>
        <v>High Value Customer</v>
      </c>
      <c r="AA287" t="str">
        <f>IF(R287&gt;=Settings!$B$9,"Large Order",IF(R287&gt;=Settings!$B$10,"Medium Order","Small Order"))</f>
        <v>Large Order</v>
      </c>
      <c r="AB287" t="str">
        <f>IF(N287=0,"No Discount",IF(N287&lt;=0.1,"Low Discount",IF(N287&lt;=Settings!$B$8,"Medium Discount","High Discount")))</f>
        <v>Low Discount</v>
      </c>
      <c r="AC287" t="str">
        <f t="shared" si="51"/>
        <v>Profitable</v>
      </c>
      <c r="AD287" t="str">
        <f>IFERROR(VLOOKUP(E287,Lookups!$A$2:$E$11,2,FALSE),"Product Not Found")</f>
        <v>Office Chair</v>
      </c>
      <c r="AE287" t="str">
        <f>IFERROR(VLOOKUP(E287,Lookups!$A$2:$E$11,3,FALSE),"Category Not Found")</f>
        <v>Furniture</v>
      </c>
      <c r="AF287" t="str">
        <f>IFERROR(IF(L287=VLOOKUP(E287,Lookups!$A$2:$E$11,4,FALSE),"Price OK","Price Mismatch"),"Product Missing")</f>
        <v>Price OK</v>
      </c>
      <c r="AG287" t="str">
        <f t="shared" si="52"/>
        <v>Valid Email</v>
      </c>
      <c r="AH287" t="str">
        <f t="shared" si="53"/>
        <v>READY FOR REPORTING</v>
      </c>
      <c r="AI287" t="str">
        <f>IF(AND(LEFT(A287,LEN(Settings!$B$13))=Settings!$B$13,LEN(A287)=9),"Valid Format","Invalid Format")</f>
        <v>Valid Format</v>
      </c>
      <c r="AJ287" t="str">
        <f>IF(LEFT(C287,LEN(Settings!$B$14))=Settings!$B$14,"Valid Format","Invalid Format")</f>
        <v>Valid Format</v>
      </c>
      <c r="AK287" t="str">
        <f>IF(COUNTIF(Master_Data!$G$5:$G$14,C287)=1,"Known Customer","Customer Not in Master")</f>
        <v>Customer Not in Master</v>
      </c>
      <c r="AL287" t="str">
        <f>IF(U287&gt;=Settings!$B$11,"Target Met","Below Target")</f>
        <v>Target Met</v>
      </c>
      <c r="AM287" t="str">
        <f>IF(YEAR(B287)=Settings!$B$5,"Correct Year","Wrong Year")</f>
        <v>Correct Year</v>
      </c>
      <c r="AN287">
        <f t="shared" si="54"/>
        <v>4</v>
      </c>
    </row>
    <row r="288" spans="1:40">
      <c r="A288" t="str">
        <f>Raw_Data!A288</f>
        <v>ORD-10287</v>
      </c>
      <c r="B288" s="13">
        <f>Raw_Data!B288</f>
        <v>45671</v>
      </c>
      <c r="C288" t="str">
        <f>Raw_Data!C288</f>
        <v>C1027</v>
      </c>
      <c r="D288" t="str">
        <f>Raw_Data!D288</f>
        <v>client113@example.com</v>
      </c>
      <c r="E288" t="str">
        <f>Raw_Data!E288</f>
        <v>P1009</v>
      </c>
      <c r="F288" t="str">
        <f>Raw_Data!F288</f>
        <v>Webcam</v>
      </c>
      <c r="G288" t="str">
        <f>Raw_Data!G288</f>
        <v>Electronics</v>
      </c>
      <c r="H288" t="str">
        <f>Raw_Data!H288</f>
        <v>South</v>
      </c>
      <c r="I288" t="str">
        <f>Raw_Data!I288</f>
        <v>Marketplace</v>
      </c>
      <c r="J288" t="str">
        <f>Raw_Data!J288</f>
        <v>Andrei Pop</v>
      </c>
      <c r="K288">
        <f>Raw_Data!K288</f>
        <v>12</v>
      </c>
      <c r="L288" s="12">
        <f>Raw_Data!L288</f>
        <v>230</v>
      </c>
      <c r="M288" s="12">
        <f>Raw_Data!M288</f>
        <v>132</v>
      </c>
      <c r="N288" s="14">
        <f>Raw_Data!N288</f>
        <v>0.1</v>
      </c>
      <c r="O288" t="str">
        <f>Raw_Data!O288</f>
        <v>Online Wallet</v>
      </c>
      <c r="P288" t="str">
        <f>Raw_Data!P288</f>
        <v>Cancelled</v>
      </c>
      <c r="Q288" s="12">
        <f t="shared" si="44"/>
        <v>2760</v>
      </c>
      <c r="R288" s="12">
        <f t="shared" si="45"/>
        <v>2484</v>
      </c>
      <c r="S288" s="12">
        <f t="shared" si="46"/>
        <v>1584</v>
      </c>
      <c r="T288" s="12">
        <f t="shared" si="47"/>
        <v>900</v>
      </c>
      <c r="U288" s="11">
        <f t="shared" si="48"/>
        <v>0.36231884057971014</v>
      </c>
      <c r="V288" t="str">
        <f>IF(OR(A288="",COUNTIF($A$2:$A$301,A288)&gt;1,C288="",D288="",ISERROR(SEARCH("@",D288)),ISERROR(SEARCH(".",D288)),COUNTIF(Lookups!$A$2:$A$11,E288)=0,F288="",H288="",K288&lt;=0,L288&lt;0,M288&lt;0,N288&lt;0,N288&gt;0.5,COUNTIF(Lookups!$K$2:$K$4,P288)=0),"ERROR","VALID")</f>
        <v>VALID</v>
      </c>
      <c r="W288" s="2" t="str">
        <f>IF(A288="","Missing Order ID; ","")&amp;IF(COUNTIF($A$2:$A$301,A288)&gt;1,"Duplicate Order ID; ","")&amp;IF(C288="","Missing Customer ID; ","")&amp;IF(OR(D288="",ISERROR(SEARCH("@",D288)),ISERROR(SEARCH(".",D288))),"Invalid Email; ","")&amp;IF(COUNTIF(Lookups!$A$2:$A$11,E288)=0,"Unknown Product; ","")&amp;IF(F288="","Missing Product Name; ","")&amp;IF(H288="","Missing Region; ","")&amp;IF(K288&lt;=0,"Invalid Quantity; ","")&amp;IF(L288&lt;0,"Invalid Price; ","")&amp;IF(M288&lt;0,"Invalid Cost; ","")&amp;IF(OR(N288&lt;0,N288&gt;0.5),"Invalid Discount; ","")&amp;IF(COUNTIF(Lookups!$K$2:$K$4,P288)=0,"Invalid Status; ","")</f>
        <v/>
      </c>
      <c r="X288" s="15" t="str">
        <f t="shared" si="49"/>
        <v>2025-01</v>
      </c>
      <c r="Y288" t="str">
        <f t="shared" si="50"/>
        <v>Q1</v>
      </c>
      <c r="Z288" t="str">
        <f>IF(R288&gt;=Settings!$B$9,"High Value Customer",IF(R288&gt;=Settings!$B$10,"Medium Value Customer","Standard Customer"))</f>
        <v>Medium Value Customer</v>
      </c>
      <c r="AA288" t="str">
        <f>IF(R288&gt;=Settings!$B$9,"Large Order",IF(R288&gt;=Settings!$B$10,"Medium Order","Small Order"))</f>
        <v>Medium Order</v>
      </c>
      <c r="AB288" t="str">
        <f>IF(N288=0,"No Discount",IF(N288&lt;=0.1,"Low Discount",IF(N288&lt;=Settings!$B$8,"Medium Discount","High Discount")))</f>
        <v>Low Discount</v>
      </c>
      <c r="AC288" t="str">
        <f t="shared" si="51"/>
        <v>Profitable</v>
      </c>
      <c r="AD288" t="str">
        <f>IFERROR(VLOOKUP(E288,Lookups!$A$2:$E$11,2,FALSE),"Product Not Found")</f>
        <v>Webcam</v>
      </c>
      <c r="AE288" t="str">
        <f>IFERROR(VLOOKUP(E288,Lookups!$A$2:$E$11,3,FALSE),"Category Not Found")</f>
        <v>Electronics</v>
      </c>
      <c r="AF288" t="str">
        <f>IFERROR(IF(L288=VLOOKUP(E288,Lookups!$A$2:$E$11,4,FALSE),"Price OK","Price Mismatch"),"Product Missing")</f>
        <v>Price OK</v>
      </c>
      <c r="AG288" t="str">
        <f t="shared" si="52"/>
        <v>Valid Email</v>
      </c>
      <c r="AH288" t="str">
        <f t="shared" si="53"/>
        <v>READY FOR REPORTING</v>
      </c>
      <c r="AI288" t="str">
        <f>IF(AND(LEFT(A288,LEN(Settings!$B$13))=Settings!$B$13,LEN(A288)=9),"Valid Format","Invalid Format")</f>
        <v>Valid Format</v>
      </c>
      <c r="AJ288" t="str">
        <f>IF(LEFT(C288,LEN(Settings!$B$14))=Settings!$B$14,"Valid Format","Invalid Format")</f>
        <v>Valid Format</v>
      </c>
      <c r="AK288" t="str">
        <f>IF(COUNTIF(Master_Data!$G$5:$G$14,C288)=1,"Known Customer","Customer Not in Master")</f>
        <v>Customer Not in Master</v>
      </c>
      <c r="AL288" t="str">
        <f>IF(U288&gt;=Settings!$B$11,"Target Met","Below Target")</f>
        <v>Target Met</v>
      </c>
      <c r="AM288" t="str">
        <f>IF(YEAR(B288)=Settings!$B$5,"Correct Year","Wrong Year")</f>
        <v>Correct Year</v>
      </c>
      <c r="AN288">
        <f t="shared" si="54"/>
        <v>4</v>
      </c>
    </row>
    <row r="289" spans="1:40">
      <c r="A289" t="str">
        <f>Raw_Data!A289</f>
        <v>ORD-10288</v>
      </c>
      <c r="B289" s="13">
        <f>Raw_Data!B289</f>
        <v>45729</v>
      </c>
      <c r="C289" t="str">
        <f>Raw_Data!C289</f>
        <v>C1033</v>
      </c>
      <c r="D289" t="str">
        <f>Raw_Data!D289</f>
        <v>client169@example.com</v>
      </c>
      <c r="E289" t="str">
        <f>Raw_Data!E289</f>
        <v>P1008</v>
      </c>
      <c r="F289" t="str">
        <f>Raw_Data!F289</f>
        <v>Standing Desk</v>
      </c>
      <c r="G289" t="str">
        <f>Raw_Data!G289</f>
        <v>Furniture</v>
      </c>
      <c r="H289" t="str">
        <f>Raw_Data!H289</f>
        <v>North</v>
      </c>
      <c r="I289" t="str">
        <f>Raw_Data!I289</f>
        <v>Marketplace</v>
      </c>
      <c r="J289" t="str">
        <f>Raw_Data!J289</f>
        <v>Mihai Radu</v>
      </c>
      <c r="K289">
        <f>Raw_Data!K289</f>
        <v>11</v>
      </c>
      <c r="L289" s="12">
        <f>Raw_Data!L289</f>
        <v>1450</v>
      </c>
      <c r="M289" s="12">
        <f>Raw_Data!M289</f>
        <v>1030</v>
      </c>
      <c r="N289" s="14">
        <f>Raw_Data!N289</f>
        <v>0.05</v>
      </c>
      <c r="O289" t="str">
        <f>Raw_Data!O289</f>
        <v>Online Wallet</v>
      </c>
      <c r="P289" t="str">
        <f>Raw_Data!P289</f>
        <v>Completed</v>
      </c>
      <c r="Q289" s="12">
        <f t="shared" si="44"/>
        <v>15950</v>
      </c>
      <c r="R289" s="12">
        <f t="shared" si="45"/>
        <v>15152.5</v>
      </c>
      <c r="S289" s="12">
        <f t="shared" si="46"/>
        <v>11330</v>
      </c>
      <c r="T289" s="12">
        <f t="shared" si="47"/>
        <v>3822.5</v>
      </c>
      <c r="U289" s="11">
        <f t="shared" si="48"/>
        <v>0.25226860254083483</v>
      </c>
      <c r="V289" t="str">
        <f>IF(OR(A289="",COUNTIF($A$2:$A$301,A289)&gt;1,C289="",D289="",ISERROR(SEARCH("@",D289)),ISERROR(SEARCH(".",D289)),COUNTIF(Lookups!$A$2:$A$11,E289)=0,F289="",H289="",K289&lt;=0,L289&lt;0,M289&lt;0,N289&lt;0,N289&gt;0.5,COUNTIF(Lookups!$K$2:$K$4,P289)=0),"ERROR","VALID")</f>
        <v>VALID</v>
      </c>
      <c r="W289" s="2" t="str">
        <f>IF(A289="","Missing Order ID; ","")&amp;IF(COUNTIF($A$2:$A$301,A289)&gt;1,"Duplicate Order ID; ","")&amp;IF(C289="","Missing Customer ID; ","")&amp;IF(OR(D289="",ISERROR(SEARCH("@",D289)),ISERROR(SEARCH(".",D289))),"Invalid Email; ","")&amp;IF(COUNTIF(Lookups!$A$2:$A$11,E289)=0,"Unknown Product; ","")&amp;IF(F289="","Missing Product Name; ","")&amp;IF(H289="","Missing Region; ","")&amp;IF(K289&lt;=0,"Invalid Quantity; ","")&amp;IF(L289&lt;0,"Invalid Price; ","")&amp;IF(M289&lt;0,"Invalid Cost; ","")&amp;IF(OR(N289&lt;0,N289&gt;0.5),"Invalid Discount; ","")&amp;IF(COUNTIF(Lookups!$K$2:$K$4,P289)=0,"Invalid Status; ","")</f>
        <v/>
      </c>
      <c r="X289" s="15" t="str">
        <f t="shared" si="49"/>
        <v>2025-03</v>
      </c>
      <c r="Y289" t="str">
        <f t="shared" si="50"/>
        <v>Q1</v>
      </c>
      <c r="Z289" t="str">
        <f>IF(R289&gt;=Settings!$B$9,"High Value Customer",IF(R289&gt;=Settings!$B$10,"Medium Value Customer","Standard Customer"))</f>
        <v>High Value Customer</v>
      </c>
      <c r="AA289" t="str">
        <f>IF(R289&gt;=Settings!$B$9,"Large Order",IF(R289&gt;=Settings!$B$10,"Medium Order","Small Order"))</f>
        <v>Large Order</v>
      </c>
      <c r="AB289" t="str">
        <f>IF(N289=0,"No Discount",IF(N289&lt;=0.1,"Low Discount",IF(N289&lt;=Settings!$B$8,"Medium Discount","High Discount")))</f>
        <v>Low Discount</v>
      </c>
      <c r="AC289" t="str">
        <f t="shared" si="51"/>
        <v>Profitable</v>
      </c>
      <c r="AD289" t="str">
        <f>IFERROR(VLOOKUP(E289,Lookups!$A$2:$E$11,2,FALSE),"Product Not Found")</f>
        <v>Standing Desk</v>
      </c>
      <c r="AE289" t="str">
        <f>IFERROR(VLOOKUP(E289,Lookups!$A$2:$E$11,3,FALSE),"Category Not Found")</f>
        <v>Furniture</v>
      </c>
      <c r="AF289" t="str">
        <f>IFERROR(IF(L289=VLOOKUP(E289,Lookups!$A$2:$E$11,4,FALSE),"Price OK","Price Mismatch"),"Product Missing")</f>
        <v>Price OK</v>
      </c>
      <c r="AG289" t="str">
        <f t="shared" si="52"/>
        <v>Valid Email</v>
      </c>
      <c r="AH289" t="str">
        <f t="shared" si="53"/>
        <v>READY FOR REPORTING</v>
      </c>
      <c r="AI289" t="str">
        <f>IF(AND(LEFT(A289,LEN(Settings!$B$13))=Settings!$B$13,LEN(A289)=9),"Valid Format","Invalid Format")</f>
        <v>Valid Format</v>
      </c>
      <c r="AJ289" t="str">
        <f>IF(LEFT(C289,LEN(Settings!$B$14))=Settings!$B$14,"Valid Format","Invalid Format")</f>
        <v>Valid Format</v>
      </c>
      <c r="AK289" t="str">
        <f>IF(COUNTIF(Master_Data!$G$5:$G$14,C289)=1,"Known Customer","Customer Not in Master")</f>
        <v>Customer Not in Master</v>
      </c>
      <c r="AL289" t="str">
        <f>IF(U289&gt;=Settings!$B$11,"Target Met","Below Target")</f>
        <v>Target Met</v>
      </c>
      <c r="AM289" t="str">
        <f>IF(YEAR(B289)=Settings!$B$5,"Correct Year","Wrong Year")</f>
        <v>Correct Year</v>
      </c>
      <c r="AN289">
        <f t="shared" si="54"/>
        <v>4</v>
      </c>
    </row>
    <row r="290" spans="1:40">
      <c r="A290" t="str">
        <f>Raw_Data!A290</f>
        <v>ORD-10289</v>
      </c>
      <c r="B290" s="13">
        <f>Raw_Data!B290</f>
        <v>45887</v>
      </c>
      <c r="C290" t="str">
        <f>Raw_Data!C290</f>
        <v>C1052</v>
      </c>
      <c r="D290" t="str">
        <f>Raw_Data!D290</f>
        <v>client137@example.com</v>
      </c>
      <c r="E290" t="str">
        <f>Raw_Data!E290</f>
        <v>P1002</v>
      </c>
      <c r="F290" t="str">
        <f>Raw_Data!F290</f>
        <v>Wireless Mouse</v>
      </c>
      <c r="G290" t="str">
        <f>Raw_Data!G290</f>
        <v>Accessories</v>
      </c>
      <c r="H290" t="str">
        <f>Raw_Data!H290</f>
        <v>West</v>
      </c>
      <c r="I290" t="str">
        <f>Raw_Data!I290</f>
        <v>Marketplace</v>
      </c>
      <c r="J290" t="str">
        <f>Raw_Data!J290</f>
        <v>Mihai Radu</v>
      </c>
      <c r="K290">
        <f>Raw_Data!K290</f>
        <v>10</v>
      </c>
      <c r="L290" s="12">
        <f>Raw_Data!L290</f>
        <v>85</v>
      </c>
      <c r="M290" s="12">
        <f>Raw_Data!M290</f>
        <v>44</v>
      </c>
      <c r="N290" s="14">
        <f>Raw_Data!N290</f>
        <v>0.1</v>
      </c>
      <c r="O290" t="str">
        <f>Raw_Data!O290</f>
        <v>Card</v>
      </c>
      <c r="P290" t="str">
        <f>Raw_Data!P290</f>
        <v>Returned</v>
      </c>
      <c r="Q290" s="12">
        <f t="shared" si="44"/>
        <v>850</v>
      </c>
      <c r="R290" s="12">
        <f t="shared" si="45"/>
        <v>765</v>
      </c>
      <c r="S290" s="12">
        <f t="shared" si="46"/>
        <v>440</v>
      </c>
      <c r="T290" s="12">
        <f t="shared" si="47"/>
        <v>325</v>
      </c>
      <c r="U290" s="11">
        <f t="shared" si="48"/>
        <v>0.42483660130718953</v>
      </c>
      <c r="V290" t="str">
        <f>IF(OR(A290="",COUNTIF($A$2:$A$301,A290)&gt;1,C290="",D290="",ISERROR(SEARCH("@",D290)),ISERROR(SEARCH(".",D290)),COUNTIF(Lookups!$A$2:$A$11,E290)=0,F290="",H290="",K290&lt;=0,L290&lt;0,M290&lt;0,N290&lt;0,N290&gt;0.5,COUNTIF(Lookups!$K$2:$K$4,P290)=0),"ERROR","VALID")</f>
        <v>VALID</v>
      </c>
      <c r="W290" s="2" t="str">
        <f>IF(A290="","Missing Order ID; ","")&amp;IF(COUNTIF($A$2:$A$301,A290)&gt;1,"Duplicate Order ID; ","")&amp;IF(C290="","Missing Customer ID; ","")&amp;IF(OR(D290="",ISERROR(SEARCH("@",D290)),ISERROR(SEARCH(".",D290))),"Invalid Email; ","")&amp;IF(COUNTIF(Lookups!$A$2:$A$11,E290)=0,"Unknown Product; ","")&amp;IF(F290="","Missing Product Name; ","")&amp;IF(H290="","Missing Region; ","")&amp;IF(K290&lt;=0,"Invalid Quantity; ","")&amp;IF(L290&lt;0,"Invalid Price; ","")&amp;IF(M290&lt;0,"Invalid Cost; ","")&amp;IF(OR(N290&lt;0,N290&gt;0.5),"Invalid Discount; ","")&amp;IF(COUNTIF(Lookups!$K$2:$K$4,P290)=0,"Invalid Status; ","")</f>
        <v/>
      </c>
      <c r="X290" s="15" t="str">
        <f t="shared" si="49"/>
        <v>2025-08</v>
      </c>
      <c r="Y290" t="str">
        <f t="shared" si="50"/>
        <v>Q3</v>
      </c>
      <c r="Z290" t="str">
        <f>IF(R290&gt;=Settings!$B$9,"High Value Customer",IF(R290&gt;=Settings!$B$10,"Medium Value Customer","Standard Customer"))</f>
        <v>Standard Customer</v>
      </c>
      <c r="AA290" t="str">
        <f>IF(R290&gt;=Settings!$B$9,"Large Order",IF(R290&gt;=Settings!$B$10,"Medium Order","Small Order"))</f>
        <v>Small Order</v>
      </c>
      <c r="AB290" t="str">
        <f>IF(N290=0,"No Discount",IF(N290&lt;=0.1,"Low Discount",IF(N290&lt;=Settings!$B$8,"Medium Discount","High Discount")))</f>
        <v>Low Discount</v>
      </c>
      <c r="AC290" t="str">
        <f t="shared" si="51"/>
        <v>Profitable</v>
      </c>
      <c r="AD290" t="str">
        <f>IFERROR(VLOOKUP(E290,Lookups!$A$2:$E$11,2,FALSE),"Product Not Found")</f>
        <v>Wireless Mouse</v>
      </c>
      <c r="AE290" t="str">
        <f>IFERROR(VLOOKUP(E290,Lookups!$A$2:$E$11,3,FALSE),"Category Not Found")</f>
        <v>Accessories</v>
      </c>
      <c r="AF290" t="str">
        <f>IFERROR(IF(L290=VLOOKUP(E290,Lookups!$A$2:$E$11,4,FALSE),"Price OK","Price Mismatch"),"Product Missing")</f>
        <v>Price OK</v>
      </c>
      <c r="AG290" t="str">
        <f t="shared" si="52"/>
        <v>Valid Email</v>
      </c>
      <c r="AH290" t="str">
        <f t="shared" si="53"/>
        <v>READY FOR REPORTING</v>
      </c>
      <c r="AI290" t="str">
        <f>IF(AND(LEFT(A290,LEN(Settings!$B$13))=Settings!$B$13,LEN(A290)=9),"Valid Format","Invalid Format")</f>
        <v>Valid Format</v>
      </c>
      <c r="AJ290" t="str">
        <f>IF(LEFT(C290,LEN(Settings!$B$14))=Settings!$B$14,"Valid Format","Invalid Format")</f>
        <v>Valid Format</v>
      </c>
      <c r="AK290" t="str">
        <f>IF(COUNTIF(Master_Data!$G$5:$G$14,C290)=1,"Known Customer","Customer Not in Master")</f>
        <v>Customer Not in Master</v>
      </c>
      <c r="AL290" t="str">
        <f>IF(U290&gt;=Settings!$B$11,"Target Met","Below Target")</f>
        <v>Target Met</v>
      </c>
      <c r="AM290" t="str">
        <f>IF(YEAR(B290)=Settings!$B$5,"Correct Year","Wrong Year")</f>
        <v>Correct Year</v>
      </c>
      <c r="AN290">
        <f t="shared" si="54"/>
        <v>4</v>
      </c>
    </row>
    <row r="291" spans="1:40">
      <c r="A291" t="str">
        <f>Raw_Data!A291</f>
        <v>ORD-10290</v>
      </c>
      <c r="B291" s="13">
        <f>Raw_Data!B291</f>
        <v>46017</v>
      </c>
      <c r="C291" t="str">
        <f>Raw_Data!C291</f>
        <v>C1118</v>
      </c>
      <c r="D291" t="str">
        <f>Raw_Data!D291</f>
        <v>client22@example.com</v>
      </c>
      <c r="E291" t="str">
        <f>Raw_Data!E291</f>
        <v>P1006</v>
      </c>
      <c r="F291" t="str">
        <f>Raw_Data!F291</f>
        <v>27-inch Monitor</v>
      </c>
      <c r="G291" t="str">
        <f>Raw_Data!G291</f>
        <v>Electronics</v>
      </c>
      <c r="H291" t="str">
        <f>Raw_Data!H291</f>
        <v>Bucharest</v>
      </c>
      <c r="I291" t="str">
        <f>Raw_Data!I291</f>
        <v>Online</v>
      </c>
      <c r="J291" t="str">
        <f>Raw_Data!J291</f>
        <v>Elena Stan</v>
      </c>
      <c r="K291">
        <f>Raw_Data!K291</f>
        <v>9</v>
      </c>
      <c r="L291" s="12">
        <f>Raw_Data!L291</f>
        <v>1090</v>
      </c>
      <c r="M291" s="12">
        <f>Raw_Data!M291</f>
        <v>790</v>
      </c>
      <c r="N291" s="14">
        <f>Raw_Data!N291</f>
        <v>0.15</v>
      </c>
      <c r="O291" t="str">
        <f>Raw_Data!O291</f>
        <v>Bank Transfer</v>
      </c>
      <c r="P291" t="str">
        <f>Raw_Data!P291</f>
        <v>Cancelled</v>
      </c>
      <c r="Q291" s="12">
        <f t="shared" si="44"/>
        <v>9810</v>
      </c>
      <c r="R291" s="12">
        <f t="shared" si="45"/>
        <v>8338.5</v>
      </c>
      <c r="S291" s="12">
        <f t="shared" si="46"/>
        <v>7110</v>
      </c>
      <c r="T291" s="12">
        <f t="shared" si="47"/>
        <v>1228.5</v>
      </c>
      <c r="U291" s="11">
        <f t="shared" si="48"/>
        <v>0.14732865623313546</v>
      </c>
      <c r="V291" t="str">
        <f>IF(OR(A291="",COUNTIF($A$2:$A$301,A291)&gt;1,C291="",D291="",ISERROR(SEARCH("@",D291)),ISERROR(SEARCH(".",D291)),COUNTIF(Lookups!$A$2:$A$11,E291)=0,F291="",H291="",K291&lt;=0,L291&lt;0,M291&lt;0,N291&lt;0,N291&gt;0.5,COUNTIF(Lookups!$K$2:$K$4,P291)=0),"ERROR","VALID")</f>
        <v>VALID</v>
      </c>
      <c r="W291" s="2" t="str">
        <f>IF(A291="","Missing Order ID; ","")&amp;IF(COUNTIF($A$2:$A$301,A291)&gt;1,"Duplicate Order ID; ","")&amp;IF(C291="","Missing Customer ID; ","")&amp;IF(OR(D291="",ISERROR(SEARCH("@",D291)),ISERROR(SEARCH(".",D291))),"Invalid Email; ","")&amp;IF(COUNTIF(Lookups!$A$2:$A$11,E291)=0,"Unknown Product; ","")&amp;IF(F291="","Missing Product Name; ","")&amp;IF(H291="","Missing Region; ","")&amp;IF(K291&lt;=0,"Invalid Quantity; ","")&amp;IF(L291&lt;0,"Invalid Price; ","")&amp;IF(M291&lt;0,"Invalid Cost; ","")&amp;IF(OR(N291&lt;0,N291&gt;0.5),"Invalid Discount; ","")&amp;IF(COUNTIF(Lookups!$K$2:$K$4,P291)=0,"Invalid Status; ","")</f>
        <v/>
      </c>
      <c r="X291" s="15" t="str">
        <f t="shared" si="49"/>
        <v>2025-12</v>
      </c>
      <c r="Y291" t="str">
        <f t="shared" si="50"/>
        <v>Q4</v>
      </c>
      <c r="Z291" t="str">
        <f>IF(R291&gt;=Settings!$B$9,"High Value Customer",IF(R291&gt;=Settings!$B$10,"Medium Value Customer","Standard Customer"))</f>
        <v>High Value Customer</v>
      </c>
      <c r="AA291" t="str">
        <f>IF(R291&gt;=Settings!$B$9,"Large Order",IF(R291&gt;=Settings!$B$10,"Medium Order","Small Order"))</f>
        <v>Large Order</v>
      </c>
      <c r="AB291" t="str">
        <f>IF(N291=0,"No Discount",IF(N291&lt;=0.1,"Low Discount",IF(N291&lt;=Settings!$B$8,"Medium Discount","High Discount")))</f>
        <v>Medium Discount</v>
      </c>
      <c r="AC291" t="str">
        <f t="shared" si="51"/>
        <v>Profitable</v>
      </c>
      <c r="AD291" t="str">
        <f>IFERROR(VLOOKUP(E291,Lookups!$A$2:$E$11,2,FALSE),"Product Not Found")</f>
        <v>27-inch Monitor</v>
      </c>
      <c r="AE291" t="str">
        <f>IFERROR(VLOOKUP(E291,Lookups!$A$2:$E$11,3,FALSE),"Category Not Found")</f>
        <v>Electronics</v>
      </c>
      <c r="AF291" t="str">
        <f>IFERROR(IF(L291=VLOOKUP(E291,Lookups!$A$2:$E$11,4,FALSE),"Price OK","Price Mismatch"),"Product Missing")</f>
        <v>Price OK</v>
      </c>
      <c r="AG291" t="str">
        <f t="shared" si="52"/>
        <v>Valid Email</v>
      </c>
      <c r="AH291" t="str">
        <f t="shared" si="53"/>
        <v>READY FOR REPORTING</v>
      </c>
      <c r="AI291" t="str">
        <f>IF(AND(LEFT(A291,LEN(Settings!$B$13))=Settings!$B$13,LEN(A291)=9),"Valid Format","Invalid Format")</f>
        <v>Valid Format</v>
      </c>
      <c r="AJ291" t="str">
        <f>IF(LEFT(C291,LEN(Settings!$B$14))=Settings!$B$14,"Valid Format","Invalid Format")</f>
        <v>Valid Format</v>
      </c>
      <c r="AK291" t="str">
        <f>IF(COUNTIF(Master_Data!$G$5:$G$14,C291)=1,"Known Customer","Customer Not in Master")</f>
        <v>Customer Not in Master</v>
      </c>
      <c r="AL291" t="str">
        <f>IF(U291&gt;=Settings!$B$11,"Target Met","Below Target")</f>
        <v>Below Target</v>
      </c>
      <c r="AM291" t="str">
        <f>IF(YEAR(B291)=Settings!$B$5,"Correct Year","Wrong Year")</f>
        <v>Correct Year</v>
      </c>
      <c r="AN291">
        <f t="shared" si="54"/>
        <v>3</v>
      </c>
    </row>
    <row r="292" spans="1:40">
      <c r="A292" t="str">
        <f>Raw_Data!A292</f>
        <v>ORD-10291</v>
      </c>
      <c r="B292" s="13">
        <f>Raw_Data!B292</f>
        <v>45680</v>
      </c>
      <c r="C292" t="str">
        <f>Raw_Data!C292</f>
        <v>C1083</v>
      </c>
      <c r="D292" t="str">
        <f>Raw_Data!D292</f>
        <v>client103@example.com</v>
      </c>
      <c r="E292" t="str">
        <f>Raw_Data!E292</f>
        <v>P1010</v>
      </c>
      <c r="F292" t="str">
        <f>Raw_Data!F292</f>
        <v>Headset</v>
      </c>
      <c r="G292" t="str">
        <f>Raw_Data!G292</f>
        <v>Electronics</v>
      </c>
      <c r="H292" t="str">
        <f>Raw_Data!H292</f>
        <v>South</v>
      </c>
      <c r="I292" t="str">
        <f>Raw_Data!I292</f>
        <v>Store</v>
      </c>
      <c r="J292" t="str">
        <f>Raw_Data!J292</f>
        <v>Andrei Pop</v>
      </c>
      <c r="K292">
        <f>Raw_Data!K292</f>
        <v>10</v>
      </c>
      <c r="L292" s="12">
        <f>Raw_Data!L292</f>
        <v>195</v>
      </c>
      <c r="M292" s="12">
        <f>Raw_Data!M292</f>
        <v>105</v>
      </c>
      <c r="N292" s="14">
        <f>Raw_Data!N292</f>
        <v>0.2</v>
      </c>
      <c r="O292" t="str">
        <f>Raw_Data!O292</f>
        <v>Card</v>
      </c>
      <c r="P292" t="str">
        <f>Raw_Data!P292</f>
        <v>Cancelled</v>
      </c>
      <c r="Q292" s="12">
        <f t="shared" si="44"/>
        <v>1950</v>
      </c>
      <c r="R292" s="12">
        <f t="shared" si="45"/>
        <v>1560</v>
      </c>
      <c r="S292" s="12">
        <f t="shared" si="46"/>
        <v>1050</v>
      </c>
      <c r="T292" s="12">
        <f t="shared" si="47"/>
        <v>510</v>
      </c>
      <c r="U292" s="11">
        <f t="shared" si="48"/>
        <v>0.32692307692307693</v>
      </c>
      <c r="V292" t="str">
        <f>IF(OR(A292="",COUNTIF($A$2:$A$301,A292)&gt;1,C292="",D292="",ISERROR(SEARCH("@",D292)),ISERROR(SEARCH(".",D292)),COUNTIF(Lookups!$A$2:$A$11,E292)=0,F292="",H292="",K292&lt;=0,L292&lt;0,M292&lt;0,N292&lt;0,N292&gt;0.5,COUNTIF(Lookups!$K$2:$K$4,P292)=0),"ERROR","VALID")</f>
        <v>VALID</v>
      </c>
      <c r="W292" s="2" t="str">
        <f>IF(A292="","Missing Order ID; ","")&amp;IF(COUNTIF($A$2:$A$301,A292)&gt;1,"Duplicate Order ID; ","")&amp;IF(C292="","Missing Customer ID; ","")&amp;IF(OR(D292="",ISERROR(SEARCH("@",D292)),ISERROR(SEARCH(".",D292))),"Invalid Email; ","")&amp;IF(COUNTIF(Lookups!$A$2:$A$11,E292)=0,"Unknown Product; ","")&amp;IF(F292="","Missing Product Name; ","")&amp;IF(H292="","Missing Region; ","")&amp;IF(K292&lt;=0,"Invalid Quantity; ","")&amp;IF(L292&lt;0,"Invalid Price; ","")&amp;IF(M292&lt;0,"Invalid Cost; ","")&amp;IF(OR(N292&lt;0,N292&gt;0.5),"Invalid Discount; ","")&amp;IF(COUNTIF(Lookups!$K$2:$K$4,P292)=0,"Invalid Status; ","")</f>
        <v/>
      </c>
      <c r="X292" s="15" t="str">
        <f t="shared" si="49"/>
        <v>2025-01</v>
      </c>
      <c r="Y292" t="str">
        <f t="shared" si="50"/>
        <v>Q1</v>
      </c>
      <c r="Z292" t="str">
        <f>IF(R292&gt;=Settings!$B$9,"High Value Customer",IF(R292&gt;=Settings!$B$10,"Medium Value Customer","Standard Customer"))</f>
        <v>Standard Customer</v>
      </c>
      <c r="AA292" t="str">
        <f>IF(R292&gt;=Settings!$B$9,"Large Order",IF(R292&gt;=Settings!$B$10,"Medium Order","Small Order"))</f>
        <v>Small Order</v>
      </c>
      <c r="AB292" t="str">
        <f>IF(N292=0,"No Discount",IF(N292&lt;=0.1,"Low Discount",IF(N292&lt;=Settings!$B$8,"Medium Discount","High Discount")))</f>
        <v>Medium Discount</v>
      </c>
      <c r="AC292" t="str">
        <f t="shared" si="51"/>
        <v>Profitable</v>
      </c>
      <c r="AD292" t="str">
        <f>IFERROR(VLOOKUP(E292,Lookups!$A$2:$E$11,2,FALSE),"Product Not Found")</f>
        <v>Headset</v>
      </c>
      <c r="AE292" t="str">
        <f>IFERROR(VLOOKUP(E292,Lookups!$A$2:$E$11,3,FALSE),"Category Not Found")</f>
        <v>Electronics</v>
      </c>
      <c r="AF292" t="str">
        <f>IFERROR(IF(L292=VLOOKUP(E292,Lookups!$A$2:$E$11,4,FALSE),"Price OK","Price Mismatch"),"Product Missing")</f>
        <v>Price OK</v>
      </c>
      <c r="AG292" t="str">
        <f t="shared" si="52"/>
        <v>Valid Email</v>
      </c>
      <c r="AH292" t="str">
        <f t="shared" si="53"/>
        <v>READY FOR REPORTING</v>
      </c>
      <c r="AI292" t="str">
        <f>IF(AND(LEFT(A292,LEN(Settings!$B$13))=Settings!$B$13,LEN(A292)=9),"Valid Format","Invalid Format")</f>
        <v>Valid Format</v>
      </c>
      <c r="AJ292" t="str">
        <f>IF(LEFT(C292,LEN(Settings!$B$14))=Settings!$B$14,"Valid Format","Invalid Format")</f>
        <v>Valid Format</v>
      </c>
      <c r="AK292" t="str">
        <f>IF(COUNTIF(Master_Data!$G$5:$G$14,C292)=1,"Known Customer","Customer Not in Master")</f>
        <v>Customer Not in Master</v>
      </c>
      <c r="AL292" t="str">
        <f>IF(U292&gt;=Settings!$B$11,"Target Met","Below Target")</f>
        <v>Target Met</v>
      </c>
      <c r="AM292" t="str">
        <f>IF(YEAR(B292)=Settings!$B$5,"Correct Year","Wrong Year")</f>
        <v>Correct Year</v>
      </c>
      <c r="AN292">
        <f t="shared" si="54"/>
        <v>4</v>
      </c>
    </row>
    <row r="293" spans="1:40">
      <c r="A293" t="str">
        <f>Raw_Data!A293</f>
        <v>ORD-10292</v>
      </c>
      <c r="B293" s="13">
        <f>Raw_Data!B293</f>
        <v>45790</v>
      </c>
      <c r="C293" t="str">
        <f>Raw_Data!C293</f>
        <v>C1067</v>
      </c>
      <c r="D293" t="str">
        <f>Raw_Data!D293</f>
        <v>client143@example.com</v>
      </c>
      <c r="E293" t="str">
        <f>Raw_Data!E293</f>
        <v>P1002</v>
      </c>
      <c r="F293" t="str">
        <f>Raw_Data!F293</f>
        <v>Wireless Mouse</v>
      </c>
      <c r="G293" t="str">
        <f>Raw_Data!G293</f>
        <v>Accessories</v>
      </c>
      <c r="H293" t="str">
        <f>Raw_Data!H293</f>
        <v>West</v>
      </c>
      <c r="I293" t="str">
        <f>Raw_Data!I293</f>
        <v>Marketplace</v>
      </c>
      <c r="J293" t="str">
        <f>Raw_Data!J293</f>
        <v>Ioana Pavel</v>
      </c>
      <c r="K293">
        <f>Raw_Data!K293</f>
        <v>4</v>
      </c>
      <c r="L293" s="12">
        <f>Raw_Data!L293</f>
        <v>85</v>
      </c>
      <c r="M293" s="12">
        <f>Raw_Data!M293</f>
        <v>44</v>
      </c>
      <c r="N293" s="14">
        <f>Raw_Data!N293</f>
        <v>0.15</v>
      </c>
      <c r="O293" t="str">
        <f>Raw_Data!O293</f>
        <v>Bank Transfer</v>
      </c>
      <c r="P293" t="str">
        <f>Raw_Data!P293</f>
        <v>Cancelled</v>
      </c>
      <c r="Q293" s="12">
        <f t="shared" si="44"/>
        <v>340</v>
      </c>
      <c r="R293" s="12">
        <f t="shared" si="45"/>
        <v>289</v>
      </c>
      <c r="S293" s="12">
        <f t="shared" si="46"/>
        <v>176</v>
      </c>
      <c r="T293" s="12">
        <f t="shared" si="47"/>
        <v>113</v>
      </c>
      <c r="U293" s="11">
        <f t="shared" si="48"/>
        <v>0.39100346020761245</v>
      </c>
      <c r="V293" t="str">
        <f>IF(OR(A293="",COUNTIF($A$2:$A$301,A293)&gt;1,C293="",D293="",ISERROR(SEARCH("@",D293)),ISERROR(SEARCH(".",D293)),COUNTIF(Lookups!$A$2:$A$11,E293)=0,F293="",H293="",K293&lt;=0,L293&lt;0,M293&lt;0,N293&lt;0,N293&gt;0.5,COUNTIF(Lookups!$K$2:$K$4,P293)=0),"ERROR","VALID")</f>
        <v>VALID</v>
      </c>
      <c r="W293" s="2" t="str">
        <f>IF(A293="","Missing Order ID; ","")&amp;IF(COUNTIF($A$2:$A$301,A293)&gt;1,"Duplicate Order ID; ","")&amp;IF(C293="","Missing Customer ID; ","")&amp;IF(OR(D293="",ISERROR(SEARCH("@",D293)),ISERROR(SEARCH(".",D293))),"Invalid Email; ","")&amp;IF(COUNTIF(Lookups!$A$2:$A$11,E293)=0,"Unknown Product; ","")&amp;IF(F293="","Missing Product Name; ","")&amp;IF(H293="","Missing Region; ","")&amp;IF(K293&lt;=0,"Invalid Quantity; ","")&amp;IF(L293&lt;0,"Invalid Price; ","")&amp;IF(M293&lt;0,"Invalid Cost; ","")&amp;IF(OR(N293&lt;0,N293&gt;0.5),"Invalid Discount; ","")&amp;IF(COUNTIF(Lookups!$K$2:$K$4,P293)=0,"Invalid Status; ","")</f>
        <v/>
      </c>
      <c r="X293" s="15" t="str">
        <f t="shared" si="49"/>
        <v>2025-05</v>
      </c>
      <c r="Y293" t="str">
        <f t="shared" si="50"/>
        <v>Q2</v>
      </c>
      <c r="Z293" t="str">
        <f>IF(R293&gt;=Settings!$B$9,"High Value Customer",IF(R293&gt;=Settings!$B$10,"Medium Value Customer","Standard Customer"))</f>
        <v>Standard Customer</v>
      </c>
      <c r="AA293" t="str">
        <f>IF(R293&gt;=Settings!$B$9,"Large Order",IF(R293&gt;=Settings!$B$10,"Medium Order","Small Order"))</f>
        <v>Small Order</v>
      </c>
      <c r="AB293" t="str">
        <f>IF(N293=0,"No Discount",IF(N293&lt;=0.1,"Low Discount",IF(N293&lt;=Settings!$B$8,"Medium Discount","High Discount")))</f>
        <v>Medium Discount</v>
      </c>
      <c r="AC293" t="str">
        <f t="shared" si="51"/>
        <v>Profitable</v>
      </c>
      <c r="AD293" t="str">
        <f>IFERROR(VLOOKUP(E293,Lookups!$A$2:$E$11,2,FALSE),"Product Not Found")</f>
        <v>Wireless Mouse</v>
      </c>
      <c r="AE293" t="str">
        <f>IFERROR(VLOOKUP(E293,Lookups!$A$2:$E$11,3,FALSE),"Category Not Found")</f>
        <v>Accessories</v>
      </c>
      <c r="AF293" t="str">
        <f>IFERROR(IF(L293=VLOOKUP(E293,Lookups!$A$2:$E$11,4,FALSE),"Price OK","Price Mismatch"),"Product Missing")</f>
        <v>Price OK</v>
      </c>
      <c r="AG293" t="str">
        <f t="shared" si="52"/>
        <v>Valid Email</v>
      </c>
      <c r="AH293" t="str">
        <f t="shared" si="53"/>
        <v>READY FOR REPORTING</v>
      </c>
      <c r="AI293" t="str">
        <f>IF(AND(LEFT(A293,LEN(Settings!$B$13))=Settings!$B$13,LEN(A293)=9),"Valid Format","Invalid Format")</f>
        <v>Valid Format</v>
      </c>
      <c r="AJ293" t="str">
        <f>IF(LEFT(C293,LEN(Settings!$B$14))=Settings!$B$14,"Valid Format","Invalid Format")</f>
        <v>Valid Format</v>
      </c>
      <c r="AK293" t="str">
        <f>IF(COUNTIF(Master_Data!$G$5:$G$14,C293)=1,"Known Customer","Customer Not in Master")</f>
        <v>Customer Not in Master</v>
      </c>
      <c r="AL293" t="str">
        <f>IF(U293&gt;=Settings!$B$11,"Target Met","Below Target")</f>
        <v>Target Met</v>
      </c>
      <c r="AM293" t="str">
        <f>IF(YEAR(B293)=Settings!$B$5,"Correct Year","Wrong Year")</f>
        <v>Correct Year</v>
      </c>
      <c r="AN293">
        <f t="shared" si="54"/>
        <v>4</v>
      </c>
    </row>
    <row r="294" spans="1:40">
      <c r="A294" t="str">
        <f>Raw_Data!A294</f>
        <v>ORD-10293</v>
      </c>
      <c r="B294" s="13">
        <f>Raw_Data!B294</f>
        <v>45849</v>
      </c>
      <c r="C294" t="str">
        <f>Raw_Data!C294</f>
        <v>C1076</v>
      </c>
      <c r="D294" t="str">
        <f>Raw_Data!D294</f>
        <v>client177@example.com</v>
      </c>
      <c r="E294" t="str">
        <f>Raw_Data!E294</f>
        <v>P1008</v>
      </c>
      <c r="F294" t="str">
        <f>Raw_Data!F294</f>
        <v>Standing Desk</v>
      </c>
      <c r="G294" t="str">
        <f>Raw_Data!G294</f>
        <v>Furniture</v>
      </c>
      <c r="H294" t="str">
        <f>Raw_Data!H294</f>
        <v>West</v>
      </c>
      <c r="I294" t="str">
        <f>Raw_Data!I294</f>
        <v>Online</v>
      </c>
      <c r="J294" t="str">
        <f>Raw_Data!J294</f>
        <v>Elena Stan</v>
      </c>
      <c r="K294">
        <f>Raw_Data!K294</f>
        <v>7</v>
      </c>
      <c r="L294" s="12">
        <f>Raw_Data!L294</f>
        <v>1450</v>
      </c>
      <c r="M294" s="12">
        <f>Raw_Data!M294</f>
        <v>1030</v>
      </c>
      <c r="N294" s="14">
        <f>Raw_Data!N294</f>
        <v>0.1</v>
      </c>
      <c r="O294" t="str">
        <f>Raw_Data!O294</f>
        <v>Card</v>
      </c>
      <c r="P294" t="str">
        <f>Raw_Data!P294</f>
        <v>Cancelled</v>
      </c>
      <c r="Q294" s="12">
        <f t="shared" si="44"/>
        <v>10150</v>
      </c>
      <c r="R294" s="12">
        <f t="shared" si="45"/>
        <v>9135</v>
      </c>
      <c r="S294" s="12">
        <f t="shared" si="46"/>
        <v>7210</v>
      </c>
      <c r="T294" s="12">
        <f t="shared" si="47"/>
        <v>1925</v>
      </c>
      <c r="U294" s="11">
        <f t="shared" si="48"/>
        <v>0.21072796934865901</v>
      </c>
      <c r="V294" t="str">
        <f>IF(OR(A294="",COUNTIF($A$2:$A$301,A294)&gt;1,C294="",D294="",ISERROR(SEARCH("@",D294)),ISERROR(SEARCH(".",D294)),COUNTIF(Lookups!$A$2:$A$11,E294)=0,F294="",H294="",K294&lt;=0,L294&lt;0,M294&lt;0,N294&lt;0,N294&gt;0.5,COUNTIF(Lookups!$K$2:$K$4,P294)=0),"ERROR","VALID")</f>
        <v>VALID</v>
      </c>
      <c r="W294" s="2" t="str">
        <f>IF(A294="","Missing Order ID; ","")&amp;IF(COUNTIF($A$2:$A$301,A294)&gt;1,"Duplicate Order ID; ","")&amp;IF(C294="","Missing Customer ID; ","")&amp;IF(OR(D294="",ISERROR(SEARCH("@",D294)),ISERROR(SEARCH(".",D294))),"Invalid Email; ","")&amp;IF(COUNTIF(Lookups!$A$2:$A$11,E294)=0,"Unknown Product; ","")&amp;IF(F294="","Missing Product Name; ","")&amp;IF(H294="","Missing Region; ","")&amp;IF(K294&lt;=0,"Invalid Quantity; ","")&amp;IF(L294&lt;0,"Invalid Price; ","")&amp;IF(M294&lt;0,"Invalid Cost; ","")&amp;IF(OR(N294&lt;0,N294&gt;0.5),"Invalid Discount; ","")&amp;IF(COUNTIF(Lookups!$K$2:$K$4,P294)=0,"Invalid Status; ","")</f>
        <v/>
      </c>
      <c r="X294" s="15" t="str">
        <f t="shared" si="49"/>
        <v>2025-07</v>
      </c>
      <c r="Y294" t="str">
        <f t="shared" si="50"/>
        <v>Q3</v>
      </c>
      <c r="Z294" t="str">
        <f>IF(R294&gt;=Settings!$B$9,"High Value Customer",IF(R294&gt;=Settings!$B$10,"Medium Value Customer","Standard Customer"))</f>
        <v>High Value Customer</v>
      </c>
      <c r="AA294" t="str">
        <f>IF(R294&gt;=Settings!$B$9,"Large Order",IF(R294&gt;=Settings!$B$10,"Medium Order","Small Order"))</f>
        <v>Large Order</v>
      </c>
      <c r="AB294" t="str">
        <f>IF(N294=0,"No Discount",IF(N294&lt;=0.1,"Low Discount",IF(N294&lt;=Settings!$B$8,"Medium Discount","High Discount")))</f>
        <v>Low Discount</v>
      </c>
      <c r="AC294" t="str">
        <f t="shared" si="51"/>
        <v>Profitable</v>
      </c>
      <c r="AD294" t="str">
        <f>IFERROR(VLOOKUP(E294,Lookups!$A$2:$E$11,2,FALSE),"Product Not Found")</f>
        <v>Standing Desk</v>
      </c>
      <c r="AE294" t="str">
        <f>IFERROR(VLOOKUP(E294,Lookups!$A$2:$E$11,3,FALSE),"Category Not Found")</f>
        <v>Furniture</v>
      </c>
      <c r="AF294" t="str">
        <f>IFERROR(IF(L294=VLOOKUP(E294,Lookups!$A$2:$E$11,4,FALSE),"Price OK","Price Mismatch"),"Product Missing")</f>
        <v>Price OK</v>
      </c>
      <c r="AG294" t="str">
        <f t="shared" si="52"/>
        <v>Valid Email</v>
      </c>
      <c r="AH294" t="str">
        <f t="shared" si="53"/>
        <v>READY FOR REPORTING</v>
      </c>
      <c r="AI294" t="str">
        <f>IF(AND(LEFT(A294,LEN(Settings!$B$13))=Settings!$B$13,LEN(A294)=9),"Valid Format","Invalid Format")</f>
        <v>Valid Format</v>
      </c>
      <c r="AJ294" t="str">
        <f>IF(LEFT(C294,LEN(Settings!$B$14))=Settings!$B$14,"Valid Format","Invalid Format")</f>
        <v>Valid Format</v>
      </c>
      <c r="AK294" t="str">
        <f>IF(COUNTIF(Master_Data!$G$5:$G$14,C294)=1,"Known Customer","Customer Not in Master")</f>
        <v>Customer Not in Master</v>
      </c>
      <c r="AL294" t="str">
        <f>IF(U294&gt;=Settings!$B$11,"Target Met","Below Target")</f>
        <v>Below Target</v>
      </c>
      <c r="AM294" t="str">
        <f>IF(YEAR(B294)=Settings!$B$5,"Correct Year","Wrong Year")</f>
        <v>Correct Year</v>
      </c>
      <c r="AN294">
        <f t="shared" si="54"/>
        <v>3</v>
      </c>
    </row>
    <row r="295" spans="1:40">
      <c r="A295" t="str">
        <f>Raw_Data!A295</f>
        <v>ORD-10294</v>
      </c>
      <c r="B295" s="13">
        <f>Raw_Data!B295</f>
        <v>45711</v>
      </c>
      <c r="C295" t="str">
        <f>Raw_Data!C295</f>
        <v>C1015</v>
      </c>
      <c r="D295" t="str">
        <f>Raw_Data!D295</f>
        <v>client37@example.com</v>
      </c>
      <c r="E295" t="str">
        <f>Raw_Data!E295</f>
        <v>P1008</v>
      </c>
      <c r="F295" t="str">
        <f>Raw_Data!F295</f>
        <v>Standing Desk</v>
      </c>
      <c r="G295" t="str">
        <f>Raw_Data!G295</f>
        <v>Furniture</v>
      </c>
      <c r="H295" t="str">
        <f>Raw_Data!H295</f>
        <v>South</v>
      </c>
      <c r="I295" t="str">
        <f>Raw_Data!I295</f>
        <v>Store</v>
      </c>
      <c r="J295" t="str">
        <f>Raw_Data!J295</f>
        <v>Elena Stan</v>
      </c>
      <c r="K295">
        <f>Raw_Data!K295</f>
        <v>5</v>
      </c>
      <c r="L295" s="12">
        <f>Raw_Data!L295</f>
        <v>1450</v>
      </c>
      <c r="M295" s="12">
        <f>Raw_Data!M295</f>
        <v>1030</v>
      </c>
      <c r="N295" s="14">
        <f>Raw_Data!N295</f>
        <v>0.1</v>
      </c>
      <c r="O295" t="str">
        <f>Raw_Data!O295</f>
        <v>Online Wallet</v>
      </c>
      <c r="P295" t="str">
        <f>Raw_Data!P295</f>
        <v>Completed</v>
      </c>
      <c r="Q295" s="12">
        <f t="shared" si="44"/>
        <v>7250</v>
      </c>
      <c r="R295" s="12">
        <f t="shared" si="45"/>
        <v>6525</v>
      </c>
      <c r="S295" s="12">
        <f t="shared" si="46"/>
        <v>5150</v>
      </c>
      <c r="T295" s="12">
        <f t="shared" si="47"/>
        <v>1375</v>
      </c>
      <c r="U295" s="11">
        <f t="shared" si="48"/>
        <v>0.21072796934865901</v>
      </c>
      <c r="V295" t="str">
        <f>IF(OR(A295="",COUNTIF($A$2:$A$301,A295)&gt;1,C295="",D295="",ISERROR(SEARCH("@",D295)),ISERROR(SEARCH(".",D295)),COUNTIF(Lookups!$A$2:$A$11,E295)=0,F295="",H295="",K295&lt;=0,L295&lt;0,M295&lt;0,N295&lt;0,N295&gt;0.5,COUNTIF(Lookups!$K$2:$K$4,P295)=0),"ERROR","VALID")</f>
        <v>VALID</v>
      </c>
      <c r="W295" s="2" t="str">
        <f>IF(A295="","Missing Order ID; ","")&amp;IF(COUNTIF($A$2:$A$301,A295)&gt;1,"Duplicate Order ID; ","")&amp;IF(C295="","Missing Customer ID; ","")&amp;IF(OR(D295="",ISERROR(SEARCH("@",D295)),ISERROR(SEARCH(".",D295))),"Invalid Email; ","")&amp;IF(COUNTIF(Lookups!$A$2:$A$11,E295)=0,"Unknown Product; ","")&amp;IF(F295="","Missing Product Name; ","")&amp;IF(H295="","Missing Region; ","")&amp;IF(K295&lt;=0,"Invalid Quantity; ","")&amp;IF(L295&lt;0,"Invalid Price; ","")&amp;IF(M295&lt;0,"Invalid Cost; ","")&amp;IF(OR(N295&lt;0,N295&gt;0.5),"Invalid Discount; ","")&amp;IF(COUNTIF(Lookups!$K$2:$K$4,P295)=0,"Invalid Status; ","")</f>
        <v/>
      </c>
      <c r="X295" s="15" t="str">
        <f t="shared" si="49"/>
        <v>2025-02</v>
      </c>
      <c r="Y295" t="str">
        <f t="shared" si="50"/>
        <v>Q1</v>
      </c>
      <c r="Z295" t="str">
        <f>IF(R295&gt;=Settings!$B$9,"High Value Customer",IF(R295&gt;=Settings!$B$10,"Medium Value Customer","Standard Customer"))</f>
        <v>High Value Customer</v>
      </c>
      <c r="AA295" t="str">
        <f>IF(R295&gt;=Settings!$B$9,"Large Order",IF(R295&gt;=Settings!$B$10,"Medium Order","Small Order"))</f>
        <v>Large Order</v>
      </c>
      <c r="AB295" t="str">
        <f>IF(N295=0,"No Discount",IF(N295&lt;=0.1,"Low Discount",IF(N295&lt;=Settings!$B$8,"Medium Discount","High Discount")))</f>
        <v>Low Discount</v>
      </c>
      <c r="AC295" t="str">
        <f t="shared" si="51"/>
        <v>Profitable</v>
      </c>
      <c r="AD295" t="str">
        <f>IFERROR(VLOOKUP(E295,Lookups!$A$2:$E$11,2,FALSE),"Product Not Found")</f>
        <v>Standing Desk</v>
      </c>
      <c r="AE295" t="str">
        <f>IFERROR(VLOOKUP(E295,Lookups!$A$2:$E$11,3,FALSE),"Category Not Found")</f>
        <v>Furniture</v>
      </c>
      <c r="AF295" t="str">
        <f>IFERROR(IF(L295=VLOOKUP(E295,Lookups!$A$2:$E$11,4,FALSE),"Price OK","Price Mismatch"),"Product Missing")</f>
        <v>Price OK</v>
      </c>
      <c r="AG295" t="str">
        <f t="shared" si="52"/>
        <v>Valid Email</v>
      </c>
      <c r="AH295" t="str">
        <f t="shared" si="53"/>
        <v>READY FOR REPORTING</v>
      </c>
      <c r="AI295" t="str">
        <f>IF(AND(LEFT(A295,LEN(Settings!$B$13))=Settings!$B$13,LEN(A295)=9),"Valid Format","Invalid Format")</f>
        <v>Valid Format</v>
      </c>
      <c r="AJ295" t="str">
        <f>IF(LEFT(C295,LEN(Settings!$B$14))=Settings!$B$14,"Valid Format","Invalid Format")</f>
        <v>Valid Format</v>
      </c>
      <c r="AK295" t="str">
        <f>IF(COUNTIF(Master_Data!$G$5:$G$14,C295)=1,"Known Customer","Customer Not in Master")</f>
        <v>Customer Not in Master</v>
      </c>
      <c r="AL295" t="str">
        <f>IF(U295&gt;=Settings!$B$11,"Target Met","Below Target")</f>
        <v>Below Target</v>
      </c>
      <c r="AM295" t="str">
        <f>IF(YEAR(B295)=Settings!$B$5,"Correct Year","Wrong Year")</f>
        <v>Correct Year</v>
      </c>
      <c r="AN295">
        <f t="shared" si="54"/>
        <v>3</v>
      </c>
    </row>
    <row r="296" spans="1:40">
      <c r="A296" t="str">
        <f>Raw_Data!A296</f>
        <v>ORD-10295</v>
      </c>
      <c r="B296" s="13">
        <f>Raw_Data!B296</f>
        <v>45924</v>
      </c>
      <c r="C296" t="str">
        <f>Raw_Data!C296</f>
        <v>C1013</v>
      </c>
      <c r="D296" t="str">
        <f>Raw_Data!D296</f>
        <v>client113@example.com</v>
      </c>
      <c r="E296" t="str">
        <f>Raw_Data!E296</f>
        <v>P1004</v>
      </c>
      <c r="F296" t="str">
        <f>Raw_Data!F296</f>
        <v>USB-C Hub</v>
      </c>
      <c r="G296" t="str">
        <f>Raw_Data!G296</f>
        <v>Accessories</v>
      </c>
      <c r="H296" t="str">
        <f>Raw_Data!H296</f>
        <v>East</v>
      </c>
      <c r="I296" t="str">
        <f>Raw_Data!I296</f>
        <v>Store</v>
      </c>
      <c r="J296" t="str">
        <f>Raw_Data!J296</f>
        <v>Andrei Pop</v>
      </c>
      <c r="K296">
        <f>Raw_Data!K296</f>
        <v>8</v>
      </c>
      <c r="L296" s="12">
        <f>Raw_Data!L296</f>
        <v>175</v>
      </c>
      <c r="M296" s="12">
        <f>Raw_Data!M296</f>
        <v>98</v>
      </c>
      <c r="N296" s="14">
        <f>Raw_Data!N296</f>
        <v>0.05</v>
      </c>
      <c r="O296" t="str">
        <f>Raw_Data!O296</f>
        <v>Cash</v>
      </c>
      <c r="P296" t="str">
        <f>Raw_Data!P296</f>
        <v>Completed</v>
      </c>
      <c r="Q296" s="12">
        <f t="shared" si="44"/>
        <v>1400</v>
      </c>
      <c r="R296" s="12">
        <f t="shared" si="45"/>
        <v>1330</v>
      </c>
      <c r="S296" s="12">
        <f t="shared" si="46"/>
        <v>784</v>
      </c>
      <c r="T296" s="12">
        <f t="shared" si="47"/>
        <v>546</v>
      </c>
      <c r="U296" s="11">
        <f t="shared" si="48"/>
        <v>0.41052631578947368</v>
      </c>
      <c r="V296" t="str">
        <f>IF(OR(A296="",COUNTIF($A$2:$A$301,A296)&gt;1,C296="",D296="",ISERROR(SEARCH("@",D296)),ISERROR(SEARCH(".",D296)),COUNTIF(Lookups!$A$2:$A$11,E296)=0,F296="",H296="",K296&lt;=0,L296&lt;0,M296&lt;0,N296&lt;0,N296&gt;0.5,COUNTIF(Lookups!$K$2:$K$4,P296)=0),"ERROR","VALID")</f>
        <v>VALID</v>
      </c>
      <c r="W296" s="2" t="str">
        <f>IF(A296="","Missing Order ID; ","")&amp;IF(COUNTIF($A$2:$A$301,A296)&gt;1,"Duplicate Order ID; ","")&amp;IF(C296="","Missing Customer ID; ","")&amp;IF(OR(D296="",ISERROR(SEARCH("@",D296)),ISERROR(SEARCH(".",D296))),"Invalid Email; ","")&amp;IF(COUNTIF(Lookups!$A$2:$A$11,E296)=0,"Unknown Product; ","")&amp;IF(F296="","Missing Product Name; ","")&amp;IF(H296="","Missing Region; ","")&amp;IF(K296&lt;=0,"Invalid Quantity; ","")&amp;IF(L296&lt;0,"Invalid Price; ","")&amp;IF(M296&lt;0,"Invalid Cost; ","")&amp;IF(OR(N296&lt;0,N296&gt;0.5),"Invalid Discount; ","")&amp;IF(COUNTIF(Lookups!$K$2:$K$4,P296)=0,"Invalid Status; ","")</f>
        <v/>
      </c>
      <c r="X296" s="15" t="str">
        <f t="shared" si="49"/>
        <v>2025-09</v>
      </c>
      <c r="Y296" t="str">
        <f t="shared" si="50"/>
        <v>Q3</v>
      </c>
      <c r="Z296" t="str">
        <f>IF(R296&gt;=Settings!$B$9,"High Value Customer",IF(R296&gt;=Settings!$B$10,"Medium Value Customer","Standard Customer"))</f>
        <v>Standard Customer</v>
      </c>
      <c r="AA296" t="str">
        <f>IF(R296&gt;=Settings!$B$9,"Large Order",IF(R296&gt;=Settings!$B$10,"Medium Order","Small Order"))</f>
        <v>Small Order</v>
      </c>
      <c r="AB296" t="str">
        <f>IF(N296=0,"No Discount",IF(N296&lt;=0.1,"Low Discount",IF(N296&lt;=Settings!$B$8,"Medium Discount","High Discount")))</f>
        <v>Low Discount</v>
      </c>
      <c r="AC296" t="str">
        <f t="shared" si="51"/>
        <v>Profitable</v>
      </c>
      <c r="AD296" t="str">
        <f>IFERROR(VLOOKUP(E296,Lookups!$A$2:$E$11,2,FALSE),"Product Not Found")</f>
        <v>USB-C Hub</v>
      </c>
      <c r="AE296" t="str">
        <f>IFERROR(VLOOKUP(E296,Lookups!$A$2:$E$11,3,FALSE),"Category Not Found")</f>
        <v>Accessories</v>
      </c>
      <c r="AF296" t="str">
        <f>IFERROR(IF(L296=VLOOKUP(E296,Lookups!$A$2:$E$11,4,FALSE),"Price OK","Price Mismatch"),"Product Missing")</f>
        <v>Price OK</v>
      </c>
      <c r="AG296" t="str">
        <f t="shared" si="52"/>
        <v>Valid Email</v>
      </c>
      <c r="AH296" t="str">
        <f t="shared" si="53"/>
        <v>READY FOR REPORTING</v>
      </c>
      <c r="AI296" t="str">
        <f>IF(AND(LEFT(A296,LEN(Settings!$B$13))=Settings!$B$13,LEN(A296)=9),"Valid Format","Invalid Format")</f>
        <v>Valid Format</v>
      </c>
      <c r="AJ296" t="str">
        <f>IF(LEFT(C296,LEN(Settings!$B$14))=Settings!$B$14,"Valid Format","Invalid Format")</f>
        <v>Valid Format</v>
      </c>
      <c r="AK296" t="str">
        <f>IF(COUNTIF(Master_Data!$G$5:$G$14,C296)=1,"Known Customer","Customer Not in Master")</f>
        <v>Customer Not in Master</v>
      </c>
      <c r="AL296" t="str">
        <f>IF(U296&gt;=Settings!$B$11,"Target Met","Below Target")</f>
        <v>Target Met</v>
      </c>
      <c r="AM296" t="str">
        <f>IF(YEAR(B296)=Settings!$B$5,"Correct Year","Wrong Year")</f>
        <v>Correct Year</v>
      </c>
      <c r="AN296">
        <f t="shared" si="54"/>
        <v>4</v>
      </c>
    </row>
    <row r="297" spans="1:40">
      <c r="A297" t="str">
        <f>Raw_Data!A297</f>
        <v>ORD-10296</v>
      </c>
      <c r="B297" s="13">
        <f>Raw_Data!B297</f>
        <v>46021</v>
      </c>
      <c r="C297" t="str">
        <f>Raw_Data!C297</f>
        <v>C1083</v>
      </c>
      <c r="D297" t="str">
        <f>Raw_Data!D297</f>
        <v>client28@example.com</v>
      </c>
      <c r="E297" t="str">
        <f>Raw_Data!E297</f>
        <v>P1001</v>
      </c>
      <c r="F297" t="str">
        <f>Raw_Data!F297</f>
        <v>Laptop Stand</v>
      </c>
      <c r="G297" t="str">
        <f>Raw_Data!G297</f>
        <v>Accessories</v>
      </c>
      <c r="H297" t="str">
        <f>Raw_Data!H297</f>
        <v>North</v>
      </c>
      <c r="I297" t="str">
        <f>Raw_Data!I297</f>
        <v>Marketplace</v>
      </c>
      <c r="J297" t="str">
        <f>Raw_Data!J297</f>
        <v>Maria Ionescu</v>
      </c>
      <c r="K297">
        <f>Raw_Data!K297</f>
        <v>2</v>
      </c>
      <c r="L297" s="12">
        <f>Raw_Data!L297</f>
        <v>95</v>
      </c>
      <c r="M297" s="12">
        <f>Raw_Data!M297</f>
        <v>52</v>
      </c>
      <c r="N297" s="14">
        <f>Raw_Data!N297</f>
        <v>0</v>
      </c>
      <c r="O297" t="str">
        <f>Raw_Data!O297</f>
        <v>Bank Transfer</v>
      </c>
      <c r="P297" t="str">
        <f>Raw_Data!P297</f>
        <v>Completed</v>
      </c>
      <c r="Q297" s="12">
        <f t="shared" si="44"/>
        <v>190</v>
      </c>
      <c r="R297" s="12">
        <f t="shared" si="45"/>
        <v>190</v>
      </c>
      <c r="S297" s="12">
        <f t="shared" si="46"/>
        <v>104</v>
      </c>
      <c r="T297" s="12">
        <f t="shared" si="47"/>
        <v>86</v>
      </c>
      <c r="U297" s="11">
        <f t="shared" si="48"/>
        <v>0.45263157894736844</v>
      </c>
      <c r="V297" t="str">
        <f>IF(OR(A297="",COUNTIF($A$2:$A$301,A297)&gt;1,C297="",D297="",ISERROR(SEARCH("@",D297)),ISERROR(SEARCH(".",D297)),COUNTIF(Lookups!$A$2:$A$11,E297)=0,F297="",H297="",K297&lt;=0,L297&lt;0,M297&lt;0,N297&lt;0,N297&gt;0.5,COUNTIF(Lookups!$K$2:$K$4,P297)=0),"ERROR","VALID")</f>
        <v>VALID</v>
      </c>
      <c r="W297" s="2" t="str">
        <f>IF(A297="","Missing Order ID; ","")&amp;IF(COUNTIF($A$2:$A$301,A297)&gt;1,"Duplicate Order ID; ","")&amp;IF(C297="","Missing Customer ID; ","")&amp;IF(OR(D297="",ISERROR(SEARCH("@",D297)),ISERROR(SEARCH(".",D297))),"Invalid Email; ","")&amp;IF(COUNTIF(Lookups!$A$2:$A$11,E297)=0,"Unknown Product; ","")&amp;IF(F297="","Missing Product Name; ","")&amp;IF(H297="","Missing Region; ","")&amp;IF(K297&lt;=0,"Invalid Quantity; ","")&amp;IF(L297&lt;0,"Invalid Price; ","")&amp;IF(M297&lt;0,"Invalid Cost; ","")&amp;IF(OR(N297&lt;0,N297&gt;0.5),"Invalid Discount; ","")&amp;IF(COUNTIF(Lookups!$K$2:$K$4,P297)=0,"Invalid Status; ","")</f>
        <v/>
      </c>
      <c r="X297" s="15" t="str">
        <f t="shared" si="49"/>
        <v>2025-12</v>
      </c>
      <c r="Y297" t="str">
        <f t="shared" si="50"/>
        <v>Q4</v>
      </c>
      <c r="Z297" t="str">
        <f>IF(R297&gt;=Settings!$B$9,"High Value Customer",IF(R297&gt;=Settings!$B$10,"Medium Value Customer","Standard Customer"))</f>
        <v>Standard Customer</v>
      </c>
      <c r="AA297" t="str">
        <f>IF(R297&gt;=Settings!$B$9,"Large Order",IF(R297&gt;=Settings!$B$10,"Medium Order","Small Order"))</f>
        <v>Small Order</v>
      </c>
      <c r="AB297" t="str">
        <f>IF(N297=0,"No Discount",IF(N297&lt;=0.1,"Low Discount",IF(N297&lt;=Settings!$B$8,"Medium Discount","High Discount")))</f>
        <v>No Discount</v>
      </c>
      <c r="AC297" t="str">
        <f t="shared" si="51"/>
        <v>Profitable</v>
      </c>
      <c r="AD297" t="str">
        <f>IFERROR(VLOOKUP(E297,Lookups!$A$2:$E$11,2,FALSE),"Product Not Found")</f>
        <v>Laptop Stand</v>
      </c>
      <c r="AE297" t="str">
        <f>IFERROR(VLOOKUP(E297,Lookups!$A$2:$E$11,3,FALSE),"Category Not Found")</f>
        <v>Accessories</v>
      </c>
      <c r="AF297" t="str">
        <f>IFERROR(IF(L297=VLOOKUP(E297,Lookups!$A$2:$E$11,4,FALSE),"Price OK","Price Mismatch"),"Product Missing")</f>
        <v>Price OK</v>
      </c>
      <c r="AG297" t="str">
        <f t="shared" si="52"/>
        <v>Valid Email</v>
      </c>
      <c r="AH297" t="str">
        <f t="shared" si="53"/>
        <v>READY FOR REPORTING</v>
      </c>
      <c r="AI297" t="str">
        <f>IF(AND(LEFT(A297,LEN(Settings!$B$13))=Settings!$B$13,LEN(A297)=9),"Valid Format","Invalid Format")</f>
        <v>Valid Format</v>
      </c>
      <c r="AJ297" t="str">
        <f>IF(LEFT(C297,LEN(Settings!$B$14))=Settings!$B$14,"Valid Format","Invalid Format")</f>
        <v>Valid Format</v>
      </c>
      <c r="AK297" t="str">
        <f>IF(COUNTIF(Master_Data!$G$5:$G$14,C297)=1,"Known Customer","Customer Not in Master")</f>
        <v>Customer Not in Master</v>
      </c>
      <c r="AL297" t="str">
        <f>IF(U297&gt;=Settings!$B$11,"Target Met","Below Target")</f>
        <v>Target Met</v>
      </c>
      <c r="AM297" t="str">
        <f>IF(YEAR(B297)=Settings!$B$5,"Correct Year","Wrong Year")</f>
        <v>Correct Year</v>
      </c>
      <c r="AN297">
        <f t="shared" si="54"/>
        <v>4</v>
      </c>
    </row>
    <row r="298" spans="1:40">
      <c r="A298" t="str">
        <f>Raw_Data!A298</f>
        <v>ORD-10297</v>
      </c>
      <c r="B298" s="13">
        <f>Raw_Data!B298</f>
        <v>45739</v>
      </c>
      <c r="C298" t="str">
        <f>Raw_Data!C298</f>
        <v>C1123</v>
      </c>
      <c r="D298" t="str">
        <f>Raw_Data!D298</f>
        <v>client119@example.com</v>
      </c>
      <c r="E298" t="str">
        <f>Raw_Data!E298</f>
        <v>P1009</v>
      </c>
      <c r="F298" t="str">
        <f>Raw_Data!F298</f>
        <v>Webcam</v>
      </c>
      <c r="G298" t="str">
        <f>Raw_Data!G298</f>
        <v>Electronics</v>
      </c>
      <c r="H298" t="str">
        <f>Raw_Data!H298</f>
        <v>North</v>
      </c>
      <c r="I298" t="str">
        <f>Raw_Data!I298</f>
        <v>Store</v>
      </c>
      <c r="J298" t="str">
        <f>Raw_Data!J298</f>
        <v>Maria Ionescu</v>
      </c>
      <c r="K298">
        <f>Raw_Data!K298</f>
        <v>6</v>
      </c>
      <c r="L298" s="12">
        <f>Raw_Data!L298</f>
        <v>230</v>
      </c>
      <c r="M298" s="12">
        <f>Raw_Data!M298</f>
        <v>132</v>
      </c>
      <c r="N298" s="14">
        <f>Raw_Data!N298</f>
        <v>0.15</v>
      </c>
      <c r="O298" t="str">
        <f>Raw_Data!O298</f>
        <v>Bank Transfer</v>
      </c>
      <c r="P298" t="str">
        <f>Raw_Data!P298</f>
        <v>Completed</v>
      </c>
      <c r="Q298" s="12">
        <f t="shared" si="44"/>
        <v>1380</v>
      </c>
      <c r="R298" s="12">
        <f t="shared" si="45"/>
        <v>1173</v>
      </c>
      <c r="S298" s="12">
        <f t="shared" si="46"/>
        <v>792</v>
      </c>
      <c r="T298" s="12">
        <f t="shared" si="47"/>
        <v>381</v>
      </c>
      <c r="U298" s="11">
        <f t="shared" si="48"/>
        <v>0.32480818414322249</v>
      </c>
      <c r="V298" t="str">
        <f>IF(OR(A298="",COUNTIF($A$2:$A$301,A298)&gt;1,C298="",D298="",ISERROR(SEARCH("@",D298)),ISERROR(SEARCH(".",D298)),COUNTIF(Lookups!$A$2:$A$11,E298)=0,F298="",H298="",K298&lt;=0,L298&lt;0,M298&lt;0,N298&lt;0,N298&gt;0.5,COUNTIF(Lookups!$K$2:$K$4,P298)=0),"ERROR","VALID")</f>
        <v>VALID</v>
      </c>
      <c r="W298" s="2" t="str">
        <f>IF(A298="","Missing Order ID; ","")&amp;IF(COUNTIF($A$2:$A$301,A298)&gt;1,"Duplicate Order ID; ","")&amp;IF(C298="","Missing Customer ID; ","")&amp;IF(OR(D298="",ISERROR(SEARCH("@",D298)),ISERROR(SEARCH(".",D298))),"Invalid Email; ","")&amp;IF(COUNTIF(Lookups!$A$2:$A$11,E298)=0,"Unknown Product; ","")&amp;IF(F298="","Missing Product Name; ","")&amp;IF(H298="","Missing Region; ","")&amp;IF(K298&lt;=0,"Invalid Quantity; ","")&amp;IF(L298&lt;0,"Invalid Price; ","")&amp;IF(M298&lt;0,"Invalid Cost; ","")&amp;IF(OR(N298&lt;0,N298&gt;0.5),"Invalid Discount; ","")&amp;IF(COUNTIF(Lookups!$K$2:$K$4,P298)=0,"Invalid Status; ","")</f>
        <v/>
      </c>
      <c r="X298" s="15" t="str">
        <f t="shared" si="49"/>
        <v>2025-03</v>
      </c>
      <c r="Y298" t="str">
        <f t="shared" si="50"/>
        <v>Q1</v>
      </c>
      <c r="Z298" t="str">
        <f>IF(R298&gt;=Settings!$B$9,"High Value Customer",IF(R298&gt;=Settings!$B$10,"Medium Value Customer","Standard Customer"))</f>
        <v>Standard Customer</v>
      </c>
      <c r="AA298" t="str">
        <f>IF(R298&gt;=Settings!$B$9,"Large Order",IF(R298&gt;=Settings!$B$10,"Medium Order","Small Order"))</f>
        <v>Small Order</v>
      </c>
      <c r="AB298" t="str">
        <f>IF(N298=0,"No Discount",IF(N298&lt;=0.1,"Low Discount",IF(N298&lt;=Settings!$B$8,"Medium Discount","High Discount")))</f>
        <v>Medium Discount</v>
      </c>
      <c r="AC298" t="str">
        <f t="shared" si="51"/>
        <v>Profitable</v>
      </c>
      <c r="AD298" t="str">
        <f>IFERROR(VLOOKUP(E298,Lookups!$A$2:$E$11,2,FALSE),"Product Not Found")</f>
        <v>Webcam</v>
      </c>
      <c r="AE298" t="str">
        <f>IFERROR(VLOOKUP(E298,Lookups!$A$2:$E$11,3,FALSE),"Category Not Found")</f>
        <v>Electronics</v>
      </c>
      <c r="AF298" t="str">
        <f>IFERROR(IF(L298=VLOOKUP(E298,Lookups!$A$2:$E$11,4,FALSE),"Price OK","Price Mismatch"),"Product Missing")</f>
        <v>Price OK</v>
      </c>
      <c r="AG298" t="str">
        <f t="shared" si="52"/>
        <v>Valid Email</v>
      </c>
      <c r="AH298" t="str">
        <f t="shared" si="53"/>
        <v>READY FOR REPORTING</v>
      </c>
      <c r="AI298" t="str">
        <f>IF(AND(LEFT(A298,LEN(Settings!$B$13))=Settings!$B$13,LEN(A298)=9),"Valid Format","Invalid Format")</f>
        <v>Valid Format</v>
      </c>
      <c r="AJ298" t="str">
        <f>IF(LEFT(C298,LEN(Settings!$B$14))=Settings!$B$14,"Valid Format","Invalid Format")</f>
        <v>Valid Format</v>
      </c>
      <c r="AK298" t="str">
        <f>IF(COUNTIF(Master_Data!$G$5:$G$14,C298)=1,"Known Customer","Customer Not in Master")</f>
        <v>Customer Not in Master</v>
      </c>
      <c r="AL298" t="str">
        <f>IF(U298&gt;=Settings!$B$11,"Target Met","Below Target")</f>
        <v>Target Met</v>
      </c>
      <c r="AM298" t="str">
        <f>IF(YEAR(B298)=Settings!$B$5,"Correct Year","Wrong Year")</f>
        <v>Correct Year</v>
      </c>
      <c r="AN298">
        <f t="shared" si="54"/>
        <v>4</v>
      </c>
    </row>
    <row r="299" spans="1:40">
      <c r="A299" t="str">
        <f>Raw_Data!A299</f>
        <v>ORD-10298</v>
      </c>
      <c r="B299" s="13">
        <f>Raw_Data!B299</f>
        <v>45860</v>
      </c>
      <c r="C299" t="str">
        <f>Raw_Data!C299</f>
        <v>C1114</v>
      </c>
      <c r="D299" t="str">
        <f>Raw_Data!D299</f>
        <v>client51@example.com</v>
      </c>
      <c r="E299" t="str">
        <f>Raw_Data!E299</f>
        <v>P1007</v>
      </c>
      <c r="F299" t="str">
        <f>Raw_Data!F299</f>
        <v>Office Chair</v>
      </c>
      <c r="G299" t="str">
        <f>Raw_Data!G299</f>
        <v>Furniture</v>
      </c>
      <c r="H299" t="str">
        <f>Raw_Data!H299</f>
        <v>East</v>
      </c>
      <c r="I299" t="str">
        <f>Raw_Data!I299</f>
        <v>Marketplace</v>
      </c>
      <c r="J299" t="str">
        <f>Raw_Data!J299</f>
        <v>Mihai Radu</v>
      </c>
      <c r="K299">
        <f>Raw_Data!K299</f>
        <v>1</v>
      </c>
      <c r="L299" s="12">
        <f>Raw_Data!L299</f>
        <v>840</v>
      </c>
      <c r="M299" s="12">
        <f>Raw_Data!M299</f>
        <v>590</v>
      </c>
      <c r="N299" s="14">
        <f>Raw_Data!N299</f>
        <v>0.2</v>
      </c>
      <c r="O299" t="str">
        <f>Raw_Data!O299</f>
        <v>Online Wallet</v>
      </c>
      <c r="P299" t="str">
        <f>Raw_Data!P299</f>
        <v>Returned</v>
      </c>
      <c r="Q299" s="12">
        <f t="shared" si="44"/>
        <v>840</v>
      </c>
      <c r="R299" s="12">
        <f t="shared" si="45"/>
        <v>672</v>
      </c>
      <c r="S299" s="12">
        <f t="shared" si="46"/>
        <v>590</v>
      </c>
      <c r="T299" s="12">
        <f t="shared" si="47"/>
        <v>82</v>
      </c>
      <c r="U299" s="11">
        <f t="shared" si="48"/>
        <v>0.12202380952380952</v>
      </c>
      <c r="V299" t="str">
        <f>IF(OR(A299="",COUNTIF($A$2:$A$301,A299)&gt;1,C299="",D299="",ISERROR(SEARCH("@",D299)),ISERROR(SEARCH(".",D299)),COUNTIF(Lookups!$A$2:$A$11,E299)=0,F299="",H299="",K299&lt;=0,L299&lt;0,M299&lt;0,N299&lt;0,N299&gt;0.5,COUNTIF(Lookups!$K$2:$K$4,P299)=0),"ERROR","VALID")</f>
        <v>VALID</v>
      </c>
      <c r="W299" s="2" t="str">
        <f>IF(A299="","Missing Order ID; ","")&amp;IF(COUNTIF($A$2:$A$301,A299)&gt;1,"Duplicate Order ID; ","")&amp;IF(C299="","Missing Customer ID; ","")&amp;IF(OR(D299="",ISERROR(SEARCH("@",D299)),ISERROR(SEARCH(".",D299))),"Invalid Email; ","")&amp;IF(COUNTIF(Lookups!$A$2:$A$11,E299)=0,"Unknown Product; ","")&amp;IF(F299="","Missing Product Name; ","")&amp;IF(H299="","Missing Region; ","")&amp;IF(K299&lt;=0,"Invalid Quantity; ","")&amp;IF(L299&lt;0,"Invalid Price; ","")&amp;IF(M299&lt;0,"Invalid Cost; ","")&amp;IF(OR(N299&lt;0,N299&gt;0.5),"Invalid Discount; ","")&amp;IF(COUNTIF(Lookups!$K$2:$K$4,P299)=0,"Invalid Status; ","")</f>
        <v/>
      </c>
      <c r="X299" s="15" t="str">
        <f t="shared" si="49"/>
        <v>2025-07</v>
      </c>
      <c r="Y299" t="str">
        <f t="shared" si="50"/>
        <v>Q3</v>
      </c>
      <c r="Z299" t="str">
        <f>IF(R299&gt;=Settings!$B$9,"High Value Customer",IF(R299&gt;=Settings!$B$10,"Medium Value Customer","Standard Customer"))</f>
        <v>Standard Customer</v>
      </c>
      <c r="AA299" t="str">
        <f>IF(R299&gt;=Settings!$B$9,"Large Order",IF(R299&gt;=Settings!$B$10,"Medium Order","Small Order"))</f>
        <v>Small Order</v>
      </c>
      <c r="AB299" t="str">
        <f>IF(N299=0,"No Discount",IF(N299&lt;=0.1,"Low Discount",IF(N299&lt;=Settings!$B$8,"Medium Discount","High Discount")))</f>
        <v>Medium Discount</v>
      </c>
      <c r="AC299" t="str">
        <f t="shared" si="51"/>
        <v>Profitable</v>
      </c>
      <c r="AD299" t="str">
        <f>IFERROR(VLOOKUP(E299,Lookups!$A$2:$E$11,2,FALSE),"Product Not Found")</f>
        <v>Office Chair</v>
      </c>
      <c r="AE299" t="str">
        <f>IFERROR(VLOOKUP(E299,Lookups!$A$2:$E$11,3,FALSE),"Category Not Found")</f>
        <v>Furniture</v>
      </c>
      <c r="AF299" t="str">
        <f>IFERROR(IF(L299=VLOOKUP(E299,Lookups!$A$2:$E$11,4,FALSE),"Price OK","Price Mismatch"),"Product Missing")</f>
        <v>Price OK</v>
      </c>
      <c r="AG299" t="str">
        <f t="shared" si="52"/>
        <v>Valid Email</v>
      </c>
      <c r="AH299" t="str">
        <f t="shared" si="53"/>
        <v>READY FOR REPORTING</v>
      </c>
      <c r="AI299" t="str">
        <f>IF(AND(LEFT(A299,LEN(Settings!$B$13))=Settings!$B$13,LEN(A299)=9),"Valid Format","Invalid Format")</f>
        <v>Valid Format</v>
      </c>
      <c r="AJ299" t="str">
        <f>IF(LEFT(C299,LEN(Settings!$B$14))=Settings!$B$14,"Valid Format","Invalid Format")</f>
        <v>Valid Format</v>
      </c>
      <c r="AK299" t="str">
        <f>IF(COUNTIF(Master_Data!$G$5:$G$14,C299)=1,"Known Customer","Customer Not in Master")</f>
        <v>Customer Not in Master</v>
      </c>
      <c r="AL299" t="str">
        <f>IF(U299&gt;=Settings!$B$11,"Target Met","Below Target")</f>
        <v>Below Target</v>
      </c>
      <c r="AM299" t="str">
        <f>IF(YEAR(B299)=Settings!$B$5,"Correct Year","Wrong Year")</f>
        <v>Correct Year</v>
      </c>
      <c r="AN299">
        <f t="shared" si="54"/>
        <v>3</v>
      </c>
    </row>
    <row r="300" spans="1:40">
      <c r="A300" t="str">
        <f>Raw_Data!A300</f>
        <v>ORD-10299</v>
      </c>
      <c r="B300" s="13">
        <f>Raw_Data!B300</f>
        <v>46018</v>
      </c>
      <c r="C300" t="str">
        <f>Raw_Data!C300</f>
        <v>C1097</v>
      </c>
      <c r="D300" t="str">
        <f>Raw_Data!D300</f>
        <v>client17@example.com</v>
      </c>
      <c r="E300" t="str">
        <f>Raw_Data!E300</f>
        <v>P1001</v>
      </c>
      <c r="F300" t="str">
        <f>Raw_Data!F300</f>
        <v>Laptop Stand</v>
      </c>
      <c r="G300" t="str">
        <f>Raw_Data!G300</f>
        <v>Accessories</v>
      </c>
      <c r="H300" t="str">
        <f>Raw_Data!H300</f>
        <v>West</v>
      </c>
      <c r="I300" t="str">
        <f>Raw_Data!I300</f>
        <v>Online</v>
      </c>
      <c r="J300" t="str">
        <f>Raw_Data!J300</f>
        <v>Ioana Pavel</v>
      </c>
      <c r="K300">
        <f>Raw_Data!K300</f>
        <v>4</v>
      </c>
      <c r="L300" s="12">
        <f>Raw_Data!L300</f>
        <v>95</v>
      </c>
      <c r="M300" s="12">
        <f>Raw_Data!M300</f>
        <v>52</v>
      </c>
      <c r="N300" s="14">
        <f>Raw_Data!N300</f>
        <v>0</v>
      </c>
      <c r="O300" t="str">
        <f>Raw_Data!O300</f>
        <v>Bank Transfer</v>
      </c>
      <c r="P300" t="str">
        <f>Raw_Data!P300</f>
        <v>Completed</v>
      </c>
      <c r="Q300" s="12">
        <f t="shared" si="44"/>
        <v>380</v>
      </c>
      <c r="R300" s="12">
        <f t="shared" si="45"/>
        <v>380</v>
      </c>
      <c r="S300" s="12">
        <f t="shared" si="46"/>
        <v>208</v>
      </c>
      <c r="T300" s="12">
        <f t="shared" si="47"/>
        <v>172</v>
      </c>
      <c r="U300" s="11">
        <f t="shared" si="48"/>
        <v>0.45263157894736844</v>
      </c>
      <c r="V300" t="str">
        <f>IF(OR(A300="",COUNTIF($A$2:$A$301,A300)&gt;1,C300="",D300="",ISERROR(SEARCH("@",D300)),ISERROR(SEARCH(".",D300)),COUNTIF(Lookups!$A$2:$A$11,E300)=0,F300="",H300="",K300&lt;=0,L300&lt;0,M300&lt;0,N300&lt;0,N300&gt;0.5,COUNTIF(Lookups!$K$2:$K$4,P300)=0),"ERROR","VALID")</f>
        <v>VALID</v>
      </c>
      <c r="W300" s="2" t="str">
        <f>IF(A300="","Missing Order ID; ","")&amp;IF(COUNTIF($A$2:$A$301,A300)&gt;1,"Duplicate Order ID; ","")&amp;IF(C300="","Missing Customer ID; ","")&amp;IF(OR(D300="",ISERROR(SEARCH("@",D300)),ISERROR(SEARCH(".",D300))),"Invalid Email; ","")&amp;IF(COUNTIF(Lookups!$A$2:$A$11,E300)=0,"Unknown Product; ","")&amp;IF(F300="","Missing Product Name; ","")&amp;IF(H300="","Missing Region; ","")&amp;IF(K300&lt;=0,"Invalid Quantity; ","")&amp;IF(L300&lt;0,"Invalid Price; ","")&amp;IF(M300&lt;0,"Invalid Cost; ","")&amp;IF(OR(N300&lt;0,N300&gt;0.5),"Invalid Discount; ","")&amp;IF(COUNTIF(Lookups!$K$2:$K$4,P300)=0,"Invalid Status; ","")</f>
        <v/>
      </c>
      <c r="X300" s="15" t="str">
        <f t="shared" si="49"/>
        <v>2025-12</v>
      </c>
      <c r="Y300" t="str">
        <f t="shared" si="50"/>
        <v>Q4</v>
      </c>
      <c r="Z300" t="str">
        <f>IF(R300&gt;=Settings!$B$9,"High Value Customer",IF(R300&gt;=Settings!$B$10,"Medium Value Customer","Standard Customer"))</f>
        <v>Standard Customer</v>
      </c>
      <c r="AA300" t="str">
        <f>IF(R300&gt;=Settings!$B$9,"Large Order",IF(R300&gt;=Settings!$B$10,"Medium Order","Small Order"))</f>
        <v>Small Order</v>
      </c>
      <c r="AB300" t="str">
        <f>IF(N300=0,"No Discount",IF(N300&lt;=0.1,"Low Discount",IF(N300&lt;=Settings!$B$8,"Medium Discount","High Discount")))</f>
        <v>No Discount</v>
      </c>
      <c r="AC300" t="str">
        <f t="shared" si="51"/>
        <v>Profitable</v>
      </c>
      <c r="AD300" t="str">
        <f>IFERROR(VLOOKUP(E300,Lookups!$A$2:$E$11,2,FALSE),"Product Not Found")</f>
        <v>Laptop Stand</v>
      </c>
      <c r="AE300" t="str">
        <f>IFERROR(VLOOKUP(E300,Lookups!$A$2:$E$11,3,FALSE),"Category Not Found")</f>
        <v>Accessories</v>
      </c>
      <c r="AF300" t="str">
        <f>IFERROR(IF(L300=VLOOKUP(E300,Lookups!$A$2:$E$11,4,FALSE),"Price OK","Price Mismatch"),"Product Missing")</f>
        <v>Price OK</v>
      </c>
      <c r="AG300" t="str">
        <f t="shared" si="52"/>
        <v>Valid Email</v>
      </c>
      <c r="AH300" t="str">
        <f t="shared" si="53"/>
        <v>READY FOR REPORTING</v>
      </c>
      <c r="AI300" t="str">
        <f>IF(AND(LEFT(A300,LEN(Settings!$B$13))=Settings!$B$13,LEN(A300)=9),"Valid Format","Invalid Format")</f>
        <v>Valid Format</v>
      </c>
      <c r="AJ300" t="str">
        <f>IF(LEFT(C300,LEN(Settings!$B$14))=Settings!$B$14,"Valid Format","Invalid Format")</f>
        <v>Valid Format</v>
      </c>
      <c r="AK300" t="str">
        <f>IF(COUNTIF(Master_Data!$G$5:$G$14,C300)=1,"Known Customer","Customer Not in Master")</f>
        <v>Customer Not in Master</v>
      </c>
      <c r="AL300" t="str">
        <f>IF(U300&gt;=Settings!$B$11,"Target Met","Below Target")</f>
        <v>Target Met</v>
      </c>
      <c r="AM300" t="str">
        <f>IF(YEAR(B300)=Settings!$B$5,"Correct Year","Wrong Year")</f>
        <v>Correct Year</v>
      </c>
      <c r="AN300">
        <f t="shared" si="54"/>
        <v>4</v>
      </c>
    </row>
    <row r="301" spans="1:40">
      <c r="A301" t="str">
        <f>Raw_Data!A301</f>
        <v>ORD-10300</v>
      </c>
      <c r="B301" s="13">
        <f>Raw_Data!B301</f>
        <v>45824</v>
      </c>
      <c r="C301" t="str">
        <f>Raw_Data!C301</f>
        <v>C1034</v>
      </c>
      <c r="D301" t="str">
        <f>Raw_Data!D301</f>
        <v>client172@example.com</v>
      </c>
      <c r="E301" t="str">
        <f>Raw_Data!E301</f>
        <v>P1006</v>
      </c>
      <c r="F301" t="str">
        <f>Raw_Data!F301</f>
        <v>27-inch Monitor</v>
      </c>
      <c r="G301" t="str">
        <f>Raw_Data!G301</f>
        <v>Electronics</v>
      </c>
      <c r="H301" t="str">
        <f>Raw_Data!H301</f>
        <v>East</v>
      </c>
      <c r="I301" t="str">
        <f>Raw_Data!I301</f>
        <v>Marketplace</v>
      </c>
      <c r="J301" t="str">
        <f>Raw_Data!J301</f>
        <v>Elena Stan</v>
      </c>
      <c r="K301">
        <f>Raw_Data!K301</f>
        <v>4</v>
      </c>
      <c r="L301" s="12">
        <f>Raw_Data!L301</f>
        <v>1090</v>
      </c>
      <c r="M301" s="12">
        <f>Raw_Data!M301</f>
        <v>790</v>
      </c>
      <c r="N301" s="14">
        <f>Raw_Data!N301</f>
        <v>0.1</v>
      </c>
      <c r="O301" t="str">
        <f>Raw_Data!O301</f>
        <v>Online Wallet</v>
      </c>
      <c r="P301" t="str">
        <f>Raw_Data!P301</f>
        <v>Completed</v>
      </c>
      <c r="Q301" s="12">
        <f t="shared" si="44"/>
        <v>4360</v>
      </c>
      <c r="R301" s="12">
        <f t="shared" si="45"/>
        <v>3924</v>
      </c>
      <c r="S301" s="12">
        <f t="shared" si="46"/>
        <v>3160</v>
      </c>
      <c r="T301" s="12">
        <f t="shared" si="47"/>
        <v>764</v>
      </c>
      <c r="U301" s="11">
        <f t="shared" si="48"/>
        <v>0.19469928644240569</v>
      </c>
      <c r="V301" t="str">
        <f>IF(OR(A301="",COUNTIF($A$2:$A$301,A301)&gt;1,C301="",D301="",ISERROR(SEARCH("@",D301)),ISERROR(SEARCH(".",D301)),COUNTIF(Lookups!$A$2:$A$11,E301)=0,F301="",H301="",K301&lt;=0,L301&lt;0,M301&lt;0,N301&lt;0,N301&gt;0.5,COUNTIF(Lookups!$K$2:$K$4,P301)=0),"ERROR","VALID")</f>
        <v>VALID</v>
      </c>
      <c r="W301" s="2" t="str">
        <f>IF(A301="","Missing Order ID; ","")&amp;IF(COUNTIF($A$2:$A$301,A301)&gt;1,"Duplicate Order ID; ","")&amp;IF(C301="","Missing Customer ID; ","")&amp;IF(OR(D301="",ISERROR(SEARCH("@",D301)),ISERROR(SEARCH(".",D301))),"Invalid Email; ","")&amp;IF(COUNTIF(Lookups!$A$2:$A$11,E301)=0,"Unknown Product; ","")&amp;IF(F301="","Missing Product Name; ","")&amp;IF(H301="","Missing Region; ","")&amp;IF(K301&lt;=0,"Invalid Quantity; ","")&amp;IF(L301&lt;0,"Invalid Price; ","")&amp;IF(M301&lt;0,"Invalid Cost; ","")&amp;IF(OR(N301&lt;0,N301&gt;0.5),"Invalid Discount; ","")&amp;IF(COUNTIF(Lookups!$K$2:$K$4,P301)=0,"Invalid Status; ","")</f>
        <v/>
      </c>
      <c r="X301" s="15" t="str">
        <f t="shared" si="49"/>
        <v>2025-06</v>
      </c>
      <c r="Y301" t="str">
        <f t="shared" si="50"/>
        <v>Q2</v>
      </c>
      <c r="Z301" t="str">
        <f>IF(R301&gt;=Settings!$B$9,"High Value Customer",IF(R301&gt;=Settings!$B$10,"Medium Value Customer","Standard Customer"))</f>
        <v>Medium Value Customer</v>
      </c>
      <c r="AA301" t="str">
        <f>IF(R301&gt;=Settings!$B$9,"Large Order",IF(R301&gt;=Settings!$B$10,"Medium Order","Small Order"))</f>
        <v>Medium Order</v>
      </c>
      <c r="AB301" t="str">
        <f>IF(N301=0,"No Discount",IF(N301&lt;=0.1,"Low Discount",IF(N301&lt;=Settings!$B$8,"Medium Discount","High Discount")))</f>
        <v>Low Discount</v>
      </c>
      <c r="AC301" t="str">
        <f t="shared" si="51"/>
        <v>Profitable</v>
      </c>
      <c r="AD301" t="str">
        <f>IFERROR(VLOOKUP(E301,Lookups!$A$2:$E$11,2,FALSE),"Product Not Found")</f>
        <v>27-inch Monitor</v>
      </c>
      <c r="AE301" t="str">
        <f>IFERROR(VLOOKUP(E301,Lookups!$A$2:$E$11,3,FALSE),"Category Not Found")</f>
        <v>Electronics</v>
      </c>
      <c r="AF301" t="str">
        <f>IFERROR(IF(L301=VLOOKUP(E301,Lookups!$A$2:$E$11,4,FALSE),"Price OK","Price Mismatch"),"Product Missing")</f>
        <v>Price OK</v>
      </c>
      <c r="AG301" t="str">
        <f t="shared" si="52"/>
        <v>Valid Email</v>
      </c>
      <c r="AH301" t="str">
        <f t="shared" si="53"/>
        <v>READY FOR REPORTING</v>
      </c>
      <c r="AI301" t="str">
        <f>IF(AND(LEFT(A301,LEN(Settings!$B$13))=Settings!$B$13,LEN(A301)=9),"Valid Format","Invalid Format")</f>
        <v>Valid Format</v>
      </c>
      <c r="AJ301" t="str">
        <f>IF(LEFT(C301,LEN(Settings!$B$14))=Settings!$B$14,"Valid Format","Invalid Format")</f>
        <v>Valid Format</v>
      </c>
      <c r="AK301" t="str">
        <f>IF(COUNTIF(Master_Data!$G$5:$G$14,C301)=1,"Known Customer","Customer Not in Master")</f>
        <v>Customer Not in Master</v>
      </c>
      <c r="AL301" t="str">
        <f>IF(U301&gt;=Settings!$B$11,"Target Met","Below Target")</f>
        <v>Below Target</v>
      </c>
      <c r="AM301" t="str">
        <f>IF(YEAR(B301)=Settings!$B$5,"Correct Year","Wrong Year")</f>
        <v>Correct Year</v>
      </c>
      <c r="AN301">
        <f t="shared" si="54"/>
        <v>3</v>
      </c>
    </row>
  </sheetData>
  <conditionalFormatting sqref="V2:V301">
    <cfRule type="expression" dxfId="9" priority="1">
      <formula>V2="ERROR"</formula>
    </cfRule>
    <cfRule type="expression" dxfId="8" priority="2">
      <formula>V2="VALID"</formula>
    </cfRule>
  </conditionalFormatting>
  <conditionalFormatting sqref="U2:U301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H2:AH301">
    <cfRule type="expression" dxfId="7" priority="4">
      <formula>AH2="READY FOR REPORTING"</formula>
    </cfRule>
    <cfRule type="expression" dxfId="6" priority="5">
      <formula>AH2="REVIEW REQUIRED"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opLeftCell="A259" workbookViewId="0">
      <selection sqref="A1:P301"/>
    </sheetView>
  </sheetViews>
  <sheetFormatPr defaultRowHeight="14.25"/>
  <cols>
    <col min="1" max="1" width="10" style="4" customWidth="1"/>
    <col min="2" max="2" width="12" style="4" customWidth="1"/>
    <col min="3" max="3" width="13" style="4" customWidth="1"/>
    <col min="4" max="4" width="23" style="4" customWidth="1"/>
    <col min="5" max="5" width="11.625" style="4" customWidth="1"/>
    <col min="6" max="6" width="23" style="4" customWidth="1"/>
    <col min="7" max="7" width="9.875" style="4" customWidth="1"/>
    <col min="8" max="8" width="8.25" style="4" customWidth="1"/>
    <col min="9" max="9" width="14" style="4" customWidth="1"/>
    <col min="10" max="10" width="23" style="4" customWidth="1"/>
    <col min="11" max="11" width="9.75" style="4" customWidth="1"/>
    <col min="12" max="12" width="11" style="4" customWidth="1"/>
    <col min="13" max="13" width="10.875" style="4" customWidth="1"/>
    <col min="14" max="14" width="14.125" style="4" customWidth="1"/>
    <col min="15" max="15" width="16.75" style="4" customWidth="1"/>
    <col min="16" max="16" width="13.125" style="4" customWidth="1"/>
  </cols>
  <sheetData>
    <row r="1" spans="1:16" ht="30">
      <c r="A1" s="1" t="s">
        <v>83</v>
      </c>
      <c r="B1" s="1" t="s">
        <v>137</v>
      </c>
      <c r="C1" s="1" t="s">
        <v>118</v>
      </c>
      <c r="D1" s="1" t="s">
        <v>89</v>
      </c>
      <c r="E1" s="1" t="s">
        <v>100</v>
      </c>
      <c r="F1" s="1" t="s">
        <v>130</v>
      </c>
      <c r="G1" s="1" t="s">
        <v>17</v>
      </c>
      <c r="H1" s="1" t="s">
        <v>10</v>
      </c>
      <c r="I1" s="1" t="s">
        <v>138</v>
      </c>
      <c r="J1" s="1" t="s">
        <v>139</v>
      </c>
      <c r="K1" s="1" t="s">
        <v>95</v>
      </c>
      <c r="L1" s="1" t="s">
        <v>113</v>
      </c>
      <c r="M1" s="1" t="s">
        <v>140</v>
      </c>
      <c r="N1" s="1" t="s">
        <v>108</v>
      </c>
      <c r="O1" s="1" t="s">
        <v>141</v>
      </c>
      <c r="P1" s="1" t="s">
        <v>122</v>
      </c>
    </row>
    <row r="2" spans="1:16">
      <c r="A2" t="s">
        <v>165</v>
      </c>
      <c r="B2" s="13">
        <v>45670</v>
      </c>
      <c r="C2" t="s">
        <v>166</v>
      </c>
      <c r="D2" t="s">
        <v>167</v>
      </c>
      <c r="E2" t="s">
        <v>168</v>
      </c>
      <c r="F2" t="s">
        <v>169</v>
      </c>
      <c r="G2" t="s">
        <v>19</v>
      </c>
      <c r="H2" t="s">
        <v>12</v>
      </c>
      <c r="I2" t="s">
        <v>170</v>
      </c>
      <c r="J2" t="s">
        <v>171</v>
      </c>
      <c r="K2">
        <v>12</v>
      </c>
      <c r="L2" s="12">
        <v>85</v>
      </c>
      <c r="M2" s="12">
        <v>44</v>
      </c>
      <c r="N2" s="14">
        <v>0.05</v>
      </c>
      <c r="O2" t="s">
        <v>172</v>
      </c>
      <c r="P2" t="s">
        <v>34</v>
      </c>
    </row>
    <row r="3" spans="1:16">
      <c r="A3" t="s">
        <v>173</v>
      </c>
      <c r="B3" s="13">
        <v>45874</v>
      </c>
      <c r="C3" t="s">
        <v>174</v>
      </c>
      <c r="D3" t="s">
        <v>175</v>
      </c>
      <c r="E3" t="s">
        <v>176</v>
      </c>
      <c r="F3" t="s">
        <v>177</v>
      </c>
      <c r="G3" t="s">
        <v>20</v>
      </c>
      <c r="H3" t="s">
        <v>16</v>
      </c>
      <c r="I3" t="s">
        <v>170</v>
      </c>
      <c r="J3" t="s">
        <v>178</v>
      </c>
      <c r="K3">
        <v>1</v>
      </c>
      <c r="L3" s="12">
        <v>195</v>
      </c>
      <c r="M3" s="12">
        <v>105</v>
      </c>
      <c r="N3" s="14">
        <v>0</v>
      </c>
      <c r="O3" t="s">
        <v>179</v>
      </c>
      <c r="P3" t="s">
        <v>34</v>
      </c>
    </row>
    <row r="4" spans="1:16">
      <c r="A4" t="s">
        <v>180</v>
      </c>
      <c r="B4" s="13">
        <v>45872</v>
      </c>
      <c r="C4" t="s">
        <v>181</v>
      </c>
      <c r="D4" t="s">
        <v>182</v>
      </c>
      <c r="E4" t="s">
        <v>183</v>
      </c>
      <c r="F4" t="s">
        <v>184</v>
      </c>
      <c r="G4" t="s">
        <v>20</v>
      </c>
      <c r="H4" t="s">
        <v>13</v>
      </c>
      <c r="I4" t="s">
        <v>170</v>
      </c>
      <c r="J4" t="s">
        <v>185</v>
      </c>
      <c r="K4">
        <v>4</v>
      </c>
      <c r="L4" s="12">
        <v>230</v>
      </c>
      <c r="M4" s="12">
        <v>132</v>
      </c>
      <c r="N4" s="14">
        <v>0.1</v>
      </c>
      <c r="O4" t="s">
        <v>186</v>
      </c>
      <c r="P4" t="s">
        <v>187</v>
      </c>
    </row>
    <row r="5" spans="1:16">
      <c r="A5" t="s">
        <v>188</v>
      </c>
      <c r="B5" s="13">
        <v>45737</v>
      </c>
      <c r="C5" t="s">
        <v>189</v>
      </c>
      <c r="D5" t="s">
        <v>190</v>
      </c>
      <c r="E5" t="s">
        <v>191</v>
      </c>
      <c r="F5" t="s">
        <v>192</v>
      </c>
      <c r="G5" t="s">
        <v>20</v>
      </c>
      <c r="H5" t="s">
        <v>12</v>
      </c>
      <c r="I5" t="s">
        <v>193</v>
      </c>
      <c r="J5" t="s">
        <v>194</v>
      </c>
      <c r="K5">
        <v>4</v>
      </c>
      <c r="L5" s="12">
        <v>720</v>
      </c>
      <c r="M5" s="12">
        <v>510</v>
      </c>
      <c r="N5" s="14">
        <v>0.05</v>
      </c>
      <c r="O5" t="s">
        <v>186</v>
      </c>
      <c r="P5" t="s">
        <v>34</v>
      </c>
    </row>
    <row r="6" spans="1:16">
      <c r="A6" t="s">
        <v>195</v>
      </c>
      <c r="B6" s="13">
        <v>45893</v>
      </c>
      <c r="C6" t="s">
        <v>196</v>
      </c>
      <c r="D6" t="s">
        <v>197</v>
      </c>
      <c r="E6" t="s">
        <v>198</v>
      </c>
      <c r="F6" t="s">
        <v>199</v>
      </c>
      <c r="G6" t="s">
        <v>19</v>
      </c>
      <c r="H6" t="s">
        <v>14</v>
      </c>
      <c r="I6" t="s">
        <v>170</v>
      </c>
      <c r="J6" t="s">
        <v>171</v>
      </c>
      <c r="K6">
        <v>9</v>
      </c>
      <c r="L6" s="12">
        <v>95</v>
      </c>
      <c r="M6" s="12">
        <v>52</v>
      </c>
      <c r="N6" s="14">
        <v>0</v>
      </c>
      <c r="O6" t="s">
        <v>186</v>
      </c>
      <c r="P6" t="s">
        <v>34</v>
      </c>
    </row>
    <row r="7" spans="1:16">
      <c r="A7" t="s">
        <v>200</v>
      </c>
      <c r="B7" s="13">
        <v>45756</v>
      </c>
      <c r="C7" t="s">
        <v>201</v>
      </c>
      <c r="D7" t="s">
        <v>202</v>
      </c>
      <c r="E7" t="s">
        <v>176</v>
      </c>
      <c r="F7" t="s">
        <v>177</v>
      </c>
      <c r="G7" t="s">
        <v>20</v>
      </c>
      <c r="H7" t="s">
        <v>14</v>
      </c>
      <c r="I7" t="s">
        <v>203</v>
      </c>
      <c r="J7" t="s">
        <v>204</v>
      </c>
      <c r="K7">
        <v>12</v>
      </c>
      <c r="L7" s="12">
        <v>195</v>
      </c>
      <c r="M7" s="12">
        <v>105</v>
      </c>
      <c r="N7" s="14">
        <v>0</v>
      </c>
      <c r="O7" t="s">
        <v>172</v>
      </c>
      <c r="P7" t="s">
        <v>34</v>
      </c>
    </row>
    <row r="8" spans="1:16">
      <c r="A8" t="s">
        <v>205</v>
      </c>
      <c r="B8" s="13">
        <v>45800</v>
      </c>
      <c r="C8" t="s">
        <v>206</v>
      </c>
      <c r="D8" t="s">
        <v>207</v>
      </c>
      <c r="E8" t="s">
        <v>208</v>
      </c>
      <c r="F8" t="s">
        <v>209</v>
      </c>
      <c r="G8" t="s">
        <v>21</v>
      </c>
      <c r="H8" t="s">
        <v>14</v>
      </c>
      <c r="I8" t="s">
        <v>203</v>
      </c>
      <c r="J8" t="s">
        <v>194</v>
      </c>
      <c r="K8">
        <v>8</v>
      </c>
      <c r="L8" s="12">
        <v>840</v>
      </c>
      <c r="M8" s="12">
        <v>590</v>
      </c>
      <c r="N8" s="14">
        <v>0.2</v>
      </c>
      <c r="O8" t="s">
        <v>172</v>
      </c>
      <c r="P8" t="s">
        <v>34</v>
      </c>
    </row>
    <row r="9" spans="1:16">
      <c r="A9" t="s">
        <v>210</v>
      </c>
      <c r="B9" s="13">
        <v>45983</v>
      </c>
      <c r="C9" t="s">
        <v>211</v>
      </c>
      <c r="D9" t="s">
        <v>212</v>
      </c>
      <c r="E9" t="s">
        <v>176</v>
      </c>
      <c r="F9" t="s">
        <v>177</v>
      </c>
      <c r="G9" t="s">
        <v>20</v>
      </c>
      <c r="H9" t="s">
        <v>15</v>
      </c>
      <c r="I9" t="s">
        <v>193</v>
      </c>
      <c r="J9" t="s">
        <v>194</v>
      </c>
      <c r="K9">
        <v>3</v>
      </c>
      <c r="L9" s="12">
        <v>195</v>
      </c>
      <c r="M9" s="12">
        <v>105</v>
      </c>
      <c r="N9" s="14">
        <v>0.15</v>
      </c>
      <c r="O9" t="s">
        <v>179</v>
      </c>
      <c r="P9" t="s">
        <v>213</v>
      </c>
    </row>
    <row r="10" spans="1:16">
      <c r="A10" t="s">
        <v>214</v>
      </c>
      <c r="B10" s="13">
        <v>45686</v>
      </c>
      <c r="C10" t="s">
        <v>215</v>
      </c>
      <c r="D10" t="s">
        <v>216</v>
      </c>
      <c r="E10" t="s">
        <v>217</v>
      </c>
      <c r="F10" t="s">
        <v>218</v>
      </c>
      <c r="G10" t="s">
        <v>20</v>
      </c>
      <c r="H10" t="s">
        <v>12</v>
      </c>
      <c r="I10" t="s">
        <v>203</v>
      </c>
      <c r="J10" t="s">
        <v>171</v>
      </c>
      <c r="K10">
        <v>4</v>
      </c>
      <c r="L10" s="12">
        <v>1090</v>
      </c>
      <c r="M10" s="12">
        <v>790</v>
      </c>
      <c r="N10" s="14">
        <v>0</v>
      </c>
      <c r="O10" t="s">
        <v>186</v>
      </c>
      <c r="P10" t="s">
        <v>34</v>
      </c>
    </row>
    <row r="11" spans="1:16">
      <c r="A11" t="s">
        <v>88</v>
      </c>
      <c r="B11" s="13">
        <v>45993</v>
      </c>
      <c r="C11" t="s">
        <v>219</v>
      </c>
      <c r="D11" t="s">
        <v>90</v>
      </c>
      <c r="E11" t="s">
        <v>220</v>
      </c>
      <c r="F11" t="s">
        <v>221</v>
      </c>
      <c r="G11" t="s">
        <v>19</v>
      </c>
      <c r="H11" t="s">
        <v>14</v>
      </c>
      <c r="I11" t="s">
        <v>203</v>
      </c>
      <c r="J11" t="s">
        <v>204</v>
      </c>
      <c r="K11">
        <v>8</v>
      </c>
      <c r="L11" s="12">
        <v>175</v>
      </c>
      <c r="M11" s="12">
        <v>98</v>
      </c>
      <c r="N11" s="14">
        <v>0.1</v>
      </c>
      <c r="O11" t="s">
        <v>186</v>
      </c>
      <c r="P11" t="s">
        <v>213</v>
      </c>
    </row>
    <row r="12" spans="1:16">
      <c r="A12" t="s">
        <v>222</v>
      </c>
      <c r="B12" s="13">
        <v>45877</v>
      </c>
      <c r="C12" t="s">
        <v>166</v>
      </c>
      <c r="D12" t="s">
        <v>167</v>
      </c>
      <c r="E12" t="s">
        <v>176</v>
      </c>
      <c r="F12" t="s">
        <v>177</v>
      </c>
      <c r="G12" t="s">
        <v>20</v>
      </c>
      <c r="H12" t="s">
        <v>16</v>
      </c>
      <c r="I12" t="s">
        <v>193</v>
      </c>
      <c r="J12" t="s">
        <v>178</v>
      </c>
      <c r="K12">
        <v>10</v>
      </c>
      <c r="L12" s="12">
        <v>195</v>
      </c>
      <c r="M12" s="12">
        <v>105</v>
      </c>
      <c r="N12" s="14">
        <v>0.1</v>
      </c>
      <c r="O12" t="s">
        <v>172</v>
      </c>
      <c r="P12" t="s">
        <v>34</v>
      </c>
    </row>
    <row r="13" spans="1:16">
      <c r="A13" t="s">
        <v>223</v>
      </c>
      <c r="B13" s="13">
        <v>45736</v>
      </c>
      <c r="C13" t="s">
        <v>224</v>
      </c>
      <c r="D13" t="s">
        <v>225</v>
      </c>
      <c r="E13" t="s">
        <v>168</v>
      </c>
      <c r="F13" t="s">
        <v>169</v>
      </c>
      <c r="G13" t="s">
        <v>19</v>
      </c>
      <c r="H13" t="s">
        <v>12</v>
      </c>
      <c r="I13" t="s">
        <v>193</v>
      </c>
      <c r="J13" t="s">
        <v>185</v>
      </c>
      <c r="K13">
        <v>11</v>
      </c>
      <c r="L13" s="12">
        <v>85</v>
      </c>
      <c r="M13" s="12">
        <v>44</v>
      </c>
      <c r="N13" s="14">
        <v>0</v>
      </c>
      <c r="O13" t="s">
        <v>226</v>
      </c>
      <c r="P13" t="s">
        <v>213</v>
      </c>
    </row>
    <row r="14" spans="1:16">
      <c r="A14" t="s">
        <v>227</v>
      </c>
      <c r="B14" s="13">
        <v>45786</v>
      </c>
      <c r="C14" t="s">
        <v>228</v>
      </c>
      <c r="D14" t="s">
        <v>229</v>
      </c>
      <c r="E14" t="s">
        <v>183</v>
      </c>
      <c r="F14" t="s">
        <v>184</v>
      </c>
      <c r="G14" t="s">
        <v>20</v>
      </c>
      <c r="H14" t="s">
        <v>16</v>
      </c>
      <c r="I14" t="s">
        <v>193</v>
      </c>
      <c r="J14" t="s">
        <v>194</v>
      </c>
      <c r="K14">
        <v>9</v>
      </c>
      <c r="L14" s="12">
        <v>230</v>
      </c>
      <c r="M14" s="12">
        <v>132</v>
      </c>
      <c r="N14" s="14">
        <v>0</v>
      </c>
      <c r="O14" t="s">
        <v>172</v>
      </c>
      <c r="P14" t="s">
        <v>213</v>
      </c>
    </row>
    <row r="15" spans="1:16">
      <c r="A15" t="s">
        <v>230</v>
      </c>
      <c r="B15" s="13">
        <v>45880</v>
      </c>
      <c r="C15" t="s">
        <v>231</v>
      </c>
      <c r="D15" t="s">
        <v>232</v>
      </c>
      <c r="E15" t="s">
        <v>191</v>
      </c>
      <c r="F15" t="s">
        <v>192</v>
      </c>
      <c r="G15" t="s">
        <v>20</v>
      </c>
      <c r="H15" t="s">
        <v>16</v>
      </c>
      <c r="I15" t="s">
        <v>203</v>
      </c>
      <c r="J15" t="s">
        <v>171</v>
      </c>
      <c r="K15">
        <v>3</v>
      </c>
      <c r="L15" s="12">
        <v>720</v>
      </c>
      <c r="M15" s="12">
        <v>510</v>
      </c>
      <c r="N15" s="14">
        <v>0.1</v>
      </c>
      <c r="O15" t="s">
        <v>172</v>
      </c>
      <c r="P15" t="s">
        <v>34</v>
      </c>
    </row>
    <row r="16" spans="1:16">
      <c r="A16" t="s">
        <v>233</v>
      </c>
      <c r="B16" s="13">
        <v>45985</v>
      </c>
      <c r="C16" t="s">
        <v>234</v>
      </c>
      <c r="D16" t="s">
        <v>235</v>
      </c>
      <c r="E16" t="s">
        <v>191</v>
      </c>
      <c r="F16" t="s">
        <v>192</v>
      </c>
      <c r="G16" t="s">
        <v>20</v>
      </c>
      <c r="H16" t="s">
        <v>13</v>
      </c>
      <c r="I16" t="s">
        <v>170</v>
      </c>
      <c r="J16" t="s">
        <v>171</v>
      </c>
      <c r="K16">
        <v>9</v>
      </c>
      <c r="L16" s="12">
        <v>720</v>
      </c>
      <c r="M16" s="12">
        <v>510</v>
      </c>
      <c r="N16" s="14">
        <v>0.15</v>
      </c>
      <c r="O16" t="s">
        <v>172</v>
      </c>
      <c r="P16" t="s">
        <v>34</v>
      </c>
    </row>
    <row r="17" spans="1:16">
      <c r="A17" t="s">
        <v>236</v>
      </c>
      <c r="B17" s="13">
        <v>45823</v>
      </c>
      <c r="C17" t="s">
        <v>237</v>
      </c>
      <c r="D17" t="s">
        <v>238</v>
      </c>
      <c r="E17" t="s">
        <v>176</v>
      </c>
      <c r="F17" t="s">
        <v>177</v>
      </c>
      <c r="G17" t="s">
        <v>20</v>
      </c>
      <c r="H17" t="s">
        <v>14</v>
      </c>
      <c r="I17" t="s">
        <v>203</v>
      </c>
      <c r="J17" t="s">
        <v>178</v>
      </c>
      <c r="K17">
        <v>8</v>
      </c>
      <c r="L17" s="12">
        <v>195</v>
      </c>
      <c r="M17" s="12">
        <v>105</v>
      </c>
      <c r="N17" s="14">
        <v>0</v>
      </c>
      <c r="O17" t="s">
        <v>179</v>
      </c>
      <c r="P17" t="s">
        <v>34</v>
      </c>
    </row>
    <row r="18" spans="1:16">
      <c r="A18" t="s">
        <v>239</v>
      </c>
      <c r="B18" s="13">
        <v>45698</v>
      </c>
      <c r="C18" t="s">
        <v>240</v>
      </c>
      <c r="D18" t="s">
        <v>241</v>
      </c>
      <c r="E18" t="s">
        <v>176</v>
      </c>
      <c r="F18" t="s">
        <v>177</v>
      </c>
      <c r="G18" t="s">
        <v>20</v>
      </c>
      <c r="H18" t="s">
        <v>16</v>
      </c>
      <c r="I18" t="s">
        <v>203</v>
      </c>
      <c r="J18" t="s">
        <v>204</v>
      </c>
      <c r="K18">
        <v>2</v>
      </c>
      <c r="L18" s="12">
        <v>195</v>
      </c>
      <c r="M18" s="12">
        <v>105</v>
      </c>
      <c r="N18" s="14">
        <v>0.2</v>
      </c>
      <c r="O18" t="s">
        <v>226</v>
      </c>
      <c r="P18" t="s">
        <v>34</v>
      </c>
    </row>
    <row r="19" spans="1:16">
      <c r="A19" t="s">
        <v>242</v>
      </c>
      <c r="B19" s="13">
        <v>45742</v>
      </c>
      <c r="C19" t="s">
        <v>224</v>
      </c>
      <c r="D19" t="s">
        <v>243</v>
      </c>
      <c r="E19" t="s">
        <v>183</v>
      </c>
      <c r="F19" t="s">
        <v>184</v>
      </c>
      <c r="G19" t="s">
        <v>20</v>
      </c>
      <c r="H19" t="s">
        <v>16</v>
      </c>
      <c r="I19" t="s">
        <v>170</v>
      </c>
      <c r="J19" t="s">
        <v>204</v>
      </c>
      <c r="K19">
        <v>5</v>
      </c>
      <c r="L19" s="12">
        <v>230</v>
      </c>
      <c r="M19" s="12">
        <v>132</v>
      </c>
      <c r="N19" s="14">
        <v>0.15</v>
      </c>
      <c r="O19" t="s">
        <v>186</v>
      </c>
      <c r="P19" t="s">
        <v>187</v>
      </c>
    </row>
    <row r="20" spans="1:16">
      <c r="A20" t="s">
        <v>244</v>
      </c>
      <c r="B20" s="13">
        <v>46001</v>
      </c>
      <c r="C20" t="s">
        <v>245</v>
      </c>
      <c r="D20" t="s">
        <v>246</v>
      </c>
      <c r="E20" t="s">
        <v>208</v>
      </c>
      <c r="F20" t="s">
        <v>209</v>
      </c>
      <c r="G20" t="s">
        <v>21</v>
      </c>
      <c r="H20" t="s">
        <v>15</v>
      </c>
      <c r="I20" t="s">
        <v>203</v>
      </c>
      <c r="J20" t="s">
        <v>204</v>
      </c>
      <c r="K20">
        <v>11</v>
      </c>
      <c r="L20" s="12">
        <v>840</v>
      </c>
      <c r="M20" s="12">
        <v>590</v>
      </c>
      <c r="N20" s="14">
        <v>0.05</v>
      </c>
      <c r="O20" t="s">
        <v>179</v>
      </c>
      <c r="P20" t="s">
        <v>34</v>
      </c>
    </row>
    <row r="21" spans="1:16">
      <c r="A21" t="s">
        <v>247</v>
      </c>
      <c r="B21" s="13">
        <v>45831</v>
      </c>
      <c r="C21" t="s">
        <v>248</v>
      </c>
      <c r="D21" t="s">
        <v>249</v>
      </c>
      <c r="E21" t="s">
        <v>168</v>
      </c>
      <c r="F21" t="s">
        <v>169</v>
      </c>
      <c r="G21" t="s">
        <v>19</v>
      </c>
      <c r="H21" t="s">
        <v>13</v>
      </c>
      <c r="I21" t="s">
        <v>203</v>
      </c>
      <c r="J21" t="s">
        <v>178</v>
      </c>
      <c r="K21">
        <v>1</v>
      </c>
      <c r="L21" s="12">
        <v>85</v>
      </c>
      <c r="M21" s="12">
        <v>44</v>
      </c>
      <c r="N21" s="14">
        <v>0.15</v>
      </c>
      <c r="O21" t="s">
        <v>172</v>
      </c>
      <c r="P21" t="s">
        <v>187</v>
      </c>
    </row>
    <row r="22" spans="1:16">
      <c r="A22" t="s">
        <v>250</v>
      </c>
      <c r="B22" s="13">
        <v>45692</v>
      </c>
      <c r="C22" t="s">
        <v>251</v>
      </c>
      <c r="D22" t="s">
        <v>252</v>
      </c>
      <c r="E22" t="s">
        <v>220</v>
      </c>
      <c r="F22" t="s">
        <v>221</v>
      </c>
      <c r="G22" t="s">
        <v>19</v>
      </c>
      <c r="H22" t="s">
        <v>14</v>
      </c>
      <c r="I22" t="s">
        <v>170</v>
      </c>
      <c r="J22" t="s">
        <v>185</v>
      </c>
      <c r="K22">
        <v>1</v>
      </c>
      <c r="L22" s="12">
        <v>175</v>
      </c>
      <c r="M22" s="12">
        <v>98</v>
      </c>
      <c r="N22" s="14">
        <v>0.05</v>
      </c>
      <c r="O22" t="s">
        <v>179</v>
      </c>
      <c r="P22" t="s">
        <v>34</v>
      </c>
    </row>
    <row r="23" spans="1:16">
      <c r="A23" t="s">
        <v>253</v>
      </c>
      <c r="B23" s="13">
        <v>45725</v>
      </c>
      <c r="C23" t="s">
        <v>254</v>
      </c>
      <c r="D23" t="s">
        <v>255</v>
      </c>
      <c r="E23" t="s">
        <v>183</v>
      </c>
      <c r="F23" t="s">
        <v>184</v>
      </c>
      <c r="G23" t="s">
        <v>20</v>
      </c>
      <c r="H23" t="s">
        <v>15</v>
      </c>
      <c r="I23" t="s">
        <v>193</v>
      </c>
      <c r="J23" t="s">
        <v>204</v>
      </c>
      <c r="K23">
        <v>12</v>
      </c>
      <c r="L23" s="12">
        <v>230</v>
      </c>
      <c r="M23" s="12">
        <v>132</v>
      </c>
      <c r="N23" s="14">
        <v>0.15</v>
      </c>
      <c r="O23" t="s">
        <v>172</v>
      </c>
      <c r="P23" t="s">
        <v>187</v>
      </c>
    </row>
    <row r="24" spans="1:16">
      <c r="A24" t="s">
        <v>256</v>
      </c>
      <c r="B24" s="13">
        <v>45995</v>
      </c>
      <c r="C24" t="s">
        <v>257</v>
      </c>
      <c r="D24" t="s">
        <v>258</v>
      </c>
      <c r="E24" t="s">
        <v>168</v>
      </c>
      <c r="F24" t="s">
        <v>169</v>
      </c>
      <c r="G24" t="s">
        <v>19</v>
      </c>
      <c r="H24" t="s">
        <v>12</v>
      </c>
      <c r="I24" t="s">
        <v>170</v>
      </c>
      <c r="J24" t="s">
        <v>178</v>
      </c>
      <c r="K24">
        <v>7</v>
      </c>
      <c r="L24" s="12">
        <v>85</v>
      </c>
      <c r="M24" s="12">
        <v>44</v>
      </c>
      <c r="N24" s="14">
        <v>0.05</v>
      </c>
      <c r="O24" t="s">
        <v>172</v>
      </c>
      <c r="P24" t="s">
        <v>34</v>
      </c>
    </row>
    <row r="25" spans="1:16">
      <c r="A25" t="s">
        <v>259</v>
      </c>
      <c r="B25" s="13">
        <v>45831</v>
      </c>
      <c r="C25" t="s">
        <v>260</v>
      </c>
      <c r="D25" t="s">
        <v>261</v>
      </c>
      <c r="E25" t="s">
        <v>208</v>
      </c>
      <c r="F25" t="s">
        <v>209</v>
      </c>
      <c r="G25" t="s">
        <v>21</v>
      </c>
      <c r="H25" t="s">
        <v>15</v>
      </c>
      <c r="I25" t="s">
        <v>203</v>
      </c>
      <c r="J25" t="s">
        <v>185</v>
      </c>
      <c r="K25">
        <v>2</v>
      </c>
      <c r="L25" s="12">
        <v>840</v>
      </c>
      <c r="M25" s="12">
        <v>590</v>
      </c>
      <c r="N25" s="14">
        <v>0</v>
      </c>
      <c r="O25" t="s">
        <v>179</v>
      </c>
      <c r="P25" t="s">
        <v>34</v>
      </c>
    </row>
    <row r="26" spans="1:16">
      <c r="A26" t="s">
        <v>94</v>
      </c>
      <c r="B26" s="13">
        <v>45894</v>
      </c>
      <c r="C26" t="s">
        <v>262</v>
      </c>
      <c r="D26" t="s">
        <v>263</v>
      </c>
      <c r="E26" t="s">
        <v>191</v>
      </c>
      <c r="F26" t="s">
        <v>192</v>
      </c>
      <c r="G26" t="s">
        <v>20</v>
      </c>
      <c r="H26" t="s">
        <v>12</v>
      </c>
      <c r="I26" t="s">
        <v>203</v>
      </c>
      <c r="J26" t="s">
        <v>171</v>
      </c>
      <c r="K26">
        <v>0</v>
      </c>
      <c r="L26" s="12">
        <v>720</v>
      </c>
      <c r="M26" s="12">
        <v>510</v>
      </c>
      <c r="N26" s="14">
        <v>0</v>
      </c>
      <c r="O26" t="s">
        <v>172</v>
      </c>
      <c r="P26" t="s">
        <v>34</v>
      </c>
    </row>
    <row r="27" spans="1:16">
      <c r="A27" t="s">
        <v>264</v>
      </c>
      <c r="B27" s="13">
        <v>45779</v>
      </c>
      <c r="C27" t="s">
        <v>265</v>
      </c>
      <c r="D27" t="s">
        <v>243</v>
      </c>
      <c r="E27" t="s">
        <v>168</v>
      </c>
      <c r="F27" t="s">
        <v>169</v>
      </c>
      <c r="G27" t="s">
        <v>19</v>
      </c>
      <c r="H27" t="s">
        <v>15</v>
      </c>
      <c r="I27" t="s">
        <v>203</v>
      </c>
      <c r="J27" t="s">
        <v>204</v>
      </c>
      <c r="K27">
        <v>3</v>
      </c>
      <c r="L27" s="12">
        <v>85</v>
      </c>
      <c r="M27" s="12">
        <v>44</v>
      </c>
      <c r="N27" s="14">
        <v>0.1</v>
      </c>
      <c r="O27" t="s">
        <v>226</v>
      </c>
      <c r="P27" t="s">
        <v>34</v>
      </c>
    </row>
    <row r="28" spans="1:16">
      <c r="A28" t="s">
        <v>266</v>
      </c>
      <c r="B28" s="13">
        <v>45857</v>
      </c>
      <c r="C28" t="s">
        <v>224</v>
      </c>
      <c r="D28" t="s">
        <v>267</v>
      </c>
      <c r="E28" t="s">
        <v>198</v>
      </c>
      <c r="F28" t="s">
        <v>199</v>
      </c>
      <c r="G28" t="s">
        <v>19</v>
      </c>
      <c r="H28" t="s">
        <v>16</v>
      </c>
      <c r="I28" t="s">
        <v>170</v>
      </c>
      <c r="J28" t="s">
        <v>185</v>
      </c>
      <c r="K28">
        <v>5</v>
      </c>
      <c r="L28" s="12">
        <v>95</v>
      </c>
      <c r="M28" s="12">
        <v>52</v>
      </c>
      <c r="N28" s="14">
        <v>0.1</v>
      </c>
      <c r="O28" t="s">
        <v>179</v>
      </c>
      <c r="P28" t="s">
        <v>34</v>
      </c>
    </row>
    <row r="29" spans="1:16">
      <c r="A29" t="s">
        <v>268</v>
      </c>
      <c r="B29" s="13">
        <v>45809</v>
      </c>
      <c r="C29" t="s">
        <v>269</v>
      </c>
      <c r="D29" t="s">
        <v>270</v>
      </c>
      <c r="E29" t="s">
        <v>220</v>
      </c>
      <c r="F29" t="s">
        <v>221</v>
      </c>
      <c r="G29" t="s">
        <v>19</v>
      </c>
      <c r="H29" t="s">
        <v>12</v>
      </c>
      <c r="I29" t="s">
        <v>170</v>
      </c>
      <c r="J29" t="s">
        <v>194</v>
      </c>
      <c r="K29">
        <v>4</v>
      </c>
      <c r="L29" s="12">
        <v>175</v>
      </c>
      <c r="M29" s="12">
        <v>98</v>
      </c>
      <c r="N29" s="14">
        <v>0</v>
      </c>
      <c r="O29" t="s">
        <v>172</v>
      </c>
      <c r="P29" t="s">
        <v>187</v>
      </c>
    </row>
    <row r="30" spans="1:16">
      <c r="A30" t="s">
        <v>271</v>
      </c>
      <c r="B30" s="13">
        <v>45957</v>
      </c>
      <c r="C30" t="s">
        <v>206</v>
      </c>
      <c r="D30" t="s">
        <v>272</v>
      </c>
      <c r="E30" t="s">
        <v>198</v>
      </c>
      <c r="F30" t="s">
        <v>199</v>
      </c>
      <c r="G30" t="s">
        <v>19</v>
      </c>
      <c r="H30" t="s">
        <v>16</v>
      </c>
      <c r="I30" t="s">
        <v>203</v>
      </c>
      <c r="J30" t="s">
        <v>204</v>
      </c>
      <c r="K30">
        <v>8</v>
      </c>
      <c r="L30" s="12">
        <v>95</v>
      </c>
      <c r="M30" s="12">
        <v>52</v>
      </c>
      <c r="N30" s="14">
        <v>0.15</v>
      </c>
      <c r="O30" t="s">
        <v>172</v>
      </c>
      <c r="P30" t="s">
        <v>187</v>
      </c>
    </row>
    <row r="31" spans="1:16">
      <c r="A31" t="s">
        <v>273</v>
      </c>
      <c r="B31" s="13">
        <v>45692</v>
      </c>
      <c r="C31" t="s">
        <v>274</v>
      </c>
      <c r="D31" t="s">
        <v>275</v>
      </c>
      <c r="E31" t="s">
        <v>176</v>
      </c>
      <c r="F31" t="s">
        <v>177</v>
      </c>
      <c r="G31" t="s">
        <v>20</v>
      </c>
      <c r="H31" t="s">
        <v>13</v>
      </c>
      <c r="I31" t="s">
        <v>170</v>
      </c>
      <c r="J31" t="s">
        <v>171</v>
      </c>
      <c r="K31">
        <v>11</v>
      </c>
      <c r="L31" s="12">
        <v>195</v>
      </c>
      <c r="M31" s="12">
        <v>105</v>
      </c>
      <c r="N31" s="14">
        <v>0</v>
      </c>
      <c r="O31" t="s">
        <v>172</v>
      </c>
      <c r="P31" t="s">
        <v>34</v>
      </c>
    </row>
    <row r="32" spans="1:16">
      <c r="A32" t="s">
        <v>276</v>
      </c>
      <c r="B32" s="13">
        <v>45699</v>
      </c>
      <c r="C32" t="s">
        <v>277</v>
      </c>
      <c r="D32" t="s">
        <v>278</v>
      </c>
      <c r="E32" t="s">
        <v>176</v>
      </c>
      <c r="F32" t="s">
        <v>177</v>
      </c>
      <c r="G32" t="s">
        <v>20</v>
      </c>
      <c r="H32" t="s">
        <v>14</v>
      </c>
      <c r="I32" t="s">
        <v>193</v>
      </c>
      <c r="J32" t="s">
        <v>204</v>
      </c>
      <c r="K32">
        <v>7</v>
      </c>
      <c r="L32" s="12">
        <v>195</v>
      </c>
      <c r="M32" s="12">
        <v>105</v>
      </c>
      <c r="N32" s="14">
        <v>0.2</v>
      </c>
      <c r="O32" t="s">
        <v>186</v>
      </c>
      <c r="P32" t="s">
        <v>187</v>
      </c>
    </row>
    <row r="33" spans="1:16">
      <c r="A33" t="s">
        <v>279</v>
      </c>
      <c r="B33" s="13">
        <v>45793</v>
      </c>
      <c r="C33" t="s">
        <v>280</v>
      </c>
      <c r="D33" t="s">
        <v>281</v>
      </c>
      <c r="E33" t="s">
        <v>220</v>
      </c>
      <c r="F33" t="s">
        <v>221</v>
      </c>
      <c r="G33" t="s">
        <v>19</v>
      </c>
      <c r="H33" t="s">
        <v>15</v>
      </c>
      <c r="I33" t="s">
        <v>193</v>
      </c>
      <c r="J33" t="s">
        <v>178</v>
      </c>
      <c r="K33">
        <v>7</v>
      </c>
      <c r="L33" s="12">
        <v>175</v>
      </c>
      <c r="M33" s="12">
        <v>98</v>
      </c>
      <c r="N33" s="14">
        <v>0</v>
      </c>
      <c r="O33" t="s">
        <v>172</v>
      </c>
      <c r="P33" t="s">
        <v>213</v>
      </c>
    </row>
    <row r="34" spans="1:16">
      <c r="A34" t="s">
        <v>282</v>
      </c>
      <c r="B34" s="13">
        <v>45976</v>
      </c>
      <c r="C34" t="s">
        <v>283</v>
      </c>
      <c r="D34" t="s">
        <v>243</v>
      </c>
      <c r="E34" t="s">
        <v>284</v>
      </c>
      <c r="F34" t="s">
        <v>285</v>
      </c>
      <c r="G34" t="s">
        <v>21</v>
      </c>
      <c r="H34" t="s">
        <v>16</v>
      </c>
      <c r="I34" t="s">
        <v>193</v>
      </c>
      <c r="J34" t="s">
        <v>204</v>
      </c>
      <c r="K34">
        <v>10</v>
      </c>
      <c r="L34" s="12">
        <v>1450</v>
      </c>
      <c r="M34" s="12">
        <v>1030</v>
      </c>
      <c r="N34" s="14">
        <v>0</v>
      </c>
      <c r="O34" t="s">
        <v>186</v>
      </c>
      <c r="P34" t="s">
        <v>34</v>
      </c>
    </row>
    <row r="35" spans="1:16">
      <c r="A35" t="s">
        <v>286</v>
      </c>
      <c r="B35" s="13">
        <v>45783</v>
      </c>
      <c r="C35" t="s">
        <v>287</v>
      </c>
      <c r="D35" t="s">
        <v>288</v>
      </c>
      <c r="E35" t="s">
        <v>168</v>
      </c>
      <c r="F35" t="s">
        <v>169</v>
      </c>
      <c r="G35" t="s">
        <v>19</v>
      </c>
      <c r="H35" t="s">
        <v>14</v>
      </c>
      <c r="I35" t="s">
        <v>170</v>
      </c>
      <c r="J35" t="s">
        <v>171</v>
      </c>
      <c r="K35">
        <v>6</v>
      </c>
      <c r="L35" s="12">
        <v>85</v>
      </c>
      <c r="M35" s="12">
        <v>44</v>
      </c>
      <c r="N35" s="14">
        <v>0.05</v>
      </c>
      <c r="O35" t="s">
        <v>172</v>
      </c>
      <c r="P35" t="s">
        <v>34</v>
      </c>
    </row>
    <row r="36" spans="1:16">
      <c r="A36" t="s">
        <v>289</v>
      </c>
      <c r="B36" s="13">
        <v>45811</v>
      </c>
      <c r="C36" t="s">
        <v>290</v>
      </c>
      <c r="D36" t="s">
        <v>229</v>
      </c>
      <c r="E36" t="s">
        <v>183</v>
      </c>
      <c r="F36" t="s">
        <v>184</v>
      </c>
      <c r="G36" t="s">
        <v>20</v>
      </c>
      <c r="H36" t="s">
        <v>12</v>
      </c>
      <c r="I36" t="s">
        <v>170</v>
      </c>
      <c r="J36" t="s">
        <v>171</v>
      </c>
      <c r="K36">
        <v>11</v>
      </c>
      <c r="L36" s="12">
        <v>230</v>
      </c>
      <c r="M36" s="12">
        <v>132</v>
      </c>
      <c r="N36" s="14">
        <v>0</v>
      </c>
      <c r="O36" t="s">
        <v>179</v>
      </c>
      <c r="P36" t="s">
        <v>34</v>
      </c>
    </row>
    <row r="37" spans="1:16">
      <c r="A37" t="s">
        <v>291</v>
      </c>
      <c r="B37" s="13">
        <v>45802</v>
      </c>
      <c r="C37" t="s">
        <v>292</v>
      </c>
      <c r="D37" t="s">
        <v>293</v>
      </c>
      <c r="E37" t="s">
        <v>191</v>
      </c>
      <c r="F37" t="s">
        <v>192</v>
      </c>
      <c r="G37" t="s">
        <v>20</v>
      </c>
      <c r="H37" t="s">
        <v>14</v>
      </c>
      <c r="I37" t="s">
        <v>170</v>
      </c>
      <c r="J37" t="s">
        <v>185</v>
      </c>
      <c r="K37">
        <v>10</v>
      </c>
      <c r="L37" s="12">
        <v>720</v>
      </c>
      <c r="M37" s="12">
        <v>510</v>
      </c>
      <c r="N37" s="14">
        <v>0</v>
      </c>
      <c r="O37" t="s">
        <v>186</v>
      </c>
      <c r="P37" t="s">
        <v>213</v>
      </c>
    </row>
    <row r="38" spans="1:16">
      <c r="A38" t="s">
        <v>294</v>
      </c>
      <c r="B38" s="13">
        <v>45705</v>
      </c>
      <c r="C38" t="s">
        <v>295</v>
      </c>
      <c r="D38" t="s">
        <v>296</v>
      </c>
      <c r="E38" t="s">
        <v>198</v>
      </c>
      <c r="F38" t="s">
        <v>199</v>
      </c>
      <c r="G38" t="s">
        <v>19</v>
      </c>
      <c r="H38" t="s">
        <v>14</v>
      </c>
      <c r="I38" t="s">
        <v>203</v>
      </c>
      <c r="J38" t="s">
        <v>194</v>
      </c>
      <c r="K38">
        <v>11</v>
      </c>
      <c r="L38" s="12">
        <v>95</v>
      </c>
      <c r="M38" s="12">
        <v>52</v>
      </c>
      <c r="N38" s="14">
        <v>0.1</v>
      </c>
      <c r="O38" t="s">
        <v>179</v>
      </c>
      <c r="P38" t="s">
        <v>34</v>
      </c>
    </row>
    <row r="39" spans="1:16">
      <c r="A39" t="s">
        <v>297</v>
      </c>
      <c r="B39" s="13">
        <v>45940</v>
      </c>
      <c r="C39" t="s">
        <v>298</v>
      </c>
      <c r="D39" t="s">
        <v>299</v>
      </c>
      <c r="E39" t="s">
        <v>284</v>
      </c>
      <c r="F39" t="s">
        <v>285</v>
      </c>
      <c r="G39" t="s">
        <v>21</v>
      </c>
      <c r="H39" t="s">
        <v>12</v>
      </c>
      <c r="I39" t="s">
        <v>170</v>
      </c>
      <c r="J39" t="s">
        <v>204</v>
      </c>
      <c r="K39">
        <v>12</v>
      </c>
      <c r="L39" s="12">
        <v>1450</v>
      </c>
      <c r="M39" s="12">
        <v>1030</v>
      </c>
      <c r="N39" s="14">
        <v>0.1</v>
      </c>
      <c r="O39" t="s">
        <v>172</v>
      </c>
      <c r="P39" t="s">
        <v>187</v>
      </c>
    </row>
    <row r="40" spans="1:16">
      <c r="A40" t="s">
        <v>300</v>
      </c>
      <c r="B40" s="13">
        <v>45956</v>
      </c>
      <c r="C40" t="s">
        <v>301</v>
      </c>
      <c r="D40" t="s">
        <v>302</v>
      </c>
      <c r="E40" t="s">
        <v>217</v>
      </c>
      <c r="F40" t="s">
        <v>218</v>
      </c>
      <c r="G40" t="s">
        <v>20</v>
      </c>
      <c r="H40" t="s">
        <v>14</v>
      </c>
      <c r="I40" t="s">
        <v>193</v>
      </c>
      <c r="J40" t="s">
        <v>178</v>
      </c>
      <c r="K40">
        <v>9</v>
      </c>
      <c r="L40" s="12">
        <v>1090</v>
      </c>
      <c r="M40" s="12">
        <v>790</v>
      </c>
      <c r="N40" s="14">
        <v>0</v>
      </c>
      <c r="O40" t="s">
        <v>186</v>
      </c>
      <c r="P40" t="s">
        <v>34</v>
      </c>
    </row>
    <row r="41" spans="1:16">
      <c r="A41" t="s">
        <v>303</v>
      </c>
      <c r="B41" s="13">
        <v>46007</v>
      </c>
      <c r="C41" t="s">
        <v>304</v>
      </c>
      <c r="D41" t="s">
        <v>305</v>
      </c>
      <c r="E41" t="s">
        <v>220</v>
      </c>
      <c r="F41" t="s">
        <v>221</v>
      </c>
      <c r="G41" t="s">
        <v>19</v>
      </c>
      <c r="H41" t="s">
        <v>15</v>
      </c>
      <c r="I41" t="s">
        <v>170</v>
      </c>
      <c r="J41" t="s">
        <v>204</v>
      </c>
      <c r="K41">
        <v>4</v>
      </c>
      <c r="L41" s="12">
        <v>175</v>
      </c>
      <c r="M41" s="12">
        <v>98</v>
      </c>
      <c r="N41" s="14">
        <v>0.2</v>
      </c>
      <c r="O41" t="s">
        <v>179</v>
      </c>
      <c r="P41" t="s">
        <v>34</v>
      </c>
    </row>
    <row r="42" spans="1:16">
      <c r="A42" t="s">
        <v>306</v>
      </c>
      <c r="B42" s="13">
        <v>45748</v>
      </c>
      <c r="C42" t="s">
        <v>269</v>
      </c>
      <c r="D42" t="s">
        <v>307</v>
      </c>
      <c r="E42" t="s">
        <v>308</v>
      </c>
      <c r="F42" t="s">
        <v>309</v>
      </c>
      <c r="G42" t="s">
        <v>19</v>
      </c>
      <c r="H42" t="s">
        <v>15</v>
      </c>
      <c r="I42" t="s">
        <v>170</v>
      </c>
      <c r="J42" t="s">
        <v>204</v>
      </c>
      <c r="K42">
        <v>7</v>
      </c>
      <c r="L42" s="12">
        <v>265</v>
      </c>
      <c r="M42" s="12">
        <v>155</v>
      </c>
      <c r="N42" s="14">
        <v>0</v>
      </c>
      <c r="O42" t="s">
        <v>186</v>
      </c>
      <c r="P42" t="s">
        <v>34</v>
      </c>
    </row>
    <row r="43" spans="1:16">
      <c r="A43" t="s">
        <v>310</v>
      </c>
      <c r="B43" s="13">
        <v>46017</v>
      </c>
      <c r="C43" t="s">
        <v>311</v>
      </c>
      <c r="D43" t="s">
        <v>312</v>
      </c>
      <c r="E43" t="s">
        <v>308</v>
      </c>
      <c r="F43" t="s">
        <v>309</v>
      </c>
      <c r="G43" t="s">
        <v>19</v>
      </c>
      <c r="H43" t="s">
        <v>13</v>
      </c>
      <c r="I43" t="s">
        <v>203</v>
      </c>
      <c r="J43" t="s">
        <v>185</v>
      </c>
      <c r="K43">
        <v>2</v>
      </c>
      <c r="L43" s="12">
        <v>265</v>
      </c>
      <c r="M43" s="12">
        <v>155</v>
      </c>
      <c r="N43" s="14">
        <v>0.1</v>
      </c>
      <c r="O43" t="s">
        <v>186</v>
      </c>
      <c r="P43" t="s">
        <v>34</v>
      </c>
    </row>
    <row r="44" spans="1:16">
      <c r="A44" t="s">
        <v>313</v>
      </c>
      <c r="B44" s="13">
        <v>45774</v>
      </c>
      <c r="C44" t="s">
        <v>260</v>
      </c>
      <c r="D44" t="s">
        <v>314</v>
      </c>
      <c r="E44" t="s">
        <v>191</v>
      </c>
      <c r="F44" t="s">
        <v>192</v>
      </c>
      <c r="G44" t="s">
        <v>20</v>
      </c>
      <c r="H44" t="s">
        <v>14</v>
      </c>
      <c r="I44" t="s">
        <v>193</v>
      </c>
      <c r="J44" t="s">
        <v>178</v>
      </c>
      <c r="K44">
        <v>4</v>
      </c>
      <c r="L44" s="12">
        <v>720</v>
      </c>
      <c r="M44" s="12">
        <v>510</v>
      </c>
      <c r="N44" s="14">
        <v>0</v>
      </c>
      <c r="O44" t="s">
        <v>186</v>
      </c>
      <c r="P44" t="s">
        <v>213</v>
      </c>
    </row>
    <row r="45" spans="1:16">
      <c r="A45" t="s">
        <v>315</v>
      </c>
      <c r="B45" s="13">
        <v>45986</v>
      </c>
      <c r="C45" t="s">
        <v>316</v>
      </c>
      <c r="D45" t="s">
        <v>261</v>
      </c>
      <c r="E45" t="s">
        <v>217</v>
      </c>
      <c r="F45" t="s">
        <v>218</v>
      </c>
      <c r="G45" t="s">
        <v>20</v>
      </c>
      <c r="H45" t="s">
        <v>14</v>
      </c>
      <c r="I45" t="s">
        <v>203</v>
      </c>
      <c r="J45" t="s">
        <v>178</v>
      </c>
      <c r="K45">
        <v>9</v>
      </c>
      <c r="L45" s="12">
        <v>1090</v>
      </c>
      <c r="M45" s="12">
        <v>790</v>
      </c>
      <c r="N45" s="14">
        <v>0.1</v>
      </c>
      <c r="O45" t="s">
        <v>186</v>
      </c>
      <c r="P45" t="s">
        <v>213</v>
      </c>
    </row>
    <row r="46" spans="1:16">
      <c r="A46" t="s">
        <v>317</v>
      </c>
      <c r="B46" s="13">
        <v>45955</v>
      </c>
      <c r="C46" t="s">
        <v>318</v>
      </c>
      <c r="D46" t="s">
        <v>319</v>
      </c>
      <c r="E46" t="s">
        <v>308</v>
      </c>
      <c r="F46" t="s">
        <v>309</v>
      </c>
      <c r="G46" t="s">
        <v>19</v>
      </c>
      <c r="H46" t="s">
        <v>14</v>
      </c>
      <c r="I46" t="s">
        <v>170</v>
      </c>
      <c r="J46" t="s">
        <v>194</v>
      </c>
      <c r="K46">
        <v>5</v>
      </c>
      <c r="L46" s="12">
        <v>265</v>
      </c>
      <c r="M46" s="12">
        <v>155</v>
      </c>
      <c r="N46" s="14">
        <v>0</v>
      </c>
      <c r="O46" t="s">
        <v>226</v>
      </c>
      <c r="P46" t="s">
        <v>34</v>
      </c>
    </row>
    <row r="47" spans="1:16">
      <c r="A47" t="s">
        <v>320</v>
      </c>
      <c r="B47" s="13">
        <v>45919</v>
      </c>
      <c r="C47" t="s">
        <v>260</v>
      </c>
      <c r="D47" t="s">
        <v>321</v>
      </c>
      <c r="E47" t="s">
        <v>176</v>
      </c>
      <c r="F47" t="s">
        <v>177</v>
      </c>
      <c r="G47" t="s">
        <v>20</v>
      </c>
      <c r="H47" t="s">
        <v>12</v>
      </c>
      <c r="I47" t="s">
        <v>170</v>
      </c>
      <c r="J47" t="s">
        <v>185</v>
      </c>
      <c r="K47">
        <v>2</v>
      </c>
      <c r="L47" s="12">
        <v>195</v>
      </c>
      <c r="M47" s="12">
        <v>105</v>
      </c>
      <c r="N47" s="14">
        <v>0.1</v>
      </c>
      <c r="O47" t="s">
        <v>172</v>
      </c>
      <c r="P47" t="s">
        <v>187</v>
      </c>
    </row>
    <row r="48" spans="1:16">
      <c r="A48" t="s">
        <v>322</v>
      </c>
      <c r="B48" s="13">
        <v>45933</v>
      </c>
      <c r="C48" t="s">
        <v>269</v>
      </c>
      <c r="D48" t="s">
        <v>323</v>
      </c>
      <c r="E48" t="s">
        <v>183</v>
      </c>
      <c r="F48" t="s">
        <v>184</v>
      </c>
      <c r="G48" t="s">
        <v>20</v>
      </c>
      <c r="H48" t="s">
        <v>13</v>
      </c>
      <c r="I48" t="s">
        <v>193</v>
      </c>
      <c r="J48" t="s">
        <v>185</v>
      </c>
      <c r="K48">
        <v>11</v>
      </c>
      <c r="L48" s="12">
        <v>230</v>
      </c>
      <c r="M48" s="12">
        <v>132</v>
      </c>
      <c r="N48" s="14">
        <v>0.2</v>
      </c>
      <c r="O48" t="s">
        <v>172</v>
      </c>
      <c r="P48" t="s">
        <v>213</v>
      </c>
    </row>
    <row r="49" spans="1:16">
      <c r="A49" t="s">
        <v>324</v>
      </c>
      <c r="B49" s="13">
        <v>45977</v>
      </c>
      <c r="C49" t="s">
        <v>228</v>
      </c>
      <c r="D49" t="s">
        <v>281</v>
      </c>
      <c r="E49" t="s">
        <v>217</v>
      </c>
      <c r="F49" t="s">
        <v>218</v>
      </c>
      <c r="G49" t="s">
        <v>20</v>
      </c>
      <c r="H49" t="s">
        <v>16</v>
      </c>
      <c r="I49" t="s">
        <v>193</v>
      </c>
      <c r="J49" t="s">
        <v>185</v>
      </c>
      <c r="K49">
        <v>6</v>
      </c>
      <c r="L49" s="12">
        <v>1090</v>
      </c>
      <c r="M49" s="12">
        <v>790</v>
      </c>
      <c r="N49" s="14">
        <v>0.2</v>
      </c>
      <c r="O49" t="s">
        <v>186</v>
      </c>
      <c r="P49" t="s">
        <v>34</v>
      </c>
    </row>
    <row r="50" spans="1:16">
      <c r="A50" t="s">
        <v>99</v>
      </c>
      <c r="B50" s="13">
        <v>46014</v>
      </c>
      <c r="C50" t="s">
        <v>260</v>
      </c>
      <c r="D50" t="s">
        <v>325</v>
      </c>
      <c r="E50" t="s">
        <v>101</v>
      </c>
      <c r="F50" t="s">
        <v>209</v>
      </c>
      <c r="G50" t="s">
        <v>21</v>
      </c>
      <c r="H50" t="s">
        <v>15</v>
      </c>
      <c r="I50" t="s">
        <v>170</v>
      </c>
      <c r="J50" t="s">
        <v>204</v>
      </c>
      <c r="K50">
        <v>5</v>
      </c>
      <c r="L50" s="12">
        <v>840</v>
      </c>
      <c r="M50" s="12">
        <v>590</v>
      </c>
      <c r="N50" s="14">
        <v>0.15</v>
      </c>
      <c r="O50" t="s">
        <v>186</v>
      </c>
      <c r="P50" t="s">
        <v>34</v>
      </c>
    </row>
    <row r="51" spans="1:16">
      <c r="A51" t="s">
        <v>326</v>
      </c>
      <c r="B51" s="13">
        <v>45938</v>
      </c>
      <c r="C51" t="s">
        <v>327</v>
      </c>
      <c r="D51" t="s">
        <v>328</v>
      </c>
      <c r="E51" t="s">
        <v>208</v>
      </c>
      <c r="F51" t="s">
        <v>209</v>
      </c>
      <c r="G51" t="s">
        <v>21</v>
      </c>
      <c r="H51" t="s">
        <v>16</v>
      </c>
      <c r="I51" t="s">
        <v>170</v>
      </c>
      <c r="J51" t="s">
        <v>194</v>
      </c>
      <c r="K51">
        <v>1</v>
      </c>
      <c r="L51" s="12">
        <v>840</v>
      </c>
      <c r="M51" s="12">
        <v>590</v>
      </c>
      <c r="N51" s="14">
        <v>0.05</v>
      </c>
      <c r="O51" t="s">
        <v>226</v>
      </c>
      <c r="P51" t="s">
        <v>34</v>
      </c>
    </row>
    <row r="52" spans="1:16">
      <c r="A52" t="s">
        <v>329</v>
      </c>
      <c r="B52" s="13">
        <v>45884</v>
      </c>
      <c r="C52" t="s">
        <v>254</v>
      </c>
      <c r="D52" t="s">
        <v>330</v>
      </c>
      <c r="E52" t="s">
        <v>284</v>
      </c>
      <c r="F52" t="s">
        <v>285</v>
      </c>
      <c r="G52" t="s">
        <v>21</v>
      </c>
      <c r="H52" t="s">
        <v>12</v>
      </c>
      <c r="I52" t="s">
        <v>193</v>
      </c>
      <c r="J52" t="s">
        <v>171</v>
      </c>
      <c r="K52">
        <v>11</v>
      </c>
      <c r="L52" s="12">
        <v>1450</v>
      </c>
      <c r="M52" s="12">
        <v>1030</v>
      </c>
      <c r="N52" s="14">
        <v>0</v>
      </c>
      <c r="O52" t="s">
        <v>186</v>
      </c>
      <c r="P52" t="s">
        <v>187</v>
      </c>
    </row>
    <row r="53" spans="1:16">
      <c r="A53" t="s">
        <v>331</v>
      </c>
      <c r="B53" s="13">
        <v>45778</v>
      </c>
      <c r="C53" t="s">
        <v>262</v>
      </c>
      <c r="D53" t="s">
        <v>332</v>
      </c>
      <c r="E53" t="s">
        <v>168</v>
      </c>
      <c r="F53" t="s">
        <v>169</v>
      </c>
      <c r="G53" t="s">
        <v>19</v>
      </c>
      <c r="H53" t="s">
        <v>13</v>
      </c>
      <c r="I53" t="s">
        <v>203</v>
      </c>
      <c r="J53" t="s">
        <v>178</v>
      </c>
      <c r="K53">
        <v>11</v>
      </c>
      <c r="L53" s="12">
        <v>85</v>
      </c>
      <c r="M53" s="12">
        <v>44</v>
      </c>
      <c r="N53" s="14">
        <v>0.05</v>
      </c>
      <c r="O53" t="s">
        <v>179</v>
      </c>
      <c r="P53" t="s">
        <v>34</v>
      </c>
    </row>
    <row r="54" spans="1:16">
      <c r="A54" t="s">
        <v>333</v>
      </c>
      <c r="B54" s="13">
        <v>45970</v>
      </c>
      <c r="C54" t="s">
        <v>334</v>
      </c>
      <c r="D54" t="s">
        <v>335</v>
      </c>
      <c r="E54" t="s">
        <v>284</v>
      </c>
      <c r="F54" t="s">
        <v>285</v>
      </c>
      <c r="G54" t="s">
        <v>21</v>
      </c>
      <c r="H54" t="s">
        <v>16</v>
      </c>
      <c r="I54" t="s">
        <v>203</v>
      </c>
      <c r="J54" t="s">
        <v>185</v>
      </c>
      <c r="K54">
        <v>2</v>
      </c>
      <c r="L54" s="12">
        <v>1450</v>
      </c>
      <c r="M54" s="12">
        <v>1030</v>
      </c>
      <c r="N54" s="14">
        <v>0.1</v>
      </c>
      <c r="O54" t="s">
        <v>226</v>
      </c>
      <c r="P54" t="s">
        <v>34</v>
      </c>
    </row>
    <row r="55" spans="1:16">
      <c r="A55" t="s">
        <v>336</v>
      </c>
      <c r="B55" s="13">
        <v>45782</v>
      </c>
      <c r="C55" t="s">
        <v>337</v>
      </c>
      <c r="D55" t="s">
        <v>338</v>
      </c>
      <c r="E55" t="s">
        <v>208</v>
      </c>
      <c r="F55" t="s">
        <v>209</v>
      </c>
      <c r="G55" t="s">
        <v>21</v>
      </c>
      <c r="H55" t="s">
        <v>15</v>
      </c>
      <c r="I55" t="s">
        <v>203</v>
      </c>
      <c r="J55" t="s">
        <v>204</v>
      </c>
      <c r="K55">
        <v>3</v>
      </c>
      <c r="L55" s="12">
        <v>840</v>
      </c>
      <c r="M55" s="12">
        <v>590</v>
      </c>
      <c r="N55" s="14">
        <v>0.2</v>
      </c>
      <c r="O55" t="s">
        <v>226</v>
      </c>
      <c r="P55" t="s">
        <v>213</v>
      </c>
    </row>
    <row r="56" spans="1:16">
      <c r="A56" t="s">
        <v>339</v>
      </c>
      <c r="B56" s="13">
        <v>45943</v>
      </c>
      <c r="C56" t="s">
        <v>340</v>
      </c>
      <c r="D56" t="s">
        <v>341</v>
      </c>
      <c r="E56" t="s">
        <v>198</v>
      </c>
      <c r="F56" t="s">
        <v>199</v>
      </c>
      <c r="G56" t="s">
        <v>19</v>
      </c>
      <c r="H56" t="s">
        <v>16</v>
      </c>
      <c r="I56" t="s">
        <v>170</v>
      </c>
      <c r="J56" t="s">
        <v>171</v>
      </c>
      <c r="K56">
        <v>4</v>
      </c>
      <c r="L56" s="12">
        <v>95</v>
      </c>
      <c r="M56" s="12">
        <v>52</v>
      </c>
      <c r="N56" s="14">
        <v>0</v>
      </c>
      <c r="O56" t="s">
        <v>186</v>
      </c>
      <c r="P56" t="s">
        <v>34</v>
      </c>
    </row>
    <row r="57" spans="1:16">
      <c r="A57" t="s">
        <v>342</v>
      </c>
      <c r="B57" s="13">
        <v>45971</v>
      </c>
      <c r="C57" t="s">
        <v>343</v>
      </c>
      <c r="D57" t="s">
        <v>263</v>
      </c>
      <c r="E57" t="s">
        <v>284</v>
      </c>
      <c r="F57" t="s">
        <v>285</v>
      </c>
      <c r="G57" t="s">
        <v>21</v>
      </c>
      <c r="H57" t="s">
        <v>15</v>
      </c>
      <c r="I57" t="s">
        <v>203</v>
      </c>
      <c r="J57" t="s">
        <v>185</v>
      </c>
      <c r="K57">
        <v>12</v>
      </c>
      <c r="L57" s="12">
        <v>1450</v>
      </c>
      <c r="M57" s="12">
        <v>1030</v>
      </c>
      <c r="N57" s="14">
        <v>0.15</v>
      </c>
      <c r="O57" t="s">
        <v>226</v>
      </c>
      <c r="P57" t="s">
        <v>34</v>
      </c>
    </row>
    <row r="58" spans="1:16">
      <c r="A58" t="s">
        <v>344</v>
      </c>
      <c r="B58" s="13">
        <v>45784</v>
      </c>
      <c r="C58" t="s">
        <v>345</v>
      </c>
      <c r="D58" t="s">
        <v>346</v>
      </c>
      <c r="E58" t="s">
        <v>191</v>
      </c>
      <c r="F58" t="s">
        <v>192</v>
      </c>
      <c r="G58" t="s">
        <v>20</v>
      </c>
      <c r="H58" t="s">
        <v>13</v>
      </c>
      <c r="I58" t="s">
        <v>193</v>
      </c>
      <c r="J58" t="s">
        <v>185</v>
      </c>
      <c r="K58">
        <v>11</v>
      </c>
      <c r="L58" s="12">
        <v>720</v>
      </c>
      <c r="M58" s="12">
        <v>510</v>
      </c>
      <c r="N58" s="14">
        <v>0.05</v>
      </c>
      <c r="O58" t="s">
        <v>172</v>
      </c>
      <c r="P58" t="s">
        <v>187</v>
      </c>
    </row>
    <row r="59" spans="1:16">
      <c r="A59" t="s">
        <v>347</v>
      </c>
      <c r="B59" s="13">
        <v>45778</v>
      </c>
      <c r="C59" t="s">
        <v>348</v>
      </c>
      <c r="D59" t="s">
        <v>270</v>
      </c>
      <c r="E59" t="s">
        <v>191</v>
      </c>
      <c r="F59" t="s">
        <v>192</v>
      </c>
      <c r="G59" t="s">
        <v>20</v>
      </c>
      <c r="H59" t="s">
        <v>12</v>
      </c>
      <c r="I59" t="s">
        <v>203</v>
      </c>
      <c r="J59" t="s">
        <v>204</v>
      </c>
      <c r="K59">
        <v>5</v>
      </c>
      <c r="L59" s="12">
        <v>720</v>
      </c>
      <c r="M59" s="12">
        <v>510</v>
      </c>
      <c r="N59" s="14">
        <v>0.05</v>
      </c>
      <c r="O59" t="s">
        <v>179</v>
      </c>
      <c r="P59" t="s">
        <v>34</v>
      </c>
    </row>
    <row r="60" spans="1:16">
      <c r="A60" t="s">
        <v>349</v>
      </c>
      <c r="B60" s="13">
        <v>46013</v>
      </c>
      <c r="C60" t="s">
        <v>350</v>
      </c>
      <c r="D60" t="s">
        <v>351</v>
      </c>
      <c r="E60" t="s">
        <v>208</v>
      </c>
      <c r="F60" t="s">
        <v>209</v>
      </c>
      <c r="G60" t="s">
        <v>21</v>
      </c>
      <c r="H60" t="s">
        <v>15</v>
      </c>
      <c r="I60" t="s">
        <v>193</v>
      </c>
      <c r="J60" t="s">
        <v>171</v>
      </c>
      <c r="K60">
        <v>3</v>
      </c>
      <c r="L60" s="12">
        <v>840</v>
      </c>
      <c r="M60" s="12">
        <v>590</v>
      </c>
      <c r="N60" s="14">
        <v>0.2</v>
      </c>
      <c r="O60" t="s">
        <v>226</v>
      </c>
      <c r="P60" t="s">
        <v>34</v>
      </c>
    </row>
    <row r="61" spans="1:16">
      <c r="A61" t="s">
        <v>352</v>
      </c>
      <c r="B61" s="13">
        <v>45689</v>
      </c>
      <c r="C61" t="s">
        <v>245</v>
      </c>
      <c r="D61" t="s">
        <v>353</v>
      </c>
      <c r="E61" t="s">
        <v>208</v>
      </c>
      <c r="F61" t="s">
        <v>209</v>
      </c>
      <c r="G61" t="s">
        <v>21</v>
      </c>
      <c r="H61" t="s">
        <v>12</v>
      </c>
      <c r="I61" t="s">
        <v>170</v>
      </c>
      <c r="J61" t="s">
        <v>185</v>
      </c>
      <c r="K61">
        <v>4</v>
      </c>
      <c r="L61" s="12">
        <v>840</v>
      </c>
      <c r="M61" s="12">
        <v>590</v>
      </c>
      <c r="N61" s="14">
        <v>0.1</v>
      </c>
      <c r="O61" t="s">
        <v>226</v>
      </c>
      <c r="P61" t="s">
        <v>34</v>
      </c>
    </row>
    <row r="62" spans="1:16">
      <c r="A62" t="s">
        <v>354</v>
      </c>
      <c r="B62" s="13">
        <v>45838</v>
      </c>
      <c r="C62" t="s">
        <v>283</v>
      </c>
      <c r="D62" t="s">
        <v>288</v>
      </c>
      <c r="E62" t="s">
        <v>198</v>
      </c>
      <c r="F62" t="s">
        <v>199</v>
      </c>
      <c r="G62" t="s">
        <v>19</v>
      </c>
      <c r="H62" t="s">
        <v>16</v>
      </c>
      <c r="I62" t="s">
        <v>203</v>
      </c>
      <c r="J62" t="s">
        <v>185</v>
      </c>
      <c r="K62">
        <v>5</v>
      </c>
      <c r="L62" s="12">
        <v>95</v>
      </c>
      <c r="M62" s="12">
        <v>52</v>
      </c>
      <c r="N62" s="14">
        <v>0.1</v>
      </c>
      <c r="O62" t="s">
        <v>179</v>
      </c>
      <c r="P62" t="s">
        <v>34</v>
      </c>
    </row>
    <row r="63" spans="1:16">
      <c r="A63" t="s">
        <v>355</v>
      </c>
      <c r="B63" s="13">
        <v>45881</v>
      </c>
      <c r="C63" t="s">
        <v>292</v>
      </c>
      <c r="D63" t="s">
        <v>323</v>
      </c>
      <c r="E63" t="s">
        <v>191</v>
      </c>
      <c r="F63" t="s">
        <v>192</v>
      </c>
      <c r="G63" t="s">
        <v>20</v>
      </c>
      <c r="H63" t="s">
        <v>15</v>
      </c>
      <c r="I63" t="s">
        <v>170</v>
      </c>
      <c r="J63" t="s">
        <v>204</v>
      </c>
      <c r="K63">
        <v>8</v>
      </c>
      <c r="L63" s="12">
        <v>720</v>
      </c>
      <c r="M63" s="12">
        <v>510</v>
      </c>
      <c r="N63" s="14">
        <v>0</v>
      </c>
      <c r="O63" t="s">
        <v>226</v>
      </c>
      <c r="P63" t="s">
        <v>34</v>
      </c>
    </row>
    <row r="64" spans="1:16">
      <c r="A64" t="s">
        <v>356</v>
      </c>
      <c r="B64" s="13">
        <v>45976</v>
      </c>
      <c r="C64" t="s">
        <v>357</v>
      </c>
      <c r="D64" t="s">
        <v>358</v>
      </c>
      <c r="E64" t="s">
        <v>308</v>
      </c>
      <c r="F64" t="s">
        <v>309</v>
      </c>
      <c r="G64" t="s">
        <v>19</v>
      </c>
      <c r="H64" t="s">
        <v>12</v>
      </c>
      <c r="I64" t="s">
        <v>203</v>
      </c>
      <c r="J64" t="s">
        <v>185</v>
      </c>
      <c r="K64">
        <v>9</v>
      </c>
      <c r="L64" s="12">
        <v>265</v>
      </c>
      <c r="M64" s="12">
        <v>155</v>
      </c>
      <c r="N64" s="14">
        <v>0</v>
      </c>
      <c r="O64" t="s">
        <v>179</v>
      </c>
      <c r="P64" t="s">
        <v>34</v>
      </c>
    </row>
    <row r="65" spans="1:16">
      <c r="A65" t="s">
        <v>359</v>
      </c>
      <c r="B65" s="13">
        <v>45751</v>
      </c>
      <c r="C65" t="s">
        <v>360</v>
      </c>
      <c r="D65" t="s">
        <v>243</v>
      </c>
      <c r="E65" t="s">
        <v>284</v>
      </c>
      <c r="F65" t="s">
        <v>285</v>
      </c>
      <c r="G65" t="s">
        <v>21</v>
      </c>
      <c r="H65" t="s">
        <v>15</v>
      </c>
      <c r="I65" t="s">
        <v>193</v>
      </c>
      <c r="J65" t="s">
        <v>194</v>
      </c>
      <c r="K65">
        <v>1</v>
      </c>
      <c r="L65" s="12">
        <v>1450</v>
      </c>
      <c r="M65" s="12">
        <v>1030</v>
      </c>
      <c r="N65" s="14">
        <v>0.05</v>
      </c>
      <c r="O65" t="s">
        <v>226</v>
      </c>
      <c r="P65" t="s">
        <v>34</v>
      </c>
    </row>
    <row r="66" spans="1:16">
      <c r="A66" t="s">
        <v>361</v>
      </c>
      <c r="B66" s="13">
        <v>45873</v>
      </c>
      <c r="C66" t="s">
        <v>362</v>
      </c>
      <c r="D66" t="s">
        <v>270</v>
      </c>
      <c r="E66" t="s">
        <v>191</v>
      </c>
      <c r="F66" t="s">
        <v>192</v>
      </c>
      <c r="G66" t="s">
        <v>20</v>
      </c>
      <c r="H66" t="s">
        <v>12</v>
      </c>
      <c r="I66" t="s">
        <v>193</v>
      </c>
      <c r="J66" t="s">
        <v>204</v>
      </c>
      <c r="K66">
        <v>5</v>
      </c>
      <c r="L66" s="12">
        <v>720</v>
      </c>
      <c r="M66" s="12">
        <v>510</v>
      </c>
      <c r="N66" s="14">
        <v>0</v>
      </c>
      <c r="O66" t="s">
        <v>172</v>
      </c>
      <c r="P66" t="s">
        <v>34</v>
      </c>
    </row>
    <row r="67" spans="1:16">
      <c r="A67" t="s">
        <v>363</v>
      </c>
      <c r="B67" s="13">
        <v>45673</v>
      </c>
      <c r="C67" t="s">
        <v>364</v>
      </c>
      <c r="D67" t="s">
        <v>365</v>
      </c>
      <c r="E67" t="s">
        <v>198</v>
      </c>
      <c r="F67" t="s">
        <v>199</v>
      </c>
      <c r="G67" t="s">
        <v>19</v>
      </c>
      <c r="H67" t="s">
        <v>13</v>
      </c>
      <c r="I67" t="s">
        <v>203</v>
      </c>
      <c r="J67" t="s">
        <v>185</v>
      </c>
      <c r="K67">
        <v>4</v>
      </c>
      <c r="L67" s="12">
        <v>95</v>
      </c>
      <c r="M67" s="12">
        <v>52</v>
      </c>
      <c r="N67" s="14">
        <v>0</v>
      </c>
      <c r="O67" t="s">
        <v>172</v>
      </c>
      <c r="P67" t="s">
        <v>34</v>
      </c>
    </row>
    <row r="68" spans="1:16">
      <c r="A68" t="s">
        <v>366</v>
      </c>
      <c r="B68" s="13">
        <v>45769</v>
      </c>
      <c r="C68" t="s">
        <v>367</v>
      </c>
      <c r="D68" t="s">
        <v>207</v>
      </c>
      <c r="E68" t="s">
        <v>176</v>
      </c>
      <c r="F68" t="s">
        <v>177</v>
      </c>
      <c r="G68" t="s">
        <v>20</v>
      </c>
      <c r="H68" t="s">
        <v>13</v>
      </c>
      <c r="I68" t="s">
        <v>170</v>
      </c>
      <c r="J68" t="s">
        <v>171</v>
      </c>
      <c r="K68">
        <v>8</v>
      </c>
      <c r="L68" s="12">
        <v>195</v>
      </c>
      <c r="M68" s="12">
        <v>105</v>
      </c>
      <c r="N68" s="14">
        <v>0.2</v>
      </c>
      <c r="O68" t="s">
        <v>172</v>
      </c>
      <c r="P68" t="s">
        <v>34</v>
      </c>
    </row>
    <row r="69" spans="1:16">
      <c r="A69" t="s">
        <v>368</v>
      </c>
      <c r="B69" s="13">
        <v>45817</v>
      </c>
      <c r="C69" t="s">
        <v>237</v>
      </c>
      <c r="D69" t="s">
        <v>369</v>
      </c>
      <c r="E69" t="s">
        <v>308</v>
      </c>
      <c r="F69" t="s">
        <v>309</v>
      </c>
      <c r="G69" t="s">
        <v>19</v>
      </c>
      <c r="H69" t="s">
        <v>16</v>
      </c>
      <c r="I69" t="s">
        <v>170</v>
      </c>
      <c r="J69" t="s">
        <v>185</v>
      </c>
      <c r="K69">
        <v>2</v>
      </c>
      <c r="L69" s="12">
        <v>265</v>
      </c>
      <c r="M69" s="12">
        <v>155</v>
      </c>
      <c r="N69" s="14">
        <v>0.15</v>
      </c>
      <c r="O69" t="s">
        <v>226</v>
      </c>
      <c r="P69" t="s">
        <v>34</v>
      </c>
    </row>
    <row r="70" spans="1:16">
      <c r="A70" t="s">
        <v>370</v>
      </c>
      <c r="B70" s="13">
        <v>45696</v>
      </c>
      <c r="C70" t="s">
        <v>211</v>
      </c>
      <c r="D70" t="s">
        <v>371</v>
      </c>
      <c r="E70" t="s">
        <v>220</v>
      </c>
      <c r="F70" t="s">
        <v>221</v>
      </c>
      <c r="G70" t="s">
        <v>19</v>
      </c>
      <c r="H70" t="s">
        <v>14</v>
      </c>
      <c r="I70" t="s">
        <v>170</v>
      </c>
      <c r="J70" t="s">
        <v>171</v>
      </c>
      <c r="K70">
        <v>10</v>
      </c>
      <c r="L70" s="12">
        <v>175</v>
      </c>
      <c r="M70" s="12">
        <v>98</v>
      </c>
      <c r="N70" s="14">
        <v>0.2</v>
      </c>
      <c r="O70" t="s">
        <v>172</v>
      </c>
      <c r="P70" t="s">
        <v>213</v>
      </c>
    </row>
    <row r="71" spans="1:16">
      <c r="A71" t="s">
        <v>372</v>
      </c>
      <c r="B71" s="13">
        <v>45679</v>
      </c>
      <c r="C71" t="s">
        <v>201</v>
      </c>
      <c r="D71" t="s">
        <v>207</v>
      </c>
      <c r="E71" t="s">
        <v>176</v>
      </c>
      <c r="F71" t="s">
        <v>177</v>
      </c>
      <c r="G71" t="s">
        <v>20</v>
      </c>
      <c r="H71" t="s">
        <v>12</v>
      </c>
      <c r="I71" t="s">
        <v>170</v>
      </c>
      <c r="J71" t="s">
        <v>194</v>
      </c>
      <c r="K71">
        <v>6</v>
      </c>
      <c r="L71" s="12">
        <v>195</v>
      </c>
      <c r="M71" s="12">
        <v>105</v>
      </c>
      <c r="N71" s="14">
        <v>0.15</v>
      </c>
      <c r="O71" t="s">
        <v>172</v>
      </c>
      <c r="P71" t="s">
        <v>34</v>
      </c>
    </row>
    <row r="72" spans="1:16">
      <c r="A72" t="s">
        <v>373</v>
      </c>
      <c r="B72" s="13">
        <v>45908</v>
      </c>
      <c r="C72" t="s">
        <v>374</v>
      </c>
      <c r="D72" t="s">
        <v>375</v>
      </c>
      <c r="E72" t="s">
        <v>208</v>
      </c>
      <c r="F72" t="s">
        <v>209</v>
      </c>
      <c r="G72" t="s">
        <v>21</v>
      </c>
      <c r="H72" t="s">
        <v>13</v>
      </c>
      <c r="I72" t="s">
        <v>193</v>
      </c>
      <c r="J72" t="s">
        <v>204</v>
      </c>
      <c r="K72">
        <v>2</v>
      </c>
      <c r="L72" s="12">
        <v>840</v>
      </c>
      <c r="M72" s="12">
        <v>590</v>
      </c>
      <c r="N72" s="14">
        <v>0.1</v>
      </c>
      <c r="O72" t="s">
        <v>186</v>
      </c>
      <c r="P72" t="s">
        <v>34</v>
      </c>
    </row>
    <row r="73" spans="1:16">
      <c r="A73" t="s">
        <v>376</v>
      </c>
      <c r="B73" s="13">
        <v>45933</v>
      </c>
      <c r="C73" t="s">
        <v>377</v>
      </c>
      <c r="D73" t="s">
        <v>378</v>
      </c>
      <c r="E73" t="s">
        <v>176</v>
      </c>
      <c r="F73" t="s">
        <v>177</v>
      </c>
      <c r="G73" t="s">
        <v>20</v>
      </c>
      <c r="H73" t="s">
        <v>14</v>
      </c>
      <c r="I73" t="s">
        <v>193</v>
      </c>
      <c r="J73" t="s">
        <v>204</v>
      </c>
      <c r="K73">
        <v>8</v>
      </c>
      <c r="L73" s="12">
        <v>195</v>
      </c>
      <c r="M73" s="12">
        <v>105</v>
      </c>
      <c r="N73" s="14">
        <v>0.1</v>
      </c>
      <c r="O73" t="s">
        <v>172</v>
      </c>
      <c r="P73" t="s">
        <v>34</v>
      </c>
    </row>
    <row r="74" spans="1:16">
      <c r="A74" t="s">
        <v>104</v>
      </c>
      <c r="B74" s="13">
        <v>45888</v>
      </c>
      <c r="C74" t="s">
        <v>379</v>
      </c>
      <c r="D74" t="s">
        <v>323</v>
      </c>
      <c r="E74" t="s">
        <v>191</v>
      </c>
      <c r="F74" t="s">
        <v>192</v>
      </c>
      <c r="G74" t="s">
        <v>20</v>
      </c>
      <c r="I74" t="s">
        <v>193</v>
      </c>
      <c r="J74" t="s">
        <v>178</v>
      </c>
      <c r="K74">
        <v>4</v>
      </c>
      <c r="L74" s="12">
        <v>720</v>
      </c>
      <c r="M74" s="12">
        <v>510</v>
      </c>
      <c r="N74" s="14">
        <v>0.1</v>
      </c>
      <c r="O74" t="s">
        <v>226</v>
      </c>
      <c r="P74" t="s">
        <v>187</v>
      </c>
    </row>
    <row r="75" spans="1:16">
      <c r="A75" t="s">
        <v>380</v>
      </c>
      <c r="B75" s="13">
        <v>45751</v>
      </c>
      <c r="C75" t="s">
        <v>381</v>
      </c>
      <c r="D75" t="s">
        <v>382</v>
      </c>
      <c r="E75" t="s">
        <v>217</v>
      </c>
      <c r="F75" t="s">
        <v>218</v>
      </c>
      <c r="G75" t="s">
        <v>20</v>
      </c>
      <c r="H75" t="s">
        <v>14</v>
      </c>
      <c r="I75" t="s">
        <v>193</v>
      </c>
      <c r="J75" t="s">
        <v>171</v>
      </c>
      <c r="K75">
        <v>8</v>
      </c>
      <c r="L75" s="12">
        <v>1090</v>
      </c>
      <c r="M75" s="12">
        <v>790</v>
      </c>
      <c r="N75" s="14">
        <v>0</v>
      </c>
      <c r="O75" t="s">
        <v>186</v>
      </c>
      <c r="P75" t="s">
        <v>34</v>
      </c>
    </row>
    <row r="76" spans="1:16">
      <c r="A76" t="s">
        <v>383</v>
      </c>
      <c r="B76" s="13">
        <v>45663</v>
      </c>
      <c r="C76" t="s">
        <v>384</v>
      </c>
      <c r="D76" t="s">
        <v>385</v>
      </c>
      <c r="E76" t="s">
        <v>183</v>
      </c>
      <c r="F76" t="s">
        <v>184</v>
      </c>
      <c r="G76" t="s">
        <v>20</v>
      </c>
      <c r="H76" t="s">
        <v>15</v>
      </c>
      <c r="I76" t="s">
        <v>170</v>
      </c>
      <c r="J76" t="s">
        <v>204</v>
      </c>
      <c r="K76">
        <v>9</v>
      </c>
      <c r="L76" s="12">
        <v>230</v>
      </c>
      <c r="M76" s="12">
        <v>132</v>
      </c>
      <c r="N76" s="14">
        <v>0</v>
      </c>
      <c r="O76" t="s">
        <v>226</v>
      </c>
      <c r="P76" t="s">
        <v>34</v>
      </c>
    </row>
    <row r="77" spans="1:16">
      <c r="A77" t="s">
        <v>386</v>
      </c>
      <c r="B77" s="13">
        <v>45887</v>
      </c>
      <c r="C77" t="s">
        <v>166</v>
      </c>
      <c r="D77" t="s">
        <v>387</v>
      </c>
      <c r="E77" t="s">
        <v>284</v>
      </c>
      <c r="F77" t="s">
        <v>285</v>
      </c>
      <c r="G77" t="s">
        <v>21</v>
      </c>
      <c r="H77" t="s">
        <v>13</v>
      </c>
      <c r="I77" t="s">
        <v>193</v>
      </c>
      <c r="J77" t="s">
        <v>171</v>
      </c>
      <c r="K77">
        <v>1</v>
      </c>
      <c r="L77" s="12">
        <v>1450</v>
      </c>
      <c r="M77" s="12">
        <v>1030</v>
      </c>
      <c r="N77" s="14">
        <v>0</v>
      </c>
      <c r="O77" t="s">
        <v>186</v>
      </c>
      <c r="P77" t="s">
        <v>34</v>
      </c>
    </row>
    <row r="78" spans="1:16">
      <c r="A78" t="s">
        <v>388</v>
      </c>
      <c r="B78" s="13">
        <v>45941</v>
      </c>
      <c r="C78" t="s">
        <v>389</v>
      </c>
      <c r="D78" t="s">
        <v>263</v>
      </c>
      <c r="E78" t="s">
        <v>284</v>
      </c>
      <c r="F78" t="s">
        <v>285</v>
      </c>
      <c r="G78" t="s">
        <v>21</v>
      </c>
      <c r="H78" t="s">
        <v>14</v>
      </c>
      <c r="I78" t="s">
        <v>193</v>
      </c>
      <c r="J78" t="s">
        <v>185</v>
      </c>
      <c r="K78">
        <v>9</v>
      </c>
      <c r="L78" s="12">
        <v>1450</v>
      </c>
      <c r="M78" s="12">
        <v>1030</v>
      </c>
      <c r="N78" s="14">
        <v>0.05</v>
      </c>
      <c r="O78" t="s">
        <v>186</v>
      </c>
      <c r="P78" t="s">
        <v>34</v>
      </c>
    </row>
    <row r="79" spans="1:16">
      <c r="A79" t="s">
        <v>390</v>
      </c>
      <c r="B79" s="13">
        <v>45786</v>
      </c>
      <c r="C79" t="s">
        <v>260</v>
      </c>
      <c r="D79" t="s">
        <v>391</v>
      </c>
      <c r="E79" t="s">
        <v>191</v>
      </c>
      <c r="F79" t="s">
        <v>192</v>
      </c>
      <c r="G79" t="s">
        <v>20</v>
      </c>
      <c r="H79" t="s">
        <v>12</v>
      </c>
      <c r="I79" t="s">
        <v>170</v>
      </c>
      <c r="J79" t="s">
        <v>171</v>
      </c>
      <c r="K79">
        <v>4</v>
      </c>
      <c r="L79" s="12">
        <v>720</v>
      </c>
      <c r="M79" s="12">
        <v>510</v>
      </c>
      <c r="N79" s="14">
        <v>0</v>
      </c>
      <c r="O79" t="s">
        <v>179</v>
      </c>
      <c r="P79" t="s">
        <v>213</v>
      </c>
    </row>
    <row r="80" spans="1:16">
      <c r="A80" t="s">
        <v>392</v>
      </c>
      <c r="B80" s="13">
        <v>45768</v>
      </c>
      <c r="C80" t="s">
        <v>228</v>
      </c>
      <c r="D80" t="s">
        <v>249</v>
      </c>
      <c r="E80" t="s">
        <v>220</v>
      </c>
      <c r="F80" t="s">
        <v>221</v>
      </c>
      <c r="G80" t="s">
        <v>19</v>
      </c>
      <c r="H80" t="s">
        <v>16</v>
      </c>
      <c r="I80" t="s">
        <v>170</v>
      </c>
      <c r="J80" t="s">
        <v>194</v>
      </c>
      <c r="K80">
        <v>12</v>
      </c>
      <c r="L80" s="12">
        <v>175</v>
      </c>
      <c r="M80" s="12">
        <v>98</v>
      </c>
      <c r="N80" s="14">
        <v>0.1</v>
      </c>
      <c r="O80" t="s">
        <v>172</v>
      </c>
      <c r="P80" t="s">
        <v>34</v>
      </c>
    </row>
    <row r="81" spans="1:16">
      <c r="A81" t="s">
        <v>393</v>
      </c>
      <c r="B81" s="13">
        <v>45809</v>
      </c>
      <c r="C81" t="s">
        <v>394</v>
      </c>
      <c r="D81" t="s">
        <v>395</v>
      </c>
      <c r="E81" t="s">
        <v>220</v>
      </c>
      <c r="F81" t="s">
        <v>221</v>
      </c>
      <c r="G81" t="s">
        <v>19</v>
      </c>
      <c r="H81" t="s">
        <v>16</v>
      </c>
      <c r="I81" t="s">
        <v>203</v>
      </c>
      <c r="J81" t="s">
        <v>194</v>
      </c>
      <c r="K81">
        <v>4</v>
      </c>
      <c r="L81" s="12">
        <v>175</v>
      </c>
      <c r="M81" s="12">
        <v>98</v>
      </c>
      <c r="N81" s="14">
        <v>0.05</v>
      </c>
      <c r="O81" t="s">
        <v>172</v>
      </c>
      <c r="P81" t="s">
        <v>34</v>
      </c>
    </row>
    <row r="82" spans="1:16">
      <c r="A82" t="s">
        <v>396</v>
      </c>
      <c r="B82" s="13">
        <v>45941</v>
      </c>
      <c r="C82" t="s">
        <v>374</v>
      </c>
      <c r="D82" t="s">
        <v>397</v>
      </c>
      <c r="E82" t="s">
        <v>198</v>
      </c>
      <c r="F82" t="s">
        <v>199</v>
      </c>
      <c r="G82" t="s">
        <v>19</v>
      </c>
      <c r="H82" t="s">
        <v>12</v>
      </c>
      <c r="I82" t="s">
        <v>203</v>
      </c>
      <c r="J82" t="s">
        <v>171</v>
      </c>
      <c r="K82">
        <v>5</v>
      </c>
      <c r="L82" s="12">
        <v>95</v>
      </c>
      <c r="M82" s="12">
        <v>52</v>
      </c>
      <c r="N82" s="14">
        <v>0.2</v>
      </c>
      <c r="O82" t="s">
        <v>186</v>
      </c>
      <c r="P82" t="s">
        <v>34</v>
      </c>
    </row>
    <row r="83" spans="1:16">
      <c r="A83" t="s">
        <v>398</v>
      </c>
      <c r="B83" s="13">
        <v>45903</v>
      </c>
      <c r="C83" t="s">
        <v>399</v>
      </c>
      <c r="D83" t="s">
        <v>400</v>
      </c>
      <c r="E83" t="s">
        <v>284</v>
      </c>
      <c r="F83" t="s">
        <v>285</v>
      </c>
      <c r="G83" t="s">
        <v>21</v>
      </c>
      <c r="H83" t="s">
        <v>14</v>
      </c>
      <c r="I83" t="s">
        <v>193</v>
      </c>
      <c r="J83" t="s">
        <v>178</v>
      </c>
      <c r="K83">
        <v>8</v>
      </c>
      <c r="L83" s="12">
        <v>1450</v>
      </c>
      <c r="M83" s="12">
        <v>1030</v>
      </c>
      <c r="N83" s="14">
        <v>0.05</v>
      </c>
      <c r="O83" t="s">
        <v>172</v>
      </c>
      <c r="P83" t="s">
        <v>34</v>
      </c>
    </row>
    <row r="84" spans="1:16">
      <c r="A84" t="s">
        <v>401</v>
      </c>
      <c r="B84" s="13">
        <v>45909</v>
      </c>
      <c r="C84" t="s">
        <v>402</v>
      </c>
      <c r="D84" t="s">
        <v>400</v>
      </c>
      <c r="E84" t="s">
        <v>208</v>
      </c>
      <c r="F84" t="s">
        <v>209</v>
      </c>
      <c r="G84" t="s">
        <v>21</v>
      </c>
      <c r="H84" t="s">
        <v>13</v>
      </c>
      <c r="I84" t="s">
        <v>203</v>
      </c>
      <c r="J84" t="s">
        <v>171</v>
      </c>
      <c r="K84">
        <v>2</v>
      </c>
      <c r="L84" s="12">
        <v>840</v>
      </c>
      <c r="M84" s="12">
        <v>590</v>
      </c>
      <c r="N84" s="14">
        <v>0.15</v>
      </c>
      <c r="O84" t="s">
        <v>186</v>
      </c>
      <c r="P84" t="s">
        <v>213</v>
      </c>
    </row>
    <row r="85" spans="1:16">
      <c r="A85" t="s">
        <v>403</v>
      </c>
      <c r="B85" s="13">
        <v>45785</v>
      </c>
      <c r="C85" t="s">
        <v>404</v>
      </c>
      <c r="D85" t="s">
        <v>225</v>
      </c>
      <c r="E85" t="s">
        <v>168</v>
      </c>
      <c r="F85" t="s">
        <v>169</v>
      </c>
      <c r="G85" t="s">
        <v>19</v>
      </c>
      <c r="H85" t="s">
        <v>16</v>
      </c>
      <c r="I85" t="s">
        <v>203</v>
      </c>
      <c r="J85" t="s">
        <v>171</v>
      </c>
      <c r="K85">
        <v>2</v>
      </c>
      <c r="L85" s="12">
        <v>85</v>
      </c>
      <c r="M85" s="12">
        <v>44</v>
      </c>
      <c r="N85" s="14">
        <v>0.15</v>
      </c>
      <c r="O85" t="s">
        <v>226</v>
      </c>
      <c r="P85" t="s">
        <v>34</v>
      </c>
    </row>
    <row r="86" spans="1:16">
      <c r="A86" t="s">
        <v>405</v>
      </c>
      <c r="B86" s="13">
        <v>45884</v>
      </c>
      <c r="C86" t="s">
        <v>406</v>
      </c>
      <c r="D86" t="s">
        <v>275</v>
      </c>
      <c r="E86" t="s">
        <v>284</v>
      </c>
      <c r="F86" t="s">
        <v>285</v>
      </c>
      <c r="G86" t="s">
        <v>21</v>
      </c>
      <c r="H86" t="s">
        <v>16</v>
      </c>
      <c r="I86" t="s">
        <v>203</v>
      </c>
      <c r="J86" t="s">
        <v>171</v>
      </c>
      <c r="K86">
        <v>5</v>
      </c>
      <c r="L86" s="12">
        <v>1450</v>
      </c>
      <c r="M86" s="12">
        <v>1030</v>
      </c>
      <c r="N86" s="14">
        <v>0.15</v>
      </c>
      <c r="O86" t="s">
        <v>172</v>
      </c>
      <c r="P86" t="s">
        <v>34</v>
      </c>
    </row>
    <row r="87" spans="1:16">
      <c r="A87" t="s">
        <v>407</v>
      </c>
      <c r="B87" s="13">
        <v>45978</v>
      </c>
      <c r="C87" t="s">
        <v>196</v>
      </c>
      <c r="D87" t="s">
        <v>408</v>
      </c>
      <c r="E87" t="s">
        <v>220</v>
      </c>
      <c r="F87" t="s">
        <v>221</v>
      </c>
      <c r="G87" t="s">
        <v>19</v>
      </c>
      <c r="H87" t="s">
        <v>13</v>
      </c>
      <c r="I87" t="s">
        <v>203</v>
      </c>
      <c r="J87" t="s">
        <v>171</v>
      </c>
      <c r="K87">
        <v>4</v>
      </c>
      <c r="L87" s="12">
        <v>175</v>
      </c>
      <c r="M87" s="12">
        <v>98</v>
      </c>
      <c r="N87" s="14">
        <v>0.05</v>
      </c>
      <c r="O87" t="s">
        <v>172</v>
      </c>
      <c r="P87" t="s">
        <v>213</v>
      </c>
    </row>
    <row r="88" spans="1:16">
      <c r="A88" t="s">
        <v>409</v>
      </c>
      <c r="B88" s="13">
        <v>45659</v>
      </c>
      <c r="C88" t="s">
        <v>318</v>
      </c>
      <c r="D88" t="s">
        <v>312</v>
      </c>
      <c r="E88" t="s">
        <v>308</v>
      </c>
      <c r="F88" t="s">
        <v>309</v>
      </c>
      <c r="G88" t="s">
        <v>19</v>
      </c>
      <c r="H88" t="s">
        <v>14</v>
      </c>
      <c r="I88" t="s">
        <v>203</v>
      </c>
      <c r="J88" t="s">
        <v>204</v>
      </c>
      <c r="K88">
        <v>7</v>
      </c>
      <c r="L88" s="12">
        <v>265</v>
      </c>
      <c r="M88" s="12">
        <v>155</v>
      </c>
      <c r="N88" s="14">
        <v>0.1</v>
      </c>
      <c r="O88" t="s">
        <v>186</v>
      </c>
      <c r="P88" t="s">
        <v>213</v>
      </c>
    </row>
    <row r="89" spans="1:16">
      <c r="A89" t="s">
        <v>410</v>
      </c>
      <c r="B89" s="13">
        <v>46017</v>
      </c>
      <c r="C89" t="s">
        <v>248</v>
      </c>
      <c r="D89" t="s">
        <v>232</v>
      </c>
      <c r="E89" t="s">
        <v>191</v>
      </c>
      <c r="F89" t="s">
        <v>192</v>
      </c>
      <c r="G89" t="s">
        <v>20</v>
      </c>
      <c r="H89" t="s">
        <v>16</v>
      </c>
      <c r="I89" t="s">
        <v>170</v>
      </c>
      <c r="J89" t="s">
        <v>204</v>
      </c>
      <c r="K89">
        <v>8</v>
      </c>
      <c r="L89" s="12">
        <v>720</v>
      </c>
      <c r="M89" s="12">
        <v>510</v>
      </c>
      <c r="N89" s="14">
        <v>0</v>
      </c>
      <c r="O89" t="s">
        <v>226</v>
      </c>
      <c r="P89" t="s">
        <v>213</v>
      </c>
    </row>
    <row r="90" spans="1:16">
      <c r="A90" t="s">
        <v>411</v>
      </c>
      <c r="B90" s="13">
        <v>45936</v>
      </c>
      <c r="C90" t="s">
        <v>412</v>
      </c>
      <c r="D90" t="s">
        <v>216</v>
      </c>
      <c r="E90" t="s">
        <v>168</v>
      </c>
      <c r="F90" t="s">
        <v>169</v>
      </c>
      <c r="G90" t="s">
        <v>19</v>
      </c>
      <c r="H90" t="s">
        <v>13</v>
      </c>
      <c r="I90" t="s">
        <v>203</v>
      </c>
      <c r="J90" t="s">
        <v>178</v>
      </c>
      <c r="K90">
        <v>4</v>
      </c>
      <c r="L90" s="12">
        <v>85</v>
      </c>
      <c r="M90" s="12">
        <v>44</v>
      </c>
      <c r="N90" s="14">
        <v>0.2</v>
      </c>
      <c r="O90" t="s">
        <v>179</v>
      </c>
      <c r="P90" t="s">
        <v>34</v>
      </c>
    </row>
    <row r="91" spans="1:16">
      <c r="A91" t="s">
        <v>413</v>
      </c>
      <c r="B91" s="13">
        <v>45962</v>
      </c>
      <c r="C91" t="s">
        <v>287</v>
      </c>
      <c r="D91" t="s">
        <v>414</v>
      </c>
      <c r="E91" t="s">
        <v>191</v>
      </c>
      <c r="F91" t="s">
        <v>192</v>
      </c>
      <c r="G91" t="s">
        <v>20</v>
      </c>
      <c r="H91" t="s">
        <v>15</v>
      </c>
      <c r="I91" t="s">
        <v>170</v>
      </c>
      <c r="J91" t="s">
        <v>194</v>
      </c>
      <c r="K91">
        <v>12</v>
      </c>
      <c r="L91" s="12">
        <v>720</v>
      </c>
      <c r="M91" s="12">
        <v>510</v>
      </c>
      <c r="N91" s="14">
        <v>0.15</v>
      </c>
      <c r="O91" t="s">
        <v>226</v>
      </c>
      <c r="P91" t="s">
        <v>34</v>
      </c>
    </row>
    <row r="92" spans="1:16">
      <c r="A92" t="s">
        <v>415</v>
      </c>
      <c r="B92" s="13">
        <v>45914</v>
      </c>
      <c r="C92" t="s">
        <v>196</v>
      </c>
      <c r="D92" t="s">
        <v>416</v>
      </c>
      <c r="E92" t="s">
        <v>191</v>
      </c>
      <c r="F92" t="s">
        <v>192</v>
      </c>
      <c r="G92" t="s">
        <v>20</v>
      </c>
      <c r="H92" t="s">
        <v>12</v>
      </c>
      <c r="I92" t="s">
        <v>193</v>
      </c>
      <c r="J92" t="s">
        <v>194</v>
      </c>
      <c r="K92">
        <v>9</v>
      </c>
      <c r="L92" s="12">
        <v>720</v>
      </c>
      <c r="M92" s="12">
        <v>510</v>
      </c>
      <c r="N92" s="14">
        <v>0.1</v>
      </c>
      <c r="O92" t="s">
        <v>186</v>
      </c>
      <c r="P92" t="s">
        <v>34</v>
      </c>
    </row>
    <row r="93" spans="1:16">
      <c r="A93" t="s">
        <v>417</v>
      </c>
      <c r="B93" s="13">
        <v>45704</v>
      </c>
      <c r="C93" t="s">
        <v>357</v>
      </c>
      <c r="D93" t="s">
        <v>418</v>
      </c>
      <c r="E93" t="s">
        <v>198</v>
      </c>
      <c r="F93" t="s">
        <v>199</v>
      </c>
      <c r="G93" t="s">
        <v>19</v>
      </c>
      <c r="H93" t="s">
        <v>14</v>
      </c>
      <c r="I93" t="s">
        <v>170</v>
      </c>
      <c r="J93" t="s">
        <v>178</v>
      </c>
      <c r="K93">
        <v>4</v>
      </c>
      <c r="L93" s="12">
        <v>95</v>
      </c>
      <c r="M93" s="12">
        <v>52</v>
      </c>
      <c r="N93" s="14">
        <v>0.2</v>
      </c>
      <c r="O93" t="s">
        <v>179</v>
      </c>
      <c r="P93" t="s">
        <v>187</v>
      </c>
    </row>
    <row r="94" spans="1:16">
      <c r="A94" t="s">
        <v>419</v>
      </c>
      <c r="B94" s="13">
        <v>45923</v>
      </c>
      <c r="C94" t="s">
        <v>420</v>
      </c>
      <c r="D94" t="s">
        <v>353</v>
      </c>
      <c r="E94" t="s">
        <v>284</v>
      </c>
      <c r="F94" t="s">
        <v>285</v>
      </c>
      <c r="G94" t="s">
        <v>21</v>
      </c>
      <c r="H94" t="s">
        <v>15</v>
      </c>
      <c r="I94" t="s">
        <v>170</v>
      </c>
      <c r="J94" t="s">
        <v>185</v>
      </c>
      <c r="K94">
        <v>11</v>
      </c>
      <c r="L94" s="12">
        <v>1450</v>
      </c>
      <c r="M94" s="12">
        <v>1030</v>
      </c>
      <c r="N94" s="14">
        <v>0.1</v>
      </c>
      <c r="O94" t="s">
        <v>172</v>
      </c>
      <c r="P94" t="s">
        <v>34</v>
      </c>
    </row>
    <row r="95" spans="1:16">
      <c r="A95" t="s">
        <v>421</v>
      </c>
      <c r="B95" s="13">
        <v>45836</v>
      </c>
      <c r="C95" t="s">
        <v>422</v>
      </c>
      <c r="D95" t="s">
        <v>371</v>
      </c>
      <c r="E95" t="s">
        <v>284</v>
      </c>
      <c r="F95" t="s">
        <v>285</v>
      </c>
      <c r="G95" t="s">
        <v>21</v>
      </c>
      <c r="H95" t="s">
        <v>13</v>
      </c>
      <c r="I95" t="s">
        <v>193</v>
      </c>
      <c r="J95" t="s">
        <v>185</v>
      </c>
      <c r="K95">
        <v>7</v>
      </c>
      <c r="L95" s="12">
        <v>1450</v>
      </c>
      <c r="M95" s="12">
        <v>1030</v>
      </c>
      <c r="N95" s="14">
        <v>0.05</v>
      </c>
      <c r="O95" t="s">
        <v>226</v>
      </c>
      <c r="P95" t="s">
        <v>34</v>
      </c>
    </row>
    <row r="96" spans="1:16">
      <c r="A96" t="s">
        <v>423</v>
      </c>
      <c r="B96" s="13">
        <v>45997</v>
      </c>
      <c r="C96" t="s">
        <v>219</v>
      </c>
      <c r="D96" t="s">
        <v>424</v>
      </c>
      <c r="E96" t="s">
        <v>191</v>
      </c>
      <c r="F96" t="s">
        <v>192</v>
      </c>
      <c r="G96" t="s">
        <v>20</v>
      </c>
      <c r="H96" t="s">
        <v>14</v>
      </c>
      <c r="I96" t="s">
        <v>193</v>
      </c>
      <c r="J96" t="s">
        <v>194</v>
      </c>
      <c r="K96">
        <v>7</v>
      </c>
      <c r="L96" s="12">
        <v>720</v>
      </c>
      <c r="M96" s="12">
        <v>510</v>
      </c>
      <c r="N96" s="14">
        <v>0.15</v>
      </c>
      <c r="O96" t="s">
        <v>172</v>
      </c>
      <c r="P96" t="s">
        <v>34</v>
      </c>
    </row>
    <row r="97" spans="1:16">
      <c r="A97" t="s">
        <v>107</v>
      </c>
      <c r="B97" s="13">
        <v>45921</v>
      </c>
      <c r="C97" t="s">
        <v>425</v>
      </c>
      <c r="D97" t="s">
        <v>426</v>
      </c>
      <c r="E97" t="s">
        <v>208</v>
      </c>
      <c r="F97" t="s">
        <v>209</v>
      </c>
      <c r="G97" t="s">
        <v>21</v>
      </c>
      <c r="H97" t="s">
        <v>12</v>
      </c>
      <c r="I97" t="s">
        <v>203</v>
      </c>
      <c r="J97" t="s">
        <v>171</v>
      </c>
      <c r="K97">
        <v>1</v>
      </c>
      <c r="L97" s="12">
        <v>840</v>
      </c>
      <c r="M97" s="12">
        <v>590</v>
      </c>
      <c r="N97" s="14">
        <v>1.25</v>
      </c>
      <c r="O97" t="s">
        <v>186</v>
      </c>
      <c r="P97" t="s">
        <v>187</v>
      </c>
    </row>
    <row r="98" spans="1:16">
      <c r="A98" t="s">
        <v>427</v>
      </c>
      <c r="B98" s="13">
        <v>45913</v>
      </c>
      <c r="C98" t="s">
        <v>327</v>
      </c>
      <c r="D98" t="s">
        <v>216</v>
      </c>
      <c r="E98" t="s">
        <v>176</v>
      </c>
      <c r="F98" t="s">
        <v>177</v>
      </c>
      <c r="G98" t="s">
        <v>20</v>
      </c>
      <c r="H98" t="s">
        <v>16</v>
      </c>
      <c r="I98" t="s">
        <v>203</v>
      </c>
      <c r="J98" t="s">
        <v>194</v>
      </c>
      <c r="K98">
        <v>11</v>
      </c>
      <c r="L98" s="12">
        <v>195</v>
      </c>
      <c r="M98" s="12">
        <v>105</v>
      </c>
      <c r="N98" s="14">
        <v>0.1</v>
      </c>
      <c r="O98" t="s">
        <v>226</v>
      </c>
      <c r="P98" t="s">
        <v>34</v>
      </c>
    </row>
    <row r="99" spans="1:16">
      <c r="A99" t="s">
        <v>428</v>
      </c>
      <c r="B99" s="13">
        <v>45720</v>
      </c>
      <c r="C99" t="s">
        <v>381</v>
      </c>
      <c r="D99" t="s">
        <v>429</v>
      </c>
      <c r="E99" t="s">
        <v>284</v>
      </c>
      <c r="F99" t="s">
        <v>285</v>
      </c>
      <c r="G99" t="s">
        <v>21</v>
      </c>
      <c r="H99" t="s">
        <v>13</v>
      </c>
      <c r="I99" t="s">
        <v>193</v>
      </c>
      <c r="J99" t="s">
        <v>171</v>
      </c>
      <c r="K99">
        <v>1</v>
      </c>
      <c r="L99" s="12">
        <v>1450</v>
      </c>
      <c r="M99" s="12">
        <v>1030</v>
      </c>
      <c r="N99" s="14">
        <v>0.2</v>
      </c>
      <c r="O99" t="s">
        <v>172</v>
      </c>
      <c r="P99" t="s">
        <v>187</v>
      </c>
    </row>
    <row r="100" spans="1:16">
      <c r="A100" t="s">
        <v>430</v>
      </c>
      <c r="B100" s="13">
        <v>45866</v>
      </c>
      <c r="C100" t="s">
        <v>425</v>
      </c>
      <c r="D100" t="s">
        <v>431</v>
      </c>
      <c r="E100" t="s">
        <v>183</v>
      </c>
      <c r="F100" t="s">
        <v>184</v>
      </c>
      <c r="G100" t="s">
        <v>20</v>
      </c>
      <c r="H100" t="s">
        <v>13</v>
      </c>
      <c r="I100" t="s">
        <v>193</v>
      </c>
      <c r="J100" t="s">
        <v>194</v>
      </c>
      <c r="K100">
        <v>2</v>
      </c>
      <c r="L100" s="12">
        <v>230</v>
      </c>
      <c r="M100" s="12">
        <v>132</v>
      </c>
      <c r="N100" s="14">
        <v>0</v>
      </c>
      <c r="O100" t="s">
        <v>186</v>
      </c>
      <c r="P100" t="s">
        <v>34</v>
      </c>
    </row>
    <row r="101" spans="1:16">
      <c r="A101" t="s">
        <v>432</v>
      </c>
      <c r="B101" s="13">
        <v>45905</v>
      </c>
      <c r="C101" t="s">
        <v>433</v>
      </c>
      <c r="D101" t="s">
        <v>434</v>
      </c>
      <c r="E101" t="s">
        <v>208</v>
      </c>
      <c r="F101" t="s">
        <v>209</v>
      </c>
      <c r="G101" t="s">
        <v>21</v>
      </c>
      <c r="H101" t="s">
        <v>15</v>
      </c>
      <c r="I101" t="s">
        <v>203</v>
      </c>
      <c r="J101" t="s">
        <v>171</v>
      </c>
      <c r="K101">
        <v>8</v>
      </c>
      <c r="L101" s="12">
        <v>840</v>
      </c>
      <c r="M101" s="12">
        <v>590</v>
      </c>
      <c r="N101" s="14">
        <v>0</v>
      </c>
      <c r="O101" t="s">
        <v>179</v>
      </c>
      <c r="P101" t="s">
        <v>34</v>
      </c>
    </row>
    <row r="102" spans="1:16">
      <c r="A102" t="s">
        <v>435</v>
      </c>
      <c r="B102" s="13">
        <v>45799</v>
      </c>
      <c r="C102" t="s">
        <v>436</v>
      </c>
      <c r="D102" t="s">
        <v>296</v>
      </c>
      <c r="E102" t="s">
        <v>168</v>
      </c>
      <c r="F102" t="s">
        <v>169</v>
      </c>
      <c r="G102" t="s">
        <v>19</v>
      </c>
      <c r="H102" t="s">
        <v>14</v>
      </c>
      <c r="I102" t="s">
        <v>170</v>
      </c>
      <c r="J102" t="s">
        <v>194</v>
      </c>
      <c r="K102">
        <v>7</v>
      </c>
      <c r="L102" s="12">
        <v>85</v>
      </c>
      <c r="M102" s="12">
        <v>44</v>
      </c>
      <c r="N102" s="14">
        <v>0.05</v>
      </c>
      <c r="O102" t="s">
        <v>226</v>
      </c>
      <c r="P102" t="s">
        <v>187</v>
      </c>
    </row>
    <row r="103" spans="1:16">
      <c r="A103" t="s">
        <v>437</v>
      </c>
      <c r="B103" s="13">
        <v>45886</v>
      </c>
      <c r="C103" t="s">
        <v>438</v>
      </c>
      <c r="D103" t="s">
        <v>197</v>
      </c>
      <c r="E103" t="s">
        <v>308</v>
      </c>
      <c r="F103" t="s">
        <v>309</v>
      </c>
      <c r="G103" t="s">
        <v>19</v>
      </c>
      <c r="H103" t="s">
        <v>16</v>
      </c>
      <c r="I103" t="s">
        <v>193</v>
      </c>
      <c r="J103" t="s">
        <v>185</v>
      </c>
      <c r="K103">
        <v>9</v>
      </c>
      <c r="L103" s="12">
        <v>265</v>
      </c>
      <c r="M103" s="12">
        <v>155</v>
      </c>
      <c r="N103" s="14">
        <v>0.1</v>
      </c>
      <c r="O103" t="s">
        <v>186</v>
      </c>
      <c r="P103" t="s">
        <v>34</v>
      </c>
    </row>
    <row r="104" spans="1:16">
      <c r="A104" t="s">
        <v>439</v>
      </c>
      <c r="B104" s="13">
        <v>46015</v>
      </c>
      <c r="C104" t="s">
        <v>248</v>
      </c>
      <c r="D104" t="s">
        <v>426</v>
      </c>
      <c r="E104" t="s">
        <v>220</v>
      </c>
      <c r="F104" t="s">
        <v>221</v>
      </c>
      <c r="G104" t="s">
        <v>19</v>
      </c>
      <c r="H104" t="s">
        <v>12</v>
      </c>
      <c r="I104" t="s">
        <v>193</v>
      </c>
      <c r="J104" t="s">
        <v>185</v>
      </c>
      <c r="K104">
        <v>4</v>
      </c>
      <c r="L104" s="12">
        <v>175</v>
      </c>
      <c r="M104" s="12">
        <v>98</v>
      </c>
      <c r="N104" s="14">
        <v>0.15</v>
      </c>
      <c r="O104" t="s">
        <v>226</v>
      </c>
      <c r="P104" t="s">
        <v>34</v>
      </c>
    </row>
    <row r="105" spans="1:16">
      <c r="A105" t="s">
        <v>440</v>
      </c>
      <c r="B105" s="13">
        <v>45997</v>
      </c>
      <c r="C105" t="s">
        <v>399</v>
      </c>
      <c r="D105" t="s">
        <v>441</v>
      </c>
      <c r="E105" t="s">
        <v>208</v>
      </c>
      <c r="F105" t="s">
        <v>209</v>
      </c>
      <c r="G105" t="s">
        <v>21</v>
      </c>
      <c r="H105" t="s">
        <v>13</v>
      </c>
      <c r="I105" t="s">
        <v>170</v>
      </c>
      <c r="J105" t="s">
        <v>171</v>
      </c>
      <c r="K105">
        <v>11</v>
      </c>
      <c r="L105" s="12">
        <v>840</v>
      </c>
      <c r="M105" s="12">
        <v>590</v>
      </c>
      <c r="N105" s="14">
        <v>0</v>
      </c>
      <c r="O105" t="s">
        <v>186</v>
      </c>
      <c r="P105" t="s">
        <v>34</v>
      </c>
    </row>
    <row r="106" spans="1:16">
      <c r="A106" t="s">
        <v>442</v>
      </c>
      <c r="B106" s="13">
        <v>45883</v>
      </c>
      <c r="C106" t="s">
        <v>298</v>
      </c>
      <c r="D106" t="s">
        <v>443</v>
      </c>
      <c r="E106" t="s">
        <v>168</v>
      </c>
      <c r="F106" t="s">
        <v>169</v>
      </c>
      <c r="G106" t="s">
        <v>19</v>
      </c>
      <c r="H106" t="s">
        <v>15</v>
      </c>
      <c r="I106" t="s">
        <v>170</v>
      </c>
      <c r="J106" t="s">
        <v>204</v>
      </c>
      <c r="K106">
        <v>2</v>
      </c>
      <c r="L106" s="12">
        <v>85</v>
      </c>
      <c r="M106" s="12">
        <v>44</v>
      </c>
      <c r="N106" s="14">
        <v>0.15</v>
      </c>
      <c r="O106" t="s">
        <v>172</v>
      </c>
      <c r="P106" t="s">
        <v>34</v>
      </c>
    </row>
    <row r="107" spans="1:16">
      <c r="A107" t="s">
        <v>444</v>
      </c>
      <c r="B107" s="13">
        <v>45793</v>
      </c>
      <c r="C107" t="s">
        <v>445</v>
      </c>
      <c r="D107" t="s">
        <v>446</v>
      </c>
      <c r="E107" t="s">
        <v>284</v>
      </c>
      <c r="F107" t="s">
        <v>285</v>
      </c>
      <c r="G107" t="s">
        <v>21</v>
      </c>
      <c r="H107" t="s">
        <v>12</v>
      </c>
      <c r="I107" t="s">
        <v>193</v>
      </c>
      <c r="J107" t="s">
        <v>171</v>
      </c>
      <c r="K107">
        <v>6</v>
      </c>
      <c r="L107" s="12">
        <v>1450</v>
      </c>
      <c r="M107" s="12">
        <v>1030</v>
      </c>
      <c r="N107" s="14">
        <v>0.15</v>
      </c>
      <c r="O107" t="s">
        <v>226</v>
      </c>
      <c r="P107" t="s">
        <v>213</v>
      </c>
    </row>
    <row r="108" spans="1:16">
      <c r="A108" t="s">
        <v>447</v>
      </c>
      <c r="B108" s="13">
        <v>45978</v>
      </c>
      <c r="C108" t="s">
        <v>448</v>
      </c>
      <c r="D108" t="s">
        <v>449</v>
      </c>
      <c r="E108" t="s">
        <v>217</v>
      </c>
      <c r="F108" t="s">
        <v>218</v>
      </c>
      <c r="G108" t="s">
        <v>20</v>
      </c>
      <c r="H108" t="s">
        <v>12</v>
      </c>
      <c r="I108" t="s">
        <v>203</v>
      </c>
      <c r="J108" t="s">
        <v>194</v>
      </c>
      <c r="K108">
        <v>12</v>
      </c>
      <c r="L108" s="12">
        <v>1090</v>
      </c>
      <c r="M108" s="12">
        <v>790</v>
      </c>
      <c r="N108" s="14">
        <v>0.1</v>
      </c>
      <c r="O108" t="s">
        <v>179</v>
      </c>
      <c r="P108" t="s">
        <v>187</v>
      </c>
    </row>
    <row r="109" spans="1:16">
      <c r="A109" t="s">
        <v>450</v>
      </c>
      <c r="B109" s="13">
        <v>45880</v>
      </c>
      <c r="C109" t="s">
        <v>451</v>
      </c>
      <c r="D109" t="s">
        <v>452</v>
      </c>
      <c r="E109" t="s">
        <v>168</v>
      </c>
      <c r="F109" t="s">
        <v>169</v>
      </c>
      <c r="G109" t="s">
        <v>19</v>
      </c>
      <c r="H109" t="s">
        <v>15</v>
      </c>
      <c r="I109" t="s">
        <v>203</v>
      </c>
      <c r="J109" t="s">
        <v>194</v>
      </c>
      <c r="K109">
        <v>2</v>
      </c>
      <c r="L109" s="12">
        <v>85</v>
      </c>
      <c r="M109" s="12">
        <v>44</v>
      </c>
      <c r="N109" s="14">
        <v>0.2</v>
      </c>
      <c r="O109" t="s">
        <v>172</v>
      </c>
      <c r="P109" t="s">
        <v>213</v>
      </c>
    </row>
    <row r="110" spans="1:16">
      <c r="A110" t="s">
        <v>453</v>
      </c>
      <c r="B110" s="13">
        <v>45824</v>
      </c>
      <c r="C110" t="s">
        <v>454</v>
      </c>
      <c r="D110" t="s">
        <v>328</v>
      </c>
      <c r="E110" t="s">
        <v>198</v>
      </c>
      <c r="F110" t="s">
        <v>199</v>
      </c>
      <c r="G110" t="s">
        <v>19</v>
      </c>
      <c r="H110" t="s">
        <v>13</v>
      </c>
      <c r="I110" t="s">
        <v>203</v>
      </c>
      <c r="J110" t="s">
        <v>171</v>
      </c>
      <c r="K110">
        <v>1</v>
      </c>
      <c r="L110" s="12">
        <v>95</v>
      </c>
      <c r="M110" s="12">
        <v>52</v>
      </c>
      <c r="N110" s="14">
        <v>0.05</v>
      </c>
      <c r="O110" t="s">
        <v>226</v>
      </c>
      <c r="P110" t="s">
        <v>34</v>
      </c>
    </row>
    <row r="111" spans="1:16">
      <c r="A111" t="s">
        <v>455</v>
      </c>
      <c r="B111" s="13">
        <v>46007</v>
      </c>
      <c r="C111" t="s">
        <v>196</v>
      </c>
      <c r="D111" t="s">
        <v>456</v>
      </c>
      <c r="E111" t="s">
        <v>176</v>
      </c>
      <c r="F111" t="s">
        <v>177</v>
      </c>
      <c r="G111" t="s">
        <v>20</v>
      </c>
      <c r="H111" t="s">
        <v>15</v>
      </c>
      <c r="I111" t="s">
        <v>170</v>
      </c>
      <c r="J111" t="s">
        <v>204</v>
      </c>
      <c r="K111">
        <v>3</v>
      </c>
      <c r="L111" s="12">
        <v>195</v>
      </c>
      <c r="M111" s="12">
        <v>105</v>
      </c>
      <c r="N111" s="14">
        <v>0</v>
      </c>
      <c r="O111" t="s">
        <v>226</v>
      </c>
      <c r="P111" t="s">
        <v>34</v>
      </c>
    </row>
    <row r="112" spans="1:16">
      <c r="A112" t="s">
        <v>457</v>
      </c>
      <c r="B112" s="13">
        <v>45731</v>
      </c>
      <c r="C112" t="s">
        <v>458</v>
      </c>
      <c r="D112" t="s">
        <v>375</v>
      </c>
      <c r="E112" t="s">
        <v>176</v>
      </c>
      <c r="F112" t="s">
        <v>177</v>
      </c>
      <c r="G112" t="s">
        <v>20</v>
      </c>
      <c r="H112" t="s">
        <v>14</v>
      </c>
      <c r="I112" t="s">
        <v>170</v>
      </c>
      <c r="J112" t="s">
        <v>178</v>
      </c>
      <c r="K112">
        <v>4</v>
      </c>
      <c r="L112" s="12">
        <v>195</v>
      </c>
      <c r="M112" s="12">
        <v>105</v>
      </c>
      <c r="N112" s="14">
        <v>0.1</v>
      </c>
      <c r="O112" t="s">
        <v>226</v>
      </c>
      <c r="P112" t="s">
        <v>213</v>
      </c>
    </row>
    <row r="113" spans="1:16">
      <c r="A113" t="s">
        <v>459</v>
      </c>
      <c r="B113" s="13">
        <v>46004</v>
      </c>
      <c r="C113" t="s">
        <v>287</v>
      </c>
      <c r="D113" t="s">
        <v>460</v>
      </c>
      <c r="E113" t="s">
        <v>191</v>
      </c>
      <c r="F113" t="s">
        <v>192</v>
      </c>
      <c r="G113" t="s">
        <v>20</v>
      </c>
      <c r="H113" t="s">
        <v>16</v>
      </c>
      <c r="I113" t="s">
        <v>193</v>
      </c>
      <c r="J113" t="s">
        <v>185</v>
      </c>
      <c r="K113">
        <v>9</v>
      </c>
      <c r="L113" s="12">
        <v>720</v>
      </c>
      <c r="M113" s="12">
        <v>510</v>
      </c>
      <c r="N113" s="14">
        <v>0</v>
      </c>
      <c r="O113" t="s">
        <v>186</v>
      </c>
      <c r="P113" t="s">
        <v>34</v>
      </c>
    </row>
    <row r="114" spans="1:16">
      <c r="A114" t="s">
        <v>461</v>
      </c>
      <c r="B114" s="13">
        <v>45812</v>
      </c>
      <c r="C114" t="s">
        <v>462</v>
      </c>
      <c r="D114" t="s">
        <v>252</v>
      </c>
      <c r="E114" t="s">
        <v>284</v>
      </c>
      <c r="F114" t="s">
        <v>285</v>
      </c>
      <c r="G114" t="s">
        <v>21</v>
      </c>
      <c r="H114" t="s">
        <v>15</v>
      </c>
      <c r="I114" t="s">
        <v>170</v>
      </c>
      <c r="J114" t="s">
        <v>194</v>
      </c>
      <c r="K114">
        <v>4</v>
      </c>
      <c r="L114" s="12">
        <v>1450</v>
      </c>
      <c r="M114" s="12">
        <v>1030</v>
      </c>
      <c r="N114" s="14">
        <v>0.1</v>
      </c>
      <c r="O114" t="s">
        <v>186</v>
      </c>
      <c r="P114" t="s">
        <v>34</v>
      </c>
    </row>
    <row r="115" spans="1:16">
      <c r="A115" t="s">
        <v>463</v>
      </c>
      <c r="B115" s="13">
        <v>45669</v>
      </c>
      <c r="C115" t="s">
        <v>298</v>
      </c>
      <c r="D115" t="s">
        <v>358</v>
      </c>
      <c r="E115" t="s">
        <v>191</v>
      </c>
      <c r="F115" t="s">
        <v>192</v>
      </c>
      <c r="G115" t="s">
        <v>20</v>
      </c>
      <c r="H115" t="s">
        <v>12</v>
      </c>
      <c r="I115" t="s">
        <v>170</v>
      </c>
      <c r="J115" t="s">
        <v>185</v>
      </c>
      <c r="K115">
        <v>11</v>
      </c>
      <c r="L115" s="12">
        <v>720</v>
      </c>
      <c r="M115" s="12">
        <v>510</v>
      </c>
      <c r="N115" s="14">
        <v>0.1</v>
      </c>
      <c r="O115" t="s">
        <v>186</v>
      </c>
      <c r="P115" t="s">
        <v>34</v>
      </c>
    </row>
    <row r="116" spans="1:16">
      <c r="A116" t="s">
        <v>464</v>
      </c>
      <c r="B116" s="13">
        <v>45968</v>
      </c>
      <c r="C116" t="s">
        <v>260</v>
      </c>
      <c r="D116" t="s">
        <v>449</v>
      </c>
      <c r="E116" t="s">
        <v>220</v>
      </c>
      <c r="F116" t="s">
        <v>221</v>
      </c>
      <c r="G116" t="s">
        <v>19</v>
      </c>
      <c r="H116" t="s">
        <v>14</v>
      </c>
      <c r="I116" t="s">
        <v>170</v>
      </c>
      <c r="J116" t="s">
        <v>204</v>
      </c>
      <c r="K116">
        <v>6</v>
      </c>
      <c r="L116" s="12">
        <v>175</v>
      </c>
      <c r="M116" s="12">
        <v>98</v>
      </c>
      <c r="N116" s="14">
        <v>0</v>
      </c>
      <c r="O116" t="s">
        <v>172</v>
      </c>
      <c r="P116" t="s">
        <v>213</v>
      </c>
    </row>
    <row r="117" spans="1:16">
      <c r="A117" t="s">
        <v>465</v>
      </c>
      <c r="B117" s="13">
        <v>45816</v>
      </c>
      <c r="C117" t="s">
        <v>466</v>
      </c>
      <c r="D117" t="s">
        <v>467</v>
      </c>
      <c r="E117" t="s">
        <v>198</v>
      </c>
      <c r="F117" t="s">
        <v>199</v>
      </c>
      <c r="G117" t="s">
        <v>19</v>
      </c>
      <c r="H117" t="s">
        <v>12</v>
      </c>
      <c r="I117" t="s">
        <v>193</v>
      </c>
      <c r="J117" t="s">
        <v>194</v>
      </c>
      <c r="K117">
        <v>8</v>
      </c>
      <c r="L117" s="12">
        <v>95</v>
      </c>
      <c r="M117" s="12">
        <v>52</v>
      </c>
      <c r="N117" s="14">
        <v>0</v>
      </c>
      <c r="O117" t="s">
        <v>226</v>
      </c>
      <c r="P117" t="s">
        <v>187</v>
      </c>
    </row>
    <row r="118" spans="1:16">
      <c r="A118" t="s">
        <v>468</v>
      </c>
      <c r="B118" s="13">
        <v>45760</v>
      </c>
      <c r="C118" t="s">
        <v>469</v>
      </c>
      <c r="D118" t="s">
        <v>470</v>
      </c>
      <c r="E118" t="s">
        <v>308</v>
      </c>
      <c r="F118" t="s">
        <v>309</v>
      </c>
      <c r="G118" t="s">
        <v>19</v>
      </c>
      <c r="H118" t="s">
        <v>14</v>
      </c>
      <c r="I118" t="s">
        <v>203</v>
      </c>
      <c r="J118" t="s">
        <v>194</v>
      </c>
      <c r="K118">
        <v>3</v>
      </c>
      <c r="L118" s="12">
        <v>265</v>
      </c>
      <c r="M118" s="12">
        <v>155</v>
      </c>
      <c r="N118" s="14">
        <v>0.15</v>
      </c>
      <c r="O118" t="s">
        <v>226</v>
      </c>
      <c r="P118" t="s">
        <v>34</v>
      </c>
    </row>
    <row r="119" spans="1:16">
      <c r="A119" t="s">
        <v>471</v>
      </c>
      <c r="B119" s="13">
        <v>45831</v>
      </c>
      <c r="C119" t="s">
        <v>472</v>
      </c>
      <c r="D119" t="s">
        <v>473</v>
      </c>
      <c r="E119" t="s">
        <v>191</v>
      </c>
      <c r="F119" t="s">
        <v>192</v>
      </c>
      <c r="G119" t="s">
        <v>20</v>
      </c>
      <c r="H119" t="s">
        <v>15</v>
      </c>
      <c r="I119" t="s">
        <v>170</v>
      </c>
      <c r="J119" t="s">
        <v>194</v>
      </c>
      <c r="K119">
        <v>2</v>
      </c>
      <c r="L119" s="12">
        <v>720</v>
      </c>
      <c r="M119" s="12">
        <v>510</v>
      </c>
      <c r="N119" s="14">
        <v>0.1</v>
      </c>
      <c r="O119" t="s">
        <v>172</v>
      </c>
      <c r="P119" t="s">
        <v>34</v>
      </c>
    </row>
    <row r="120" spans="1:16">
      <c r="A120" t="s">
        <v>474</v>
      </c>
      <c r="B120" s="13">
        <v>45665</v>
      </c>
      <c r="C120" t="s">
        <v>219</v>
      </c>
      <c r="D120" t="s">
        <v>207</v>
      </c>
      <c r="E120" t="s">
        <v>208</v>
      </c>
      <c r="F120" t="s">
        <v>209</v>
      </c>
      <c r="G120" t="s">
        <v>21</v>
      </c>
      <c r="H120" t="s">
        <v>14</v>
      </c>
      <c r="I120" t="s">
        <v>170</v>
      </c>
      <c r="J120" t="s">
        <v>185</v>
      </c>
      <c r="K120">
        <v>5</v>
      </c>
      <c r="L120" s="12">
        <v>840</v>
      </c>
      <c r="M120" s="12">
        <v>590</v>
      </c>
      <c r="N120" s="14">
        <v>0.15</v>
      </c>
      <c r="O120" t="s">
        <v>186</v>
      </c>
      <c r="P120" t="s">
        <v>34</v>
      </c>
    </row>
    <row r="121" spans="1:16">
      <c r="A121" t="s">
        <v>112</v>
      </c>
      <c r="B121" s="13">
        <v>46003</v>
      </c>
      <c r="C121" t="s">
        <v>364</v>
      </c>
      <c r="D121" t="s">
        <v>305</v>
      </c>
      <c r="E121" t="s">
        <v>168</v>
      </c>
      <c r="F121" t="s">
        <v>169</v>
      </c>
      <c r="G121" t="s">
        <v>19</v>
      </c>
      <c r="H121" t="s">
        <v>14</v>
      </c>
      <c r="I121" t="s">
        <v>170</v>
      </c>
      <c r="J121" t="s">
        <v>204</v>
      </c>
      <c r="K121">
        <v>4</v>
      </c>
      <c r="L121" s="12">
        <v>-50</v>
      </c>
      <c r="M121" s="12">
        <v>44</v>
      </c>
      <c r="N121" s="14">
        <v>0.1</v>
      </c>
      <c r="O121" t="s">
        <v>172</v>
      </c>
      <c r="P121" t="s">
        <v>34</v>
      </c>
    </row>
    <row r="122" spans="1:16">
      <c r="A122" t="s">
        <v>475</v>
      </c>
      <c r="B122" s="13">
        <v>46016</v>
      </c>
      <c r="C122" t="s">
        <v>476</v>
      </c>
      <c r="D122" t="s">
        <v>167</v>
      </c>
      <c r="E122" t="s">
        <v>284</v>
      </c>
      <c r="F122" t="s">
        <v>285</v>
      </c>
      <c r="G122" t="s">
        <v>21</v>
      </c>
      <c r="H122" t="s">
        <v>12</v>
      </c>
      <c r="I122" t="s">
        <v>203</v>
      </c>
      <c r="J122" t="s">
        <v>194</v>
      </c>
      <c r="K122">
        <v>5</v>
      </c>
      <c r="L122" s="12">
        <v>1450</v>
      </c>
      <c r="M122" s="12">
        <v>1030</v>
      </c>
      <c r="N122" s="14">
        <v>0.2</v>
      </c>
      <c r="O122" t="s">
        <v>226</v>
      </c>
      <c r="P122" t="s">
        <v>34</v>
      </c>
    </row>
    <row r="123" spans="1:16">
      <c r="A123" t="s">
        <v>477</v>
      </c>
      <c r="B123" s="13">
        <v>45707</v>
      </c>
      <c r="C123" t="s">
        <v>478</v>
      </c>
      <c r="D123" t="s">
        <v>479</v>
      </c>
      <c r="E123" t="s">
        <v>168</v>
      </c>
      <c r="F123" t="s">
        <v>169</v>
      </c>
      <c r="G123" t="s">
        <v>19</v>
      </c>
      <c r="H123" t="s">
        <v>14</v>
      </c>
      <c r="I123" t="s">
        <v>170</v>
      </c>
      <c r="J123" t="s">
        <v>171</v>
      </c>
      <c r="K123">
        <v>4</v>
      </c>
      <c r="L123" s="12">
        <v>85</v>
      </c>
      <c r="M123" s="12">
        <v>44</v>
      </c>
      <c r="N123" s="14">
        <v>0.15</v>
      </c>
      <c r="O123" t="s">
        <v>226</v>
      </c>
      <c r="P123" t="s">
        <v>34</v>
      </c>
    </row>
    <row r="124" spans="1:16">
      <c r="A124" t="s">
        <v>480</v>
      </c>
      <c r="B124" s="13">
        <v>45737</v>
      </c>
      <c r="C124" t="s">
        <v>343</v>
      </c>
      <c r="D124" t="s">
        <v>397</v>
      </c>
      <c r="E124" t="s">
        <v>176</v>
      </c>
      <c r="F124" t="s">
        <v>177</v>
      </c>
      <c r="G124" t="s">
        <v>20</v>
      </c>
      <c r="H124" t="s">
        <v>16</v>
      </c>
      <c r="I124" t="s">
        <v>193</v>
      </c>
      <c r="J124" t="s">
        <v>194</v>
      </c>
      <c r="K124">
        <v>7</v>
      </c>
      <c r="L124" s="12">
        <v>195</v>
      </c>
      <c r="M124" s="12">
        <v>105</v>
      </c>
      <c r="N124" s="14">
        <v>0.2</v>
      </c>
      <c r="O124" t="s">
        <v>172</v>
      </c>
      <c r="P124" t="s">
        <v>34</v>
      </c>
    </row>
    <row r="125" spans="1:16">
      <c r="A125" t="s">
        <v>481</v>
      </c>
      <c r="B125" s="13">
        <v>45769</v>
      </c>
      <c r="C125" t="s">
        <v>311</v>
      </c>
      <c r="D125" t="s">
        <v>238</v>
      </c>
      <c r="E125" t="s">
        <v>217</v>
      </c>
      <c r="F125" t="s">
        <v>218</v>
      </c>
      <c r="G125" t="s">
        <v>20</v>
      </c>
      <c r="H125" t="s">
        <v>12</v>
      </c>
      <c r="I125" t="s">
        <v>170</v>
      </c>
      <c r="J125" t="s">
        <v>194</v>
      </c>
      <c r="K125">
        <v>8</v>
      </c>
      <c r="L125" s="12">
        <v>1090</v>
      </c>
      <c r="M125" s="12">
        <v>790</v>
      </c>
      <c r="N125" s="14">
        <v>0.1</v>
      </c>
      <c r="O125" t="s">
        <v>186</v>
      </c>
      <c r="P125" t="s">
        <v>34</v>
      </c>
    </row>
    <row r="126" spans="1:16">
      <c r="A126" t="s">
        <v>482</v>
      </c>
      <c r="B126" s="13">
        <v>45861</v>
      </c>
      <c r="C126" t="s">
        <v>483</v>
      </c>
      <c r="D126" t="s">
        <v>479</v>
      </c>
      <c r="E126" t="s">
        <v>198</v>
      </c>
      <c r="F126" t="s">
        <v>199</v>
      </c>
      <c r="G126" t="s">
        <v>19</v>
      </c>
      <c r="H126" t="s">
        <v>12</v>
      </c>
      <c r="I126" t="s">
        <v>170</v>
      </c>
      <c r="J126" t="s">
        <v>204</v>
      </c>
      <c r="K126">
        <v>5</v>
      </c>
      <c r="L126" s="12">
        <v>95</v>
      </c>
      <c r="M126" s="12">
        <v>52</v>
      </c>
      <c r="N126" s="14">
        <v>0</v>
      </c>
      <c r="O126" t="s">
        <v>172</v>
      </c>
      <c r="P126" t="s">
        <v>34</v>
      </c>
    </row>
    <row r="127" spans="1:16">
      <c r="A127" t="s">
        <v>484</v>
      </c>
      <c r="B127" s="13">
        <v>45828</v>
      </c>
      <c r="C127" t="s">
        <v>327</v>
      </c>
      <c r="D127" t="s">
        <v>241</v>
      </c>
      <c r="E127" t="s">
        <v>198</v>
      </c>
      <c r="F127" t="s">
        <v>199</v>
      </c>
      <c r="G127" t="s">
        <v>19</v>
      </c>
      <c r="H127" t="s">
        <v>16</v>
      </c>
      <c r="I127" t="s">
        <v>203</v>
      </c>
      <c r="J127" t="s">
        <v>171</v>
      </c>
      <c r="K127">
        <v>4</v>
      </c>
      <c r="L127" s="12">
        <v>95</v>
      </c>
      <c r="M127" s="12">
        <v>52</v>
      </c>
      <c r="N127" s="14">
        <v>0</v>
      </c>
      <c r="O127" t="s">
        <v>179</v>
      </c>
      <c r="P127" t="s">
        <v>187</v>
      </c>
    </row>
    <row r="128" spans="1:16">
      <c r="A128" t="s">
        <v>485</v>
      </c>
      <c r="B128" s="13">
        <v>45826</v>
      </c>
      <c r="C128" t="s">
        <v>181</v>
      </c>
      <c r="D128" t="s">
        <v>434</v>
      </c>
      <c r="E128" t="s">
        <v>220</v>
      </c>
      <c r="F128" t="s">
        <v>221</v>
      </c>
      <c r="G128" t="s">
        <v>19</v>
      </c>
      <c r="H128" t="s">
        <v>13</v>
      </c>
      <c r="I128" t="s">
        <v>170</v>
      </c>
      <c r="J128" t="s">
        <v>194</v>
      </c>
      <c r="K128">
        <v>3</v>
      </c>
      <c r="L128" s="12">
        <v>175</v>
      </c>
      <c r="M128" s="12">
        <v>98</v>
      </c>
      <c r="N128" s="14">
        <v>0.15</v>
      </c>
      <c r="O128" t="s">
        <v>179</v>
      </c>
      <c r="P128" t="s">
        <v>34</v>
      </c>
    </row>
    <row r="129" spans="1:16">
      <c r="A129" t="s">
        <v>486</v>
      </c>
      <c r="B129" s="13">
        <v>45996</v>
      </c>
      <c r="C129" t="s">
        <v>304</v>
      </c>
      <c r="D129" t="s">
        <v>252</v>
      </c>
      <c r="E129" t="s">
        <v>168</v>
      </c>
      <c r="F129" t="s">
        <v>169</v>
      </c>
      <c r="G129" t="s">
        <v>19</v>
      </c>
      <c r="H129" t="s">
        <v>16</v>
      </c>
      <c r="I129" t="s">
        <v>193</v>
      </c>
      <c r="J129" t="s">
        <v>178</v>
      </c>
      <c r="K129">
        <v>1</v>
      </c>
      <c r="L129" s="12">
        <v>85</v>
      </c>
      <c r="M129" s="12">
        <v>44</v>
      </c>
      <c r="N129" s="14">
        <v>0</v>
      </c>
      <c r="O129" t="s">
        <v>179</v>
      </c>
      <c r="P129" t="s">
        <v>34</v>
      </c>
    </row>
    <row r="130" spans="1:16">
      <c r="A130" t="s">
        <v>487</v>
      </c>
      <c r="B130" s="13">
        <v>45684</v>
      </c>
      <c r="C130" t="s">
        <v>469</v>
      </c>
      <c r="D130" t="s">
        <v>229</v>
      </c>
      <c r="E130" t="s">
        <v>191</v>
      </c>
      <c r="F130" t="s">
        <v>192</v>
      </c>
      <c r="G130" t="s">
        <v>20</v>
      </c>
      <c r="H130" t="s">
        <v>12</v>
      </c>
      <c r="I130" t="s">
        <v>193</v>
      </c>
      <c r="J130" t="s">
        <v>185</v>
      </c>
      <c r="K130">
        <v>3</v>
      </c>
      <c r="L130" s="12">
        <v>720</v>
      </c>
      <c r="M130" s="12">
        <v>510</v>
      </c>
      <c r="N130" s="14">
        <v>0.2</v>
      </c>
      <c r="O130" t="s">
        <v>186</v>
      </c>
      <c r="P130" t="s">
        <v>34</v>
      </c>
    </row>
    <row r="131" spans="1:16">
      <c r="A131" t="s">
        <v>488</v>
      </c>
      <c r="B131" s="13">
        <v>45961</v>
      </c>
      <c r="C131" t="s">
        <v>166</v>
      </c>
      <c r="D131" t="s">
        <v>489</v>
      </c>
      <c r="E131" t="s">
        <v>183</v>
      </c>
      <c r="F131" t="s">
        <v>184</v>
      </c>
      <c r="G131" t="s">
        <v>20</v>
      </c>
      <c r="H131" t="s">
        <v>12</v>
      </c>
      <c r="I131" t="s">
        <v>170</v>
      </c>
      <c r="J131" t="s">
        <v>171</v>
      </c>
      <c r="K131">
        <v>2</v>
      </c>
      <c r="L131" s="12">
        <v>230</v>
      </c>
      <c r="M131" s="12">
        <v>132</v>
      </c>
      <c r="N131" s="14">
        <v>0.1</v>
      </c>
      <c r="O131" t="s">
        <v>186</v>
      </c>
      <c r="P131" t="s">
        <v>187</v>
      </c>
    </row>
    <row r="132" spans="1:16">
      <c r="A132" t="s">
        <v>490</v>
      </c>
      <c r="B132" s="13">
        <v>45987</v>
      </c>
      <c r="C132" t="s">
        <v>491</v>
      </c>
      <c r="D132" t="s">
        <v>314</v>
      </c>
      <c r="E132" t="s">
        <v>284</v>
      </c>
      <c r="F132" t="s">
        <v>285</v>
      </c>
      <c r="G132" t="s">
        <v>21</v>
      </c>
      <c r="H132" t="s">
        <v>15</v>
      </c>
      <c r="I132" t="s">
        <v>170</v>
      </c>
      <c r="J132" t="s">
        <v>178</v>
      </c>
      <c r="K132">
        <v>1</v>
      </c>
      <c r="L132" s="12">
        <v>1450</v>
      </c>
      <c r="M132" s="12">
        <v>1030</v>
      </c>
      <c r="N132" s="14">
        <v>0</v>
      </c>
      <c r="O132" t="s">
        <v>226</v>
      </c>
      <c r="P132" t="s">
        <v>34</v>
      </c>
    </row>
    <row r="133" spans="1:16">
      <c r="A133" t="s">
        <v>492</v>
      </c>
      <c r="B133" s="13">
        <v>45695</v>
      </c>
      <c r="C133" t="s">
        <v>472</v>
      </c>
      <c r="D133" t="s">
        <v>493</v>
      </c>
      <c r="E133" t="s">
        <v>284</v>
      </c>
      <c r="F133" t="s">
        <v>285</v>
      </c>
      <c r="G133" t="s">
        <v>21</v>
      </c>
      <c r="H133" t="s">
        <v>13</v>
      </c>
      <c r="I133" t="s">
        <v>193</v>
      </c>
      <c r="J133" t="s">
        <v>171</v>
      </c>
      <c r="K133">
        <v>2</v>
      </c>
      <c r="L133" s="12">
        <v>1450</v>
      </c>
      <c r="M133" s="12">
        <v>1030</v>
      </c>
      <c r="N133" s="14">
        <v>0.05</v>
      </c>
      <c r="O133" t="s">
        <v>186</v>
      </c>
      <c r="P133" t="s">
        <v>187</v>
      </c>
    </row>
    <row r="134" spans="1:16">
      <c r="A134" t="s">
        <v>494</v>
      </c>
      <c r="B134" s="13">
        <v>45963</v>
      </c>
      <c r="C134" t="s">
        <v>495</v>
      </c>
      <c r="D134" t="s">
        <v>496</v>
      </c>
      <c r="E134" t="s">
        <v>208</v>
      </c>
      <c r="F134" t="s">
        <v>209</v>
      </c>
      <c r="G134" t="s">
        <v>21</v>
      </c>
      <c r="H134" t="s">
        <v>15</v>
      </c>
      <c r="I134" t="s">
        <v>203</v>
      </c>
      <c r="J134" t="s">
        <v>178</v>
      </c>
      <c r="K134">
        <v>9</v>
      </c>
      <c r="L134" s="12">
        <v>840</v>
      </c>
      <c r="M134" s="12">
        <v>590</v>
      </c>
      <c r="N134" s="14">
        <v>0.05</v>
      </c>
      <c r="O134" t="s">
        <v>179</v>
      </c>
      <c r="P134" t="s">
        <v>34</v>
      </c>
    </row>
    <row r="135" spans="1:16">
      <c r="A135" t="s">
        <v>497</v>
      </c>
      <c r="B135" s="13">
        <v>45889</v>
      </c>
      <c r="C135" t="s">
        <v>377</v>
      </c>
      <c r="D135" t="s">
        <v>479</v>
      </c>
      <c r="E135" t="s">
        <v>208</v>
      </c>
      <c r="F135" t="s">
        <v>209</v>
      </c>
      <c r="G135" t="s">
        <v>21</v>
      </c>
      <c r="H135" t="s">
        <v>15</v>
      </c>
      <c r="I135" t="s">
        <v>193</v>
      </c>
      <c r="J135" t="s">
        <v>178</v>
      </c>
      <c r="K135">
        <v>4</v>
      </c>
      <c r="L135" s="12">
        <v>840</v>
      </c>
      <c r="M135" s="12">
        <v>590</v>
      </c>
      <c r="N135" s="14">
        <v>0.1</v>
      </c>
      <c r="O135" t="s">
        <v>186</v>
      </c>
      <c r="P135" t="s">
        <v>34</v>
      </c>
    </row>
    <row r="136" spans="1:16">
      <c r="A136" t="s">
        <v>498</v>
      </c>
      <c r="B136" s="13">
        <v>45818</v>
      </c>
      <c r="C136" t="s">
        <v>231</v>
      </c>
      <c r="D136" t="s">
        <v>365</v>
      </c>
      <c r="E136" t="s">
        <v>208</v>
      </c>
      <c r="F136" t="s">
        <v>209</v>
      </c>
      <c r="G136" t="s">
        <v>21</v>
      </c>
      <c r="H136" t="s">
        <v>15</v>
      </c>
      <c r="I136" t="s">
        <v>203</v>
      </c>
      <c r="J136" t="s">
        <v>178</v>
      </c>
      <c r="K136">
        <v>11</v>
      </c>
      <c r="L136" s="12">
        <v>840</v>
      </c>
      <c r="M136" s="12">
        <v>590</v>
      </c>
      <c r="N136" s="14">
        <v>0.05</v>
      </c>
      <c r="O136" t="s">
        <v>172</v>
      </c>
      <c r="P136" t="s">
        <v>34</v>
      </c>
    </row>
    <row r="137" spans="1:16">
      <c r="A137" t="s">
        <v>499</v>
      </c>
      <c r="B137" s="13">
        <v>45879</v>
      </c>
      <c r="C137" t="s">
        <v>454</v>
      </c>
      <c r="D137" t="s">
        <v>467</v>
      </c>
      <c r="E137" t="s">
        <v>168</v>
      </c>
      <c r="F137" t="s">
        <v>169</v>
      </c>
      <c r="G137" t="s">
        <v>19</v>
      </c>
      <c r="H137" t="s">
        <v>16</v>
      </c>
      <c r="I137" t="s">
        <v>203</v>
      </c>
      <c r="J137" t="s">
        <v>171</v>
      </c>
      <c r="K137">
        <v>2</v>
      </c>
      <c r="L137" s="12">
        <v>85</v>
      </c>
      <c r="M137" s="12">
        <v>44</v>
      </c>
      <c r="N137" s="14">
        <v>0.2</v>
      </c>
      <c r="O137" t="s">
        <v>186</v>
      </c>
      <c r="P137" t="s">
        <v>213</v>
      </c>
    </row>
    <row r="138" spans="1:16">
      <c r="A138" t="s">
        <v>500</v>
      </c>
      <c r="B138" s="13">
        <v>45868</v>
      </c>
      <c r="C138" t="s">
        <v>451</v>
      </c>
      <c r="D138" t="s">
        <v>400</v>
      </c>
      <c r="E138" t="s">
        <v>168</v>
      </c>
      <c r="F138" t="s">
        <v>169</v>
      </c>
      <c r="G138" t="s">
        <v>19</v>
      </c>
      <c r="H138" t="s">
        <v>14</v>
      </c>
      <c r="I138" t="s">
        <v>170</v>
      </c>
      <c r="J138" t="s">
        <v>194</v>
      </c>
      <c r="K138">
        <v>6</v>
      </c>
      <c r="L138" s="12">
        <v>85</v>
      </c>
      <c r="M138" s="12">
        <v>44</v>
      </c>
      <c r="N138" s="14">
        <v>0.2</v>
      </c>
      <c r="O138" t="s">
        <v>186</v>
      </c>
      <c r="P138" t="s">
        <v>34</v>
      </c>
    </row>
    <row r="139" spans="1:16">
      <c r="A139" t="s">
        <v>501</v>
      </c>
      <c r="B139" s="13">
        <v>45953</v>
      </c>
      <c r="C139" t="s">
        <v>201</v>
      </c>
      <c r="D139" t="s">
        <v>502</v>
      </c>
      <c r="E139" t="s">
        <v>168</v>
      </c>
      <c r="F139" t="s">
        <v>169</v>
      </c>
      <c r="G139" t="s">
        <v>19</v>
      </c>
      <c r="H139" t="s">
        <v>13</v>
      </c>
      <c r="I139" t="s">
        <v>203</v>
      </c>
      <c r="J139" t="s">
        <v>194</v>
      </c>
      <c r="K139">
        <v>9</v>
      </c>
      <c r="L139" s="12">
        <v>85</v>
      </c>
      <c r="M139" s="12">
        <v>44</v>
      </c>
      <c r="N139" s="14">
        <v>0</v>
      </c>
      <c r="O139" t="s">
        <v>186</v>
      </c>
      <c r="P139" t="s">
        <v>34</v>
      </c>
    </row>
    <row r="140" spans="1:16">
      <c r="A140" t="s">
        <v>503</v>
      </c>
      <c r="B140" s="13">
        <v>45800</v>
      </c>
      <c r="C140" t="s">
        <v>491</v>
      </c>
      <c r="D140" t="s">
        <v>305</v>
      </c>
      <c r="E140" t="s">
        <v>168</v>
      </c>
      <c r="F140" t="s">
        <v>169</v>
      </c>
      <c r="G140" t="s">
        <v>19</v>
      </c>
      <c r="H140" t="s">
        <v>16</v>
      </c>
      <c r="I140" t="s">
        <v>170</v>
      </c>
      <c r="J140" t="s">
        <v>171</v>
      </c>
      <c r="K140">
        <v>10</v>
      </c>
      <c r="L140" s="12">
        <v>85</v>
      </c>
      <c r="M140" s="12">
        <v>44</v>
      </c>
      <c r="N140" s="14">
        <v>0</v>
      </c>
      <c r="O140" t="s">
        <v>172</v>
      </c>
      <c r="P140" t="s">
        <v>34</v>
      </c>
    </row>
    <row r="141" spans="1:16">
      <c r="A141" t="s">
        <v>504</v>
      </c>
      <c r="B141" s="13">
        <v>45994</v>
      </c>
      <c r="C141" t="s">
        <v>420</v>
      </c>
      <c r="D141" t="s">
        <v>505</v>
      </c>
      <c r="E141" t="s">
        <v>176</v>
      </c>
      <c r="F141" t="s">
        <v>177</v>
      </c>
      <c r="G141" t="s">
        <v>20</v>
      </c>
      <c r="H141" t="s">
        <v>14</v>
      </c>
      <c r="I141" t="s">
        <v>193</v>
      </c>
      <c r="J141" t="s">
        <v>194</v>
      </c>
      <c r="K141">
        <v>12</v>
      </c>
      <c r="L141" s="12">
        <v>195</v>
      </c>
      <c r="M141" s="12">
        <v>105</v>
      </c>
      <c r="N141" s="14">
        <v>0.05</v>
      </c>
      <c r="O141" t="s">
        <v>172</v>
      </c>
      <c r="P141" t="s">
        <v>34</v>
      </c>
    </row>
    <row r="142" spans="1:16">
      <c r="A142" t="s">
        <v>506</v>
      </c>
      <c r="B142" s="13">
        <v>45731</v>
      </c>
      <c r="C142" t="s">
        <v>350</v>
      </c>
      <c r="D142" t="s">
        <v>443</v>
      </c>
      <c r="E142" t="s">
        <v>308</v>
      </c>
      <c r="F142" t="s">
        <v>309</v>
      </c>
      <c r="G142" t="s">
        <v>19</v>
      </c>
      <c r="H142" t="s">
        <v>12</v>
      </c>
      <c r="I142" t="s">
        <v>203</v>
      </c>
      <c r="J142" t="s">
        <v>171</v>
      </c>
      <c r="K142">
        <v>10</v>
      </c>
      <c r="L142" s="12">
        <v>265</v>
      </c>
      <c r="M142" s="12">
        <v>155</v>
      </c>
      <c r="N142" s="14">
        <v>0.2</v>
      </c>
      <c r="O142" t="s">
        <v>179</v>
      </c>
      <c r="P142" t="s">
        <v>34</v>
      </c>
    </row>
    <row r="143" spans="1:16">
      <c r="A143" t="s">
        <v>507</v>
      </c>
      <c r="B143" s="13">
        <v>45872</v>
      </c>
      <c r="C143" t="s">
        <v>454</v>
      </c>
      <c r="D143" t="s">
        <v>369</v>
      </c>
      <c r="E143" t="s">
        <v>208</v>
      </c>
      <c r="F143" t="s">
        <v>209</v>
      </c>
      <c r="G143" t="s">
        <v>21</v>
      </c>
      <c r="H143" t="s">
        <v>14</v>
      </c>
      <c r="I143" t="s">
        <v>170</v>
      </c>
      <c r="J143" t="s">
        <v>171</v>
      </c>
      <c r="K143">
        <v>8</v>
      </c>
      <c r="L143" s="12">
        <v>840</v>
      </c>
      <c r="M143" s="12">
        <v>590</v>
      </c>
      <c r="N143" s="14">
        <v>0.05</v>
      </c>
      <c r="O143" t="s">
        <v>172</v>
      </c>
      <c r="P143" t="s">
        <v>34</v>
      </c>
    </row>
    <row r="144" spans="1:16">
      <c r="A144" t="s">
        <v>508</v>
      </c>
      <c r="B144" s="13">
        <v>45737</v>
      </c>
      <c r="C144" t="s">
        <v>509</v>
      </c>
      <c r="D144" t="s">
        <v>510</v>
      </c>
      <c r="E144" t="s">
        <v>198</v>
      </c>
      <c r="F144" t="s">
        <v>199</v>
      </c>
      <c r="G144" t="s">
        <v>19</v>
      </c>
      <c r="H144" t="s">
        <v>14</v>
      </c>
      <c r="I144" t="s">
        <v>193</v>
      </c>
      <c r="J144" t="s">
        <v>185</v>
      </c>
      <c r="K144">
        <v>3</v>
      </c>
      <c r="L144" s="12">
        <v>95</v>
      </c>
      <c r="M144" s="12">
        <v>52</v>
      </c>
      <c r="N144" s="14">
        <v>0.15</v>
      </c>
      <c r="O144" t="s">
        <v>226</v>
      </c>
      <c r="P144" t="s">
        <v>34</v>
      </c>
    </row>
    <row r="145" spans="1:16">
      <c r="A145" t="s">
        <v>117</v>
      </c>
      <c r="B145" s="13">
        <v>45884</v>
      </c>
      <c r="D145" t="s">
        <v>511</v>
      </c>
      <c r="E145" t="s">
        <v>176</v>
      </c>
      <c r="F145" t="s">
        <v>177</v>
      </c>
      <c r="G145" t="s">
        <v>20</v>
      </c>
      <c r="H145" t="s">
        <v>12</v>
      </c>
      <c r="I145" t="s">
        <v>193</v>
      </c>
      <c r="J145" t="s">
        <v>185</v>
      </c>
      <c r="K145">
        <v>7</v>
      </c>
      <c r="L145" s="12">
        <v>195</v>
      </c>
      <c r="M145" s="12">
        <v>105</v>
      </c>
      <c r="N145" s="14">
        <v>0.05</v>
      </c>
      <c r="O145" t="s">
        <v>172</v>
      </c>
      <c r="P145" t="s">
        <v>34</v>
      </c>
    </row>
    <row r="146" spans="1:16">
      <c r="A146" t="s">
        <v>512</v>
      </c>
      <c r="B146" s="13">
        <v>46005</v>
      </c>
      <c r="C146" t="s">
        <v>469</v>
      </c>
      <c r="D146" t="s">
        <v>513</v>
      </c>
      <c r="E146" t="s">
        <v>191</v>
      </c>
      <c r="F146" t="s">
        <v>192</v>
      </c>
      <c r="G146" t="s">
        <v>20</v>
      </c>
      <c r="H146" t="s">
        <v>14</v>
      </c>
      <c r="I146" t="s">
        <v>203</v>
      </c>
      <c r="J146" t="s">
        <v>204</v>
      </c>
      <c r="K146">
        <v>11</v>
      </c>
      <c r="L146" s="12">
        <v>720</v>
      </c>
      <c r="M146" s="12">
        <v>510</v>
      </c>
      <c r="N146" s="14">
        <v>0.15</v>
      </c>
      <c r="O146" t="s">
        <v>226</v>
      </c>
      <c r="P146" t="s">
        <v>34</v>
      </c>
    </row>
    <row r="147" spans="1:16">
      <c r="A147" t="s">
        <v>514</v>
      </c>
      <c r="B147" s="13">
        <v>45686</v>
      </c>
      <c r="C147" t="s">
        <v>483</v>
      </c>
      <c r="D147" t="s">
        <v>243</v>
      </c>
      <c r="E147" t="s">
        <v>176</v>
      </c>
      <c r="F147" t="s">
        <v>177</v>
      </c>
      <c r="G147" t="s">
        <v>20</v>
      </c>
      <c r="H147" t="s">
        <v>13</v>
      </c>
      <c r="I147" t="s">
        <v>193</v>
      </c>
      <c r="J147" t="s">
        <v>194</v>
      </c>
      <c r="K147">
        <v>1</v>
      </c>
      <c r="L147" s="12">
        <v>195</v>
      </c>
      <c r="M147" s="12">
        <v>105</v>
      </c>
      <c r="N147" s="14">
        <v>0</v>
      </c>
      <c r="O147" t="s">
        <v>186</v>
      </c>
      <c r="P147" t="s">
        <v>34</v>
      </c>
    </row>
    <row r="148" spans="1:16">
      <c r="A148" t="s">
        <v>515</v>
      </c>
      <c r="B148" s="13">
        <v>45661</v>
      </c>
      <c r="C148" t="s">
        <v>516</v>
      </c>
      <c r="D148" t="s">
        <v>467</v>
      </c>
      <c r="E148" t="s">
        <v>168</v>
      </c>
      <c r="F148" t="s">
        <v>169</v>
      </c>
      <c r="G148" t="s">
        <v>19</v>
      </c>
      <c r="H148" t="s">
        <v>15</v>
      </c>
      <c r="I148" t="s">
        <v>170</v>
      </c>
      <c r="J148" t="s">
        <v>204</v>
      </c>
      <c r="K148">
        <v>8</v>
      </c>
      <c r="L148" s="12">
        <v>85</v>
      </c>
      <c r="M148" s="12">
        <v>44</v>
      </c>
      <c r="N148" s="14">
        <v>0.2</v>
      </c>
      <c r="O148" t="s">
        <v>186</v>
      </c>
      <c r="P148" t="s">
        <v>34</v>
      </c>
    </row>
    <row r="149" spans="1:16">
      <c r="A149" t="s">
        <v>517</v>
      </c>
      <c r="B149" s="13">
        <v>45861</v>
      </c>
      <c r="C149" t="s">
        <v>362</v>
      </c>
      <c r="D149" t="s">
        <v>375</v>
      </c>
      <c r="E149" t="s">
        <v>168</v>
      </c>
      <c r="F149" t="s">
        <v>169</v>
      </c>
      <c r="G149" t="s">
        <v>19</v>
      </c>
      <c r="H149" t="s">
        <v>12</v>
      </c>
      <c r="I149" t="s">
        <v>193</v>
      </c>
      <c r="J149" t="s">
        <v>171</v>
      </c>
      <c r="K149">
        <v>12</v>
      </c>
      <c r="L149" s="12">
        <v>85</v>
      </c>
      <c r="M149" s="12">
        <v>44</v>
      </c>
      <c r="N149" s="14">
        <v>0</v>
      </c>
      <c r="O149" t="s">
        <v>226</v>
      </c>
      <c r="P149" t="s">
        <v>34</v>
      </c>
    </row>
    <row r="150" spans="1:16">
      <c r="A150" t="s">
        <v>518</v>
      </c>
      <c r="B150" s="13">
        <v>45865</v>
      </c>
      <c r="C150" t="s">
        <v>519</v>
      </c>
      <c r="D150" t="s">
        <v>229</v>
      </c>
      <c r="E150" t="s">
        <v>176</v>
      </c>
      <c r="F150" t="s">
        <v>177</v>
      </c>
      <c r="G150" t="s">
        <v>20</v>
      </c>
      <c r="H150" t="s">
        <v>15</v>
      </c>
      <c r="I150" t="s">
        <v>203</v>
      </c>
      <c r="J150" t="s">
        <v>194</v>
      </c>
      <c r="K150">
        <v>12</v>
      </c>
      <c r="L150" s="12">
        <v>195</v>
      </c>
      <c r="M150" s="12">
        <v>105</v>
      </c>
      <c r="N150" s="14">
        <v>0.2</v>
      </c>
      <c r="O150" t="s">
        <v>179</v>
      </c>
      <c r="P150" t="s">
        <v>34</v>
      </c>
    </row>
    <row r="151" spans="1:16">
      <c r="A151" t="s">
        <v>520</v>
      </c>
      <c r="B151" s="13">
        <v>45893</v>
      </c>
      <c r="C151" t="s">
        <v>521</v>
      </c>
      <c r="D151" t="s">
        <v>338</v>
      </c>
      <c r="E151" t="s">
        <v>176</v>
      </c>
      <c r="F151" t="s">
        <v>177</v>
      </c>
      <c r="G151" t="s">
        <v>20</v>
      </c>
      <c r="H151" t="s">
        <v>13</v>
      </c>
      <c r="I151" t="s">
        <v>193</v>
      </c>
      <c r="J151" t="s">
        <v>171</v>
      </c>
      <c r="K151">
        <v>12</v>
      </c>
      <c r="L151" s="12">
        <v>195</v>
      </c>
      <c r="M151" s="12">
        <v>105</v>
      </c>
      <c r="N151" s="14">
        <v>0.05</v>
      </c>
      <c r="O151" t="s">
        <v>226</v>
      </c>
      <c r="P151" t="s">
        <v>34</v>
      </c>
    </row>
    <row r="152" spans="1:16">
      <c r="A152" t="s">
        <v>522</v>
      </c>
      <c r="B152" s="13">
        <v>45698</v>
      </c>
      <c r="C152" t="s">
        <v>292</v>
      </c>
      <c r="D152" t="s">
        <v>523</v>
      </c>
      <c r="E152" t="s">
        <v>183</v>
      </c>
      <c r="F152" t="s">
        <v>184</v>
      </c>
      <c r="G152" t="s">
        <v>20</v>
      </c>
      <c r="H152" t="s">
        <v>14</v>
      </c>
      <c r="I152" t="s">
        <v>203</v>
      </c>
      <c r="J152" t="s">
        <v>178</v>
      </c>
      <c r="K152">
        <v>7</v>
      </c>
      <c r="L152" s="12">
        <v>230</v>
      </c>
      <c r="M152" s="12">
        <v>132</v>
      </c>
      <c r="N152" s="14">
        <v>0.05</v>
      </c>
      <c r="O152" t="s">
        <v>172</v>
      </c>
      <c r="P152" t="s">
        <v>213</v>
      </c>
    </row>
    <row r="153" spans="1:16">
      <c r="A153" t="s">
        <v>524</v>
      </c>
      <c r="B153" s="13">
        <v>45919</v>
      </c>
      <c r="C153" t="s">
        <v>525</v>
      </c>
      <c r="D153" t="s">
        <v>526</v>
      </c>
      <c r="E153" t="s">
        <v>183</v>
      </c>
      <c r="F153" t="s">
        <v>184</v>
      </c>
      <c r="G153" t="s">
        <v>20</v>
      </c>
      <c r="H153" t="s">
        <v>13</v>
      </c>
      <c r="I153" t="s">
        <v>203</v>
      </c>
      <c r="J153" t="s">
        <v>178</v>
      </c>
      <c r="K153">
        <v>4</v>
      </c>
      <c r="L153" s="12">
        <v>230</v>
      </c>
      <c r="M153" s="12">
        <v>132</v>
      </c>
      <c r="N153" s="14">
        <v>0.05</v>
      </c>
      <c r="O153" t="s">
        <v>179</v>
      </c>
      <c r="P153" t="s">
        <v>34</v>
      </c>
    </row>
    <row r="154" spans="1:16">
      <c r="A154" t="s">
        <v>527</v>
      </c>
      <c r="B154" s="13">
        <v>45759</v>
      </c>
      <c r="C154" t="s">
        <v>528</v>
      </c>
      <c r="D154" t="s">
        <v>529</v>
      </c>
      <c r="E154" t="s">
        <v>191</v>
      </c>
      <c r="F154" t="s">
        <v>192</v>
      </c>
      <c r="G154" t="s">
        <v>20</v>
      </c>
      <c r="H154" t="s">
        <v>12</v>
      </c>
      <c r="I154" t="s">
        <v>203</v>
      </c>
      <c r="J154" t="s">
        <v>185</v>
      </c>
      <c r="K154">
        <v>3</v>
      </c>
      <c r="L154" s="12">
        <v>720</v>
      </c>
      <c r="M154" s="12">
        <v>510</v>
      </c>
      <c r="N154" s="14">
        <v>0.15</v>
      </c>
      <c r="O154" t="s">
        <v>226</v>
      </c>
      <c r="P154" t="s">
        <v>34</v>
      </c>
    </row>
    <row r="155" spans="1:16">
      <c r="A155" t="s">
        <v>530</v>
      </c>
      <c r="B155" s="13">
        <v>45954</v>
      </c>
      <c r="C155" t="s">
        <v>280</v>
      </c>
      <c r="D155" t="s">
        <v>531</v>
      </c>
      <c r="E155" t="s">
        <v>176</v>
      </c>
      <c r="F155" t="s">
        <v>177</v>
      </c>
      <c r="G155" t="s">
        <v>20</v>
      </c>
      <c r="H155" t="s">
        <v>16</v>
      </c>
      <c r="I155" t="s">
        <v>193</v>
      </c>
      <c r="J155" t="s">
        <v>194</v>
      </c>
      <c r="K155">
        <v>8</v>
      </c>
      <c r="L155" s="12">
        <v>195</v>
      </c>
      <c r="M155" s="12">
        <v>105</v>
      </c>
      <c r="N155" s="14">
        <v>0.2</v>
      </c>
      <c r="O155" t="s">
        <v>179</v>
      </c>
      <c r="P155" t="s">
        <v>187</v>
      </c>
    </row>
    <row r="156" spans="1:16">
      <c r="A156" t="s">
        <v>532</v>
      </c>
      <c r="B156" s="13">
        <v>45692</v>
      </c>
      <c r="C156" t="s">
        <v>394</v>
      </c>
      <c r="D156" t="s">
        <v>533</v>
      </c>
      <c r="E156" t="s">
        <v>284</v>
      </c>
      <c r="F156" t="s">
        <v>285</v>
      </c>
      <c r="G156" t="s">
        <v>21</v>
      </c>
      <c r="H156" t="s">
        <v>16</v>
      </c>
      <c r="I156" t="s">
        <v>203</v>
      </c>
      <c r="J156" t="s">
        <v>194</v>
      </c>
      <c r="K156">
        <v>8</v>
      </c>
      <c r="L156" s="12">
        <v>1450</v>
      </c>
      <c r="M156" s="12">
        <v>1030</v>
      </c>
      <c r="N156" s="14">
        <v>0.1</v>
      </c>
      <c r="O156" t="s">
        <v>172</v>
      </c>
      <c r="P156" t="s">
        <v>213</v>
      </c>
    </row>
    <row r="157" spans="1:16">
      <c r="A157" t="s">
        <v>534</v>
      </c>
      <c r="B157" s="13">
        <v>45894</v>
      </c>
      <c r="C157" t="s">
        <v>454</v>
      </c>
      <c r="D157" t="s">
        <v>535</v>
      </c>
      <c r="E157" t="s">
        <v>191</v>
      </c>
      <c r="F157" t="s">
        <v>192</v>
      </c>
      <c r="G157" t="s">
        <v>20</v>
      </c>
      <c r="H157" t="s">
        <v>12</v>
      </c>
      <c r="I157" t="s">
        <v>170</v>
      </c>
      <c r="J157" t="s">
        <v>178</v>
      </c>
      <c r="K157">
        <v>8</v>
      </c>
      <c r="L157" s="12">
        <v>720</v>
      </c>
      <c r="M157" s="12">
        <v>510</v>
      </c>
      <c r="N157" s="14">
        <v>0</v>
      </c>
      <c r="O157" t="s">
        <v>226</v>
      </c>
      <c r="P157" t="s">
        <v>34</v>
      </c>
    </row>
    <row r="158" spans="1:16">
      <c r="A158" t="s">
        <v>536</v>
      </c>
      <c r="B158" s="13">
        <v>45955</v>
      </c>
      <c r="C158" t="s">
        <v>537</v>
      </c>
      <c r="D158" t="s">
        <v>538</v>
      </c>
      <c r="E158" t="s">
        <v>284</v>
      </c>
      <c r="F158" t="s">
        <v>285</v>
      </c>
      <c r="G158" t="s">
        <v>21</v>
      </c>
      <c r="H158" t="s">
        <v>13</v>
      </c>
      <c r="I158" t="s">
        <v>193</v>
      </c>
      <c r="J158" t="s">
        <v>171</v>
      </c>
      <c r="K158">
        <v>9</v>
      </c>
      <c r="L158" s="12">
        <v>1450</v>
      </c>
      <c r="M158" s="12">
        <v>1030</v>
      </c>
      <c r="N158" s="14">
        <v>0.2</v>
      </c>
      <c r="O158" t="s">
        <v>226</v>
      </c>
      <c r="P158" t="s">
        <v>34</v>
      </c>
    </row>
    <row r="159" spans="1:16">
      <c r="A159" t="s">
        <v>539</v>
      </c>
      <c r="B159" s="13">
        <v>45735</v>
      </c>
      <c r="C159" t="s">
        <v>262</v>
      </c>
      <c r="D159" t="s">
        <v>540</v>
      </c>
      <c r="E159" t="s">
        <v>183</v>
      </c>
      <c r="F159" t="s">
        <v>184</v>
      </c>
      <c r="G159" t="s">
        <v>20</v>
      </c>
      <c r="H159" t="s">
        <v>12</v>
      </c>
      <c r="I159" t="s">
        <v>170</v>
      </c>
      <c r="J159" t="s">
        <v>204</v>
      </c>
      <c r="K159">
        <v>1</v>
      </c>
      <c r="L159" s="12">
        <v>230</v>
      </c>
      <c r="M159" s="12">
        <v>132</v>
      </c>
      <c r="N159" s="14">
        <v>0.1</v>
      </c>
      <c r="O159" t="s">
        <v>172</v>
      </c>
      <c r="P159" t="s">
        <v>34</v>
      </c>
    </row>
    <row r="160" spans="1:16">
      <c r="A160" t="s">
        <v>541</v>
      </c>
      <c r="B160" s="13">
        <v>46020</v>
      </c>
      <c r="C160" t="s">
        <v>542</v>
      </c>
      <c r="D160" t="s">
        <v>456</v>
      </c>
      <c r="E160" t="s">
        <v>220</v>
      </c>
      <c r="F160" t="s">
        <v>221</v>
      </c>
      <c r="G160" t="s">
        <v>19</v>
      </c>
      <c r="H160" t="s">
        <v>13</v>
      </c>
      <c r="I160" t="s">
        <v>193</v>
      </c>
      <c r="J160" t="s">
        <v>194</v>
      </c>
      <c r="K160">
        <v>8</v>
      </c>
      <c r="L160" s="12">
        <v>175</v>
      </c>
      <c r="M160" s="12">
        <v>98</v>
      </c>
      <c r="N160" s="14">
        <v>0.1</v>
      </c>
      <c r="O160" t="s">
        <v>186</v>
      </c>
      <c r="P160" t="s">
        <v>187</v>
      </c>
    </row>
    <row r="161" spans="1:16">
      <c r="A161" t="s">
        <v>543</v>
      </c>
      <c r="B161" s="13">
        <v>45867</v>
      </c>
      <c r="C161" t="s">
        <v>544</v>
      </c>
      <c r="D161" t="s">
        <v>335</v>
      </c>
      <c r="E161" t="s">
        <v>208</v>
      </c>
      <c r="F161" t="s">
        <v>209</v>
      </c>
      <c r="G161" t="s">
        <v>21</v>
      </c>
      <c r="H161" t="s">
        <v>14</v>
      </c>
      <c r="I161" t="s">
        <v>203</v>
      </c>
      <c r="J161" t="s">
        <v>194</v>
      </c>
      <c r="K161">
        <v>6</v>
      </c>
      <c r="L161" s="12">
        <v>840</v>
      </c>
      <c r="M161" s="12">
        <v>590</v>
      </c>
      <c r="N161" s="14">
        <v>0.2</v>
      </c>
      <c r="O161" t="s">
        <v>172</v>
      </c>
      <c r="P161" t="s">
        <v>187</v>
      </c>
    </row>
    <row r="162" spans="1:16">
      <c r="A162" t="s">
        <v>545</v>
      </c>
      <c r="B162" s="13">
        <v>46005</v>
      </c>
      <c r="C162" t="s">
        <v>228</v>
      </c>
      <c r="D162" t="s">
        <v>546</v>
      </c>
      <c r="E162" t="s">
        <v>183</v>
      </c>
      <c r="F162" t="s">
        <v>184</v>
      </c>
      <c r="G162" t="s">
        <v>20</v>
      </c>
      <c r="H162" t="s">
        <v>16</v>
      </c>
      <c r="I162" t="s">
        <v>203</v>
      </c>
      <c r="J162" t="s">
        <v>194</v>
      </c>
      <c r="K162">
        <v>7</v>
      </c>
      <c r="L162" s="12">
        <v>230</v>
      </c>
      <c r="M162" s="12">
        <v>132</v>
      </c>
      <c r="N162" s="14">
        <v>0.05</v>
      </c>
      <c r="O162" t="s">
        <v>172</v>
      </c>
      <c r="P162" t="s">
        <v>34</v>
      </c>
    </row>
    <row r="163" spans="1:16">
      <c r="A163" t="s">
        <v>547</v>
      </c>
      <c r="B163" s="13">
        <v>45997</v>
      </c>
      <c r="C163" t="s">
        <v>399</v>
      </c>
      <c r="D163" t="s">
        <v>529</v>
      </c>
      <c r="E163" t="s">
        <v>176</v>
      </c>
      <c r="F163" t="s">
        <v>177</v>
      </c>
      <c r="G163" t="s">
        <v>20</v>
      </c>
      <c r="H163" t="s">
        <v>15</v>
      </c>
      <c r="I163" t="s">
        <v>203</v>
      </c>
      <c r="J163" t="s">
        <v>171</v>
      </c>
      <c r="K163">
        <v>3</v>
      </c>
      <c r="L163" s="12">
        <v>195</v>
      </c>
      <c r="M163" s="12">
        <v>105</v>
      </c>
      <c r="N163" s="14">
        <v>0.05</v>
      </c>
      <c r="O163" t="s">
        <v>172</v>
      </c>
      <c r="P163" t="s">
        <v>34</v>
      </c>
    </row>
    <row r="164" spans="1:16">
      <c r="A164" t="s">
        <v>548</v>
      </c>
      <c r="B164" s="13">
        <v>45944</v>
      </c>
      <c r="C164" t="s">
        <v>240</v>
      </c>
      <c r="D164" t="s">
        <v>549</v>
      </c>
      <c r="E164" t="s">
        <v>191</v>
      </c>
      <c r="F164" t="s">
        <v>192</v>
      </c>
      <c r="G164" t="s">
        <v>20</v>
      </c>
      <c r="H164" t="s">
        <v>16</v>
      </c>
      <c r="I164" t="s">
        <v>203</v>
      </c>
      <c r="J164" t="s">
        <v>185</v>
      </c>
      <c r="K164">
        <v>7</v>
      </c>
      <c r="L164" s="12">
        <v>720</v>
      </c>
      <c r="M164" s="12">
        <v>510</v>
      </c>
      <c r="N164" s="14">
        <v>0.2</v>
      </c>
      <c r="O164" t="s">
        <v>186</v>
      </c>
      <c r="P164" t="s">
        <v>34</v>
      </c>
    </row>
    <row r="165" spans="1:16">
      <c r="A165" t="s">
        <v>550</v>
      </c>
      <c r="B165" s="13">
        <v>45843</v>
      </c>
      <c r="C165" t="s">
        <v>292</v>
      </c>
      <c r="D165" t="s">
        <v>551</v>
      </c>
      <c r="E165" t="s">
        <v>198</v>
      </c>
      <c r="F165" t="s">
        <v>199</v>
      </c>
      <c r="G165" t="s">
        <v>19</v>
      </c>
      <c r="H165" t="s">
        <v>13</v>
      </c>
      <c r="I165" t="s">
        <v>203</v>
      </c>
      <c r="J165" t="s">
        <v>204</v>
      </c>
      <c r="K165">
        <v>5</v>
      </c>
      <c r="L165" s="12">
        <v>95</v>
      </c>
      <c r="M165" s="12">
        <v>52</v>
      </c>
      <c r="N165" s="14">
        <v>0</v>
      </c>
      <c r="O165" t="s">
        <v>179</v>
      </c>
      <c r="P165" t="s">
        <v>34</v>
      </c>
    </row>
    <row r="166" spans="1:16">
      <c r="A166" t="s">
        <v>552</v>
      </c>
      <c r="B166" s="13">
        <v>45809</v>
      </c>
      <c r="C166" t="s">
        <v>343</v>
      </c>
      <c r="D166" t="s">
        <v>553</v>
      </c>
      <c r="E166" t="s">
        <v>168</v>
      </c>
      <c r="F166" t="s">
        <v>169</v>
      </c>
      <c r="G166" t="s">
        <v>19</v>
      </c>
      <c r="H166" t="s">
        <v>12</v>
      </c>
      <c r="I166" t="s">
        <v>170</v>
      </c>
      <c r="J166" t="s">
        <v>194</v>
      </c>
      <c r="K166">
        <v>2</v>
      </c>
      <c r="L166" s="12">
        <v>85</v>
      </c>
      <c r="M166" s="12">
        <v>44</v>
      </c>
      <c r="N166" s="14">
        <v>0.15</v>
      </c>
      <c r="O166" t="s">
        <v>179</v>
      </c>
      <c r="P166" t="s">
        <v>187</v>
      </c>
    </row>
    <row r="167" spans="1:16">
      <c r="A167" t="s">
        <v>554</v>
      </c>
      <c r="B167" s="13">
        <v>45850</v>
      </c>
      <c r="C167" t="s">
        <v>343</v>
      </c>
      <c r="D167" t="s">
        <v>555</v>
      </c>
      <c r="E167" t="s">
        <v>176</v>
      </c>
      <c r="F167" t="s">
        <v>177</v>
      </c>
      <c r="G167" t="s">
        <v>20</v>
      </c>
      <c r="H167" t="s">
        <v>16</v>
      </c>
      <c r="I167" t="s">
        <v>203</v>
      </c>
      <c r="J167" t="s">
        <v>185</v>
      </c>
      <c r="K167">
        <v>3</v>
      </c>
      <c r="L167" s="12">
        <v>195</v>
      </c>
      <c r="M167" s="12">
        <v>105</v>
      </c>
      <c r="N167" s="14">
        <v>0</v>
      </c>
      <c r="O167" t="s">
        <v>172</v>
      </c>
      <c r="P167" t="s">
        <v>34</v>
      </c>
    </row>
    <row r="168" spans="1:16">
      <c r="A168" t="s">
        <v>556</v>
      </c>
      <c r="B168" s="13">
        <v>45844</v>
      </c>
      <c r="C168" t="s">
        <v>557</v>
      </c>
      <c r="D168" t="s">
        <v>558</v>
      </c>
      <c r="E168" t="s">
        <v>208</v>
      </c>
      <c r="F168" t="s">
        <v>209</v>
      </c>
      <c r="G168" t="s">
        <v>21</v>
      </c>
      <c r="H168" t="s">
        <v>16</v>
      </c>
      <c r="I168" t="s">
        <v>193</v>
      </c>
      <c r="J168" t="s">
        <v>185</v>
      </c>
      <c r="K168">
        <v>11</v>
      </c>
      <c r="L168" s="12">
        <v>840</v>
      </c>
      <c r="M168" s="12">
        <v>590</v>
      </c>
      <c r="N168" s="14">
        <v>0.2</v>
      </c>
      <c r="O168" t="s">
        <v>179</v>
      </c>
      <c r="P168" t="s">
        <v>34</v>
      </c>
    </row>
    <row r="169" spans="1:16">
      <c r="A169" t="s">
        <v>121</v>
      </c>
      <c r="B169" s="13">
        <v>45780</v>
      </c>
      <c r="C169" t="s">
        <v>454</v>
      </c>
      <c r="D169" t="s">
        <v>559</v>
      </c>
      <c r="E169" t="s">
        <v>183</v>
      </c>
      <c r="F169" t="s">
        <v>184</v>
      </c>
      <c r="G169" t="s">
        <v>20</v>
      </c>
      <c r="H169" t="s">
        <v>16</v>
      </c>
      <c r="I169" t="s">
        <v>193</v>
      </c>
      <c r="J169" t="s">
        <v>185</v>
      </c>
      <c r="K169">
        <v>5</v>
      </c>
      <c r="L169" s="12">
        <v>230</v>
      </c>
      <c r="M169" s="12">
        <v>132</v>
      </c>
      <c r="N169" s="14">
        <v>0.1</v>
      </c>
      <c r="O169" t="s">
        <v>186</v>
      </c>
      <c r="P169" t="s">
        <v>123</v>
      </c>
    </row>
    <row r="170" spans="1:16">
      <c r="A170" t="s">
        <v>560</v>
      </c>
      <c r="B170" s="13">
        <v>45915</v>
      </c>
      <c r="C170" t="s">
        <v>240</v>
      </c>
      <c r="D170" t="s">
        <v>561</v>
      </c>
      <c r="E170" t="s">
        <v>208</v>
      </c>
      <c r="F170" t="s">
        <v>209</v>
      </c>
      <c r="G170" t="s">
        <v>21</v>
      </c>
      <c r="H170" t="s">
        <v>16</v>
      </c>
      <c r="I170" t="s">
        <v>203</v>
      </c>
      <c r="J170" t="s">
        <v>194</v>
      </c>
      <c r="K170">
        <v>9</v>
      </c>
      <c r="L170" s="12">
        <v>840</v>
      </c>
      <c r="M170" s="12">
        <v>590</v>
      </c>
      <c r="N170" s="14">
        <v>0.1</v>
      </c>
      <c r="O170" t="s">
        <v>172</v>
      </c>
      <c r="P170" t="s">
        <v>34</v>
      </c>
    </row>
    <row r="171" spans="1:16">
      <c r="A171" t="s">
        <v>562</v>
      </c>
      <c r="B171" s="13">
        <v>45848</v>
      </c>
      <c r="C171" t="s">
        <v>491</v>
      </c>
      <c r="D171" t="s">
        <v>246</v>
      </c>
      <c r="E171" t="s">
        <v>284</v>
      </c>
      <c r="F171" t="s">
        <v>285</v>
      </c>
      <c r="G171" t="s">
        <v>21</v>
      </c>
      <c r="H171" t="s">
        <v>12</v>
      </c>
      <c r="I171" t="s">
        <v>193</v>
      </c>
      <c r="J171" t="s">
        <v>178</v>
      </c>
      <c r="K171">
        <v>9</v>
      </c>
      <c r="L171" s="12">
        <v>1450</v>
      </c>
      <c r="M171" s="12">
        <v>1030</v>
      </c>
      <c r="N171" s="14">
        <v>0</v>
      </c>
      <c r="O171" t="s">
        <v>179</v>
      </c>
      <c r="P171" t="s">
        <v>213</v>
      </c>
    </row>
    <row r="172" spans="1:16">
      <c r="A172" t="s">
        <v>563</v>
      </c>
      <c r="B172" s="13">
        <v>45888</v>
      </c>
      <c r="C172" t="s">
        <v>189</v>
      </c>
      <c r="D172" t="s">
        <v>523</v>
      </c>
      <c r="E172" t="s">
        <v>191</v>
      </c>
      <c r="F172" t="s">
        <v>192</v>
      </c>
      <c r="G172" t="s">
        <v>20</v>
      </c>
      <c r="H172" t="s">
        <v>15</v>
      </c>
      <c r="I172" t="s">
        <v>193</v>
      </c>
      <c r="J172" t="s">
        <v>178</v>
      </c>
      <c r="K172">
        <v>9</v>
      </c>
      <c r="L172" s="12">
        <v>720</v>
      </c>
      <c r="M172" s="12">
        <v>510</v>
      </c>
      <c r="N172" s="14">
        <v>0</v>
      </c>
      <c r="O172" t="s">
        <v>226</v>
      </c>
      <c r="P172" t="s">
        <v>34</v>
      </c>
    </row>
    <row r="173" spans="1:16">
      <c r="A173" t="s">
        <v>564</v>
      </c>
      <c r="B173" s="13">
        <v>45860</v>
      </c>
      <c r="C173" t="s">
        <v>478</v>
      </c>
      <c r="D173" t="s">
        <v>510</v>
      </c>
      <c r="E173" t="s">
        <v>198</v>
      </c>
      <c r="F173" t="s">
        <v>199</v>
      </c>
      <c r="G173" t="s">
        <v>19</v>
      </c>
      <c r="H173" t="s">
        <v>14</v>
      </c>
      <c r="I173" t="s">
        <v>203</v>
      </c>
      <c r="J173" t="s">
        <v>178</v>
      </c>
      <c r="K173">
        <v>9</v>
      </c>
      <c r="L173" s="12">
        <v>95</v>
      </c>
      <c r="M173" s="12">
        <v>52</v>
      </c>
      <c r="N173" s="14">
        <v>0.05</v>
      </c>
      <c r="O173" t="s">
        <v>186</v>
      </c>
      <c r="P173" t="s">
        <v>34</v>
      </c>
    </row>
    <row r="174" spans="1:16">
      <c r="A174" t="s">
        <v>565</v>
      </c>
      <c r="B174" s="13">
        <v>45990</v>
      </c>
      <c r="C174" t="s">
        <v>448</v>
      </c>
      <c r="D174" t="s">
        <v>535</v>
      </c>
      <c r="E174" t="s">
        <v>168</v>
      </c>
      <c r="F174" t="s">
        <v>169</v>
      </c>
      <c r="G174" t="s">
        <v>19</v>
      </c>
      <c r="H174" t="s">
        <v>15</v>
      </c>
      <c r="I174" t="s">
        <v>170</v>
      </c>
      <c r="J174" t="s">
        <v>204</v>
      </c>
      <c r="K174">
        <v>6</v>
      </c>
      <c r="L174" s="12">
        <v>85</v>
      </c>
      <c r="M174" s="12">
        <v>44</v>
      </c>
      <c r="N174" s="14">
        <v>0</v>
      </c>
      <c r="O174" t="s">
        <v>226</v>
      </c>
      <c r="P174" t="s">
        <v>34</v>
      </c>
    </row>
    <row r="175" spans="1:16">
      <c r="A175" t="s">
        <v>566</v>
      </c>
      <c r="B175" s="13">
        <v>45973</v>
      </c>
      <c r="C175" t="s">
        <v>458</v>
      </c>
      <c r="D175" t="s">
        <v>567</v>
      </c>
      <c r="E175" t="s">
        <v>284</v>
      </c>
      <c r="F175" t="s">
        <v>285</v>
      </c>
      <c r="G175" t="s">
        <v>21</v>
      </c>
      <c r="H175" t="s">
        <v>13</v>
      </c>
      <c r="I175" t="s">
        <v>170</v>
      </c>
      <c r="J175" t="s">
        <v>171</v>
      </c>
      <c r="K175">
        <v>1</v>
      </c>
      <c r="L175" s="12">
        <v>1450</v>
      </c>
      <c r="M175" s="12">
        <v>1030</v>
      </c>
      <c r="N175" s="14">
        <v>0</v>
      </c>
      <c r="O175" t="s">
        <v>226</v>
      </c>
      <c r="P175" t="s">
        <v>34</v>
      </c>
    </row>
    <row r="176" spans="1:16">
      <c r="A176" t="s">
        <v>568</v>
      </c>
      <c r="B176" s="13">
        <v>45805</v>
      </c>
      <c r="C176" t="s">
        <v>544</v>
      </c>
      <c r="D176" t="s">
        <v>429</v>
      </c>
      <c r="E176" t="s">
        <v>168</v>
      </c>
      <c r="F176" t="s">
        <v>169</v>
      </c>
      <c r="G176" t="s">
        <v>19</v>
      </c>
      <c r="H176" t="s">
        <v>15</v>
      </c>
      <c r="I176" t="s">
        <v>170</v>
      </c>
      <c r="J176" t="s">
        <v>171</v>
      </c>
      <c r="K176">
        <v>4</v>
      </c>
      <c r="L176" s="12">
        <v>85</v>
      </c>
      <c r="M176" s="12">
        <v>44</v>
      </c>
      <c r="N176" s="14">
        <v>0.05</v>
      </c>
      <c r="O176" t="s">
        <v>226</v>
      </c>
      <c r="P176" t="s">
        <v>34</v>
      </c>
    </row>
    <row r="177" spans="1:16">
      <c r="A177" t="s">
        <v>569</v>
      </c>
      <c r="B177" s="13">
        <v>45714</v>
      </c>
      <c r="C177" t="s">
        <v>362</v>
      </c>
      <c r="D177" t="s">
        <v>335</v>
      </c>
      <c r="E177" t="s">
        <v>168</v>
      </c>
      <c r="F177" t="s">
        <v>169</v>
      </c>
      <c r="G177" t="s">
        <v>19</v>
      </c>
      <c r="H177" t="s">
        <v>16</v>
      </c>
      <c r="I177" t="s">
        <v>170</v>
      </c>
      <c r="J177" t="s">
        <v>204</v>
      </c>
      <c r="K177">
        <v>8</v>
      </c>
      <c r="L177" s="12">
        <v>85</v>
      </c>
      <c r="M177" s="12">
        <v>44</v>
      </c>
      <c r="N177" s="14">
        <v>0.15</v>
      </c>
      <c r="O177" t="s">
        <v>179</v>
      </c>
      <c r="P177" t="s">
        <v>187</v>
      </c>
    </row>
    <row r="178" spans="1:16">
      <c r="A178" t="s">
        <v>570</v>
      </c>
      <c r="B178" s="13">
        <v>45877</v>
      </c>
      <c r="C178" t="s">
        <v>384</v>
      </c>
      <c r="D178" t="s">
        <v>538</v>
      </c>
      <c r="E178" t="s">
        <v>191</v>
      </c>
      <c r="F178" t="s">
        <v>192</v>
      </c>
      <c r="G178" t="s">
        <v>20</v>
      </c>
      <c r="H178" t="s">
        <v>15</v>
      </c>
      <c r="I178" t="s">
        <v>203</v>
      </c>
      <c r="J178" t="s">
        <v>178</v>
      </c>
      <c r="K178">
        <v>1</v>
      </c>
      <c r="L178" s="12">
        <v>720</v>
      </c>
      <c r="M178" s="12">
        <v>510</v>
      </c>
      <c r="N178" s="14">
        <v>0.15</v>
      </c>
      <c r="O178" t="s">
        <v>186</v>
      </c>
      <c r="P178" t="s">
        <v>34</v>
      </c>
    </row>
    <row r="179" spans="1:16">
      <c r="A179" t="s">
        <v>571</v>
      </c>
      <c r="B179" s="13">
        <v>45927</v>
      </c>
      <c r="C179" t="s">
        <v>433</v>
      </c>
      <c r="D179" t="s">
        <v>418</v>
      </c>
      <c r="E179" t="s">
        <v>168</v>
      </c>
      <c r="F179" t="s">
        <v>169</v>
      </c>
      <c r="G179" t="s">
        <v>19</v>
      </c>
      <c r="H179" t="s">
        <v>15</v>
      </c>
      <c r="I179" t="s">
        <v>193</v>
      </c>
      <c r="J179" t="s">
        <v>178</v>
      </c>
      <c r="K179">
        <v>9</v>
      </c>
      <c r="L179" s="12">
        <v>85</v>
      </c>
      <c r="M179" s="12">
        <v>44</v>
      </c>
      <c r="N179" s="14">
        <v>0.15</v>
      </c>
      <c r="O179" t="s">
        <v>226</v>
      </c>
      <c r="P179" t="s">
        <v>187</v>
      </c>
    </row>
    <row r="180" spans="1:16">
      <c r="A180" t="s">
        <v>572</v>
      </c>
      <c r="B180" s="13">
        <v>45787</v>
      </c>
      <c r="C180" t="s">
        <v>573</v>
      </c>
      <c r="D180" t="s">
        <v>241</v>
      </c>
      <c r="E180" t="s">
        <v>217</v>
      </c>
      <c r="F180" t="s">
        <v>218</v>
      </c>
      <c r="G180" t="s">
        <v>20</v>
      </c>
      <c r="H180" t="s">
        <v>14</v>
      </c>
      <c r="I180" t="s">
        <v>203</v>
      </c>
      <c r="J180" t="s">
        <v>178</v>
      </c>
      <c r="K180">
        <v>12</v>
      </c>
      <c r="L180" s="12">
        <v>1090</v>
      </c>
      <c r="M180" s="12">
        <v>790</v>
      </c>
      <c r="N180" s="14">
        <v>0</v>
      </c>
      <c r="O180" t="s">
        <v>186</v>
      </c>
      <c r="P180" t="s">
        <v>34</v>
      </c>
    </row>
    <row r="181" spans="1:16">
      <c r="A181" t="s">
        <v>574</v>
      </c>
      <c r="B181" s="13">
        <v>45680</v>
      </c>
      <c r="C181" t="s">
        <v>240</v>
      </c>
      <c r="D181" t="s">
        <v>575</v>
      </c>
      <c r="E181" t="s">
        <v>308</v>
      </c>
      <c r="F181" t="s">
        <v>309</v>
      </c>
      <c r="G181" t="s">
        <v>19</v>
      </c>
      <c r="H181" t="s">
        <v>13</v>
      </c>
      <c r="I181" t="s">
        <v>170</v>
      </c>
      <c r="J181" t="s">
        <v>185</v>
      </c>
      <c r="K181">
        <v>6</v>
      </c>
      <c r="L181" s="12">
        <v>265</v>
      </c>
      <c r="M181" s="12">
        <v>155</v>
      </c>
      <c r="N181" s="14">
        <v>0.15</v>
      </c>
      <c r="O181" t="s">
        <v>226</v>
      </c>
      <c r="P181" t="s">
        <v>34</v>
      </c>
    </row>
    <row r="182" spans="1:16">
      <c r="A182" t="s">
        <v>576</v>
      </c>
      <c r="B182" s="13">
        <v>45727</v>
      </c>
      <c r="C182" t="s">
        <v>448</v>
      </c>
      <c r="D182" t="s">
        <v>577</v>
      </c>
      <c r="E182" t="s">
        <v>308</v>
      </c>
      <c r="F182" t="s">
        <v>309</v>
      </c>
      <c r="G182" t="s">
        <v>19</v>
      </c>
      <c r="H182" t="s">
        <v>13</v>
      </c>
      <c r="I182" t="s">
        <v>203</v>
      </c>
      <c r="J182" t="s">
        <v>204</v>
      </c>
      <c r="K182">
        <v>2</v>
      </c>
      <c r="L182" s="12">
        <v>265</v>
      </c>
      <c r="M182" s="12">
        <v>155</v>
      </c>
      <c r="N182" s="14">
        <v>0.2</v>
      </c>
      <c r="O182" t="s">
        <v>172</v>
      </c>
      <c r="P182" t="s">
        <v>34</v>
      </c>
    </row>
    <row r="183" spans="1:16">
      <c r="A183" t="s">
        <v>578</v>
      </c>
      <c r="B183" s="13">
        <v>45816</v>
      </c>
      <c r="C183" t="s">
        <v>254</v>
      </c>
      <c r="D183" t="s">
        <v>579</v>
      </c>
      <c r="E183" t="s">
        <v>217</v>
      </c>
      <c r="F183" t="s">
        <v>218</v>
      </c>
      <c r="G183" t="s">
        <v>20</v>
      </c>
      <c r="H183" t="s">
        <v>12</v>
      </c>
      <c r="I183" t="s">
        <v>170</v>
      </c>
      <c r="J183" t="s">
        <v>204</v>
      </c>
      <c r="K183">
        <v>9</v>
      </c>
      <c r="L183" s="12">
        <v>1090</v>
      </c>
      <c r="M183" s="12">
        <v>790</v>
      </c>
      <c r="N183" s="14">
        <v>0.1</v>
      </c>
      <c r="O183" t="s">
        <v>186</v>
      </c>
      <c r="P183" t="s">
        <v>187</v>
      </c>
    </row>
    <row r="184" spans="1:16">
      <c r="A184" t="s">
        <v>580</v>
      </c>
      <c r="B184" s="13">
        <v>45682</v>
      </c>
      <c r="C184" t="s">
        <v>274</v>
      </c>
      <c r="D184" t="s">
        <v>207</v>
      </c>
      <c r="E184" t="s">
        <v>217</v>
      </c>
      <c r="F184" t="s">
        <v>218</v>
      </c>
      <c r="G184" t="s">
        <v>20</v>
      </c>
      <c r="H184" t="s">
        <v>15</v>
      </c>
      <c r="I184" t="s">
        <v>193</v>
      </c>
      <c r="J184" t="s">
        <v>185</v>
      </c>
      <c r="K184">
        <v>11</v>
      </c>
      <c r="L184" s="12">
        <v>1090</v>
      </c>
      <c r="M184" s="12">
        <v>790</v>
      </c>
      <c r="N184" s="14">
        <v>0.05</v>
      </c>
      <c r="O184" t="s">
        <v>226</v>
      </c>
      <c r="P184" t="s">
        <v>34</v>
      </c>
    </row>
    <row r="185" spans="1:16">
      <c r="A185" t="s">
        <v>581</v>
      </c>
      <c r="B185" s="13">
        <v>45753</v>
      </c>
      <c r="C185" t="s">
        <v>454</v>
      </c>
      <c r="D185" t="s">
        <v>246</v>
      </c>
      <c r="E185" t="s">
        <v>217</v>
      </c>
      <c r="F185" t="s">
        <v>218</v>
      </c>
      <c r="G185" t="s">
        <v>20</v>
      </c>
      <c r="H185" t="s">
        <v>14</v>
      </c>
      <c r="I185" t="s">
        <v>203</v>
      </c>
      <c r="J185" t="s">
        <v>185</v>
      </c>
      <c r="K185">
        <v>8</v>
      </c>
      <c r="L185" s="12">
        <v>1090</v>
      </c>
      <c r="M185" s="12">
        <v>790</v>
      </c>
      <c r="N185" s="14">
        <v>0.2</v>
      </c>
      <c r="O185" t="s">
        <v>172</v>
      </c>
      <c r="P185" t="s">
        <v>34</v>
      </c>
    </row>
    <row r="186" spans="1:16">
      <c r="A186" t="s">
        <v>582</v>
      </c>
      <c r="B186" s="13">
        <v>45966</v>
      </c>
      <c r="C186" t="s">
        <v>360</v>
      </c>
      <c r="D186" t="s">
        <v>371</v>
      </c>
      <c r="E186" t="s">
        <v>208</v>
      </c>
      <c r="F186" t="s">
        <v>209</v>
      </c>
      <c r="G186" t="s">
        <v>21</v>
      </c>
      <c r="H186" t="s">
        <v>12</v>
      </c>
      <c r="I186" t="s">
        <v>193</v>
      </c>
      <c r="J186" t="s">
        <v>194</v>
      </c>
      <c r="K186">
        <v>3</v>
      </c>
      <c r="L186" s="12">
        <v>840</v>
      </c>
      <c r="M186" s="12">
        <v>590</v>
      </c>
      <c r="N186" s="14">
        <v>0.15</v>
      </c>
      <c r="O186" t="s">
        <v>186</v>
      </c>
      <c r="P186" t="s">
        <v>34</v>
      </c>
    </row>
    <row r="187" spans="1:16">
      <c r="A187" t="s">
        <v>583</v>
      </c>
      <c r="B187" s="13">
        <v>45966</v>
      </c>
      <c r="C187" t="s">
        <v>584</v>
      </c>
      <c r="D187" t="s">
        <v>558</v>
      </c>
      <c r="E187" t="s">
        <v>284</v>
      </c>
      <c r="F187" t="s">
        <v>285</v>
      </c>
      <c r="G187" t="s">
        <v>21</v>
      </c>
      <c r="H187" t="s">
        <v>14</v>
      </c>
      <c r="I187" t="s">
        <v>193</v>
      </c>
      <c r="J187" t="s">
        <v>178</v>
      </c>
      <c r="K187">
        <v>12</v>
      </c>
      <c r="L187" s="12">
        <v>1450</v>
      </c>
      <c r="M187" s="12">
        <v>1030</v>
      </c>
      <c r="N187" s="14">
        <v>0.1</v>
      </c>
      <c r="O187" t="s">
        <v>186</v>
      </c>
      <c r="P187" t="s">
        <v>34</v>
      </c>
    </row>
    <row r="188" spans="1:16">
      <c r="A188" t="s">
        <v>585</v>
      </c>
      <c r="B188" s="13">
        <v>45880</v>
      </c>
      <c r="C188" t="s">
        <v>586</v>
      </c>
      <c r="D188" t="s">
        <v>323</v>
      </c>
      <c r="E188" t="s">
        <v>176</v>
      </c>
      <c r="F188" t="s">
        <v>177</v>
      </c>
      <c r="G188" t="s">
        <v>20</v>
      </c>
      <c r="H188" t="s">
        <v>15</v>
      </c>
      <c r="I188" t="s">
        <v>193</v>
      </c>
      <c r="J188" t="s">
        <v>171</v>
      </c>
      <c r="K188">
        <v>5</v>
      </c>
      <c r="L188" s="12">
        <v>195</v>
      </c>
      <c r="M188" s="12">
        <v>105</v>
      </c>
      <c r="N188" s="14">
        <v>0.2</v>
      </c>
      <c r="O188" t="s">
        <v>179</v>
      </c>
      <c r="P188" t="s">
        <v>34</v>
      </c>
    </row>
    <row r="189" spans="1:16">
      <c r="A189" t="s">
        <v>587</v>
      </c>
      <c r="B189" s="13">
        <v>45731</v>
      </c>
      <c r="C189" t="s">
        <v>448</v>
      </c>
      <c r="D189" t="s">
        <v>549</v>
      </c>
      <c r="E189" t="s">
        <v>198</v>
      </c>
      <c r="F189" t="s">
        <v>199</v>
      </c>
      <c r="G189" t="s">
        <v>19</v>
      </c>
      <c r="H189" t="s">
        <v>12</v>
      </c>
      <c r="I189" t="s">
        <v>203</v>
      </c>
      <c r="J189" t="s">
        <v>194</v>
      </c>
      <c r="K189">
        <v>10</v>
      </c>
      <c r="L189" s="12">
        <v>95</v>
      </c>
      <c r="M189" s="12">
        <v>52</v>
      </c>
      <c r="N189" s="14">
        <v>0.2</v>
      </c>
      <c r="O189" t="s">
        <v>186</v>
      </c>
      <c r="P189" t="s">
        <v>34</v>
      </c>
    </row>
    <row r="190" spans="1:16">
      <c r="A190" t="s">
        <v>588</v>
      </c>
      <c r="B190" s="13">
        <v>45948</v>
      </c>
      <c r="C190" t="s">
        <v>509</v>
      </c>
      <c r="D190" t="s">
        <v>589</v>
      </c>
      <c r="E190" t="s">
        <v>208</v>
      </c>
      <c r="F190" t="s">
        <v>209</v>
      </c>
      <c r="G190" t="s">
        <v>21</v>
      </c>
      <c r="H190" t="s">
        <v>14</v>
      </c>
      <c r="I190" t="s">
        <v>193</v>
      </c>
      <c r="J190" t="s">
        <v>185</v>
      </c>
      <c r="K190">
        <v>1</v>
      </c>
      <c r="L190" s="12">
        <v>840</v>
      </c>
      <c r="M190" s="12">
        <v>590</v>
      </c>
      <c r="N190" s="14">
        <v>0.15</v>
      </c>
      <c r="O190" t="s">
        <v>172</v>
      </c>
      <c r="P190" t="s">
        <v>34</v>
      </c>
    </row>
    <row r="191" spans="1:16">
      <c r="A191" t="s">
        <v>590</v>
      </c>
      <c r="B191" s="13">
        <v>45728</v>
      </c>
      <c r="C191" t="s">
        <v>591</v>
      </c>
      <c r="D191" t="s">
        <v>446</v>
      </c>
      <c r="E191" t="s">
        <v>176</v>
      </c>
      <c r="F191" t="s">
        <v>177</v>
      </c>
      <c r="G191" t="s">
        <v>20</v>
      </c>
      <c r="H191" t="s">
        <v>14</v>
      </c>
      <c r="I191" t="s">
        <v>203</v>
      </c>
      <c r="J191" t="s">
        <v>178</v>
      </c>
      <c r="K191">
        <v>9</v>
      </c>
      <c r="L191" s="12">
        <v>195</v>
      </c>
      <c r="M191" s="12">
        <v>105</v>
      </c>
      <c r="N191" s="14">
        <v>0.05</v>
      </c>
      <c r="O191" t="s">
        <v>172</v>
      </c>
      <c r="P191" t="s">
        <v>34</v>
      </c>
    </row>
    <row r="192" spans="1:16">
      <c r="A192" t="s">
        <v>592</v>
      </c>
      <c r="B192" s="13">
        <v>45913</v>
      </c>
      <c r="C192" t="s">
        <v>274</v>
      </c>
      <c r="D192" t="s">
        <v>232</v>
      </c>
      <c r="E192" t="s">
        <v>308</v>
      </c>
      <c r="F192" t="s">
        <v>309</v>
      </c>
      <c r="G192" t="s">
        <v>19</v>
      </c>
      <c r="H192" t="s">
        <v>14</v>
      </c>
      <c r="I192" t="s">
        <v>170</v>
      </c>
      <c r="J192" t="s">
        <v>185</v>
      </c>
      <c r="K192">
        <v>9</v>
      </c>
      <c r="L192" s="12">
        <v>265</v>
      </c>
      <c r="M192" s="12">
        <v>155</v>
      </c>
      <c r="N192" s="14">
        <v>0.1</v>
      </c>
      <c r="O192" t="s">
        <v>179</v>
      </c>
      <c r="P192" t="s">
        <v>187</v>
      </c>
    </row>
    <row r="193" spans="1:16">
      <c r="A193" t="s">
        <v>593</v>
      </c>
      <c r="B193" s="13">
        <v>45804</v>
      </c>
      <c r="C193" t="s">
        <v>274</v>
      </c>
      <c r="D193" t="s">
        <v>594</v>
      </c>
      <c r="E193" t="s">
        <v>176</v>
      </c>
      <c r="F193" t="s">
        <v>177</v>
      </c>
      <c r="G193" t="s">
        <v>20</v>
      </c>
      <c r="H193" t="s">
        <v>12</v>
      </c>
      <c r="I193" t="s">
        <v>193</v>
      </c>
      <c r="J193" t="s">
        <v>204</v>
      </c>
      <c r="K193">
        <v>12</v>
      </c>
      <c r="L193" s="12">
        <v>195</v>
      </c>
      <c r="M193" s="12">
        <v>105</v>
      </c>
      <c r="N193" s="14">
        <v>0.1</v>
      </c>
      <c r="O193" t="s">
        <v>226</v>
      </c>
      <c r="P193" t="s">
        <v>34</v>
      </c>
    </row>
    <row r="194" spans="1:16">
      <c r="A194" t="s">
        <v>595</v>
      </c>
      <c r="B194" s="13">
        <v>46007</v>
      </c>
      <c r="C194" t="s">
        <v>596</v>
      </c>
      <c r="D194" t="s">
        <v>493</v>
      </c>
      <c r="E194" t="s">
        <v>168</v>
      </c>
      <c r="F194" t="s">
        <v>169</v>
      </c>
      <c r="G194" t="s">
        <v>19</v>
      </c>
      <c r="H194" t="s">
        <v>16</v>
      </c>
      <c r="I194" t="s">
        <v>170</v>
      </c>
      <c r="J194" t="s">
        <v>194</v>
      </c>
      <c r="K194">
        <v>6</v>
      </c>
      <c r="L194" s="12">
        <v>85</v>
      </c>
      <c r="M194" s="12">
        <v>44</v>
      </c>
      <c r="N194" s="14">
        <v>0.2</v>
      </c>
      <c r="O194" t="s">
        <v>186</v>
      </c>
      <c r="P194" t="s">
        <v>34</v>
      </c>
    </row>
    <row r="195" spans="1:16">
      <c r="A195" t="s">
        <v>597</v>
      </c>
      <c r="B195" s="13">
        <v>46022</v>
      </c>
      <c r="C195" t="s">
        <v>516</v>
      </c>
      <c r="D195" t="s">
        <v>238</v>
      </c>
      <c r="E195" t="s">
        <v>308</v>
      </c>
      <c r="F195" t="s">
        <v>309</v>
      </c>
      <c r="G195" t="s">
        <v>19</v>
      </c>
      <c r="H195" t="s">
        <v>16</v>
      </c>
      <c r="I195" t="s">
        <v>203</v>
      </c>
      <c r="J195" t="s">
        <v>178</v>
      </c>
      <c r="K195">
        <v>12</v>
      </c>
      <c r="L195" s="12">
        <v>265</v>
      </c>
      <c r="M195" s="12">
        <v>155</v>
      </c>
      <c r="N195" s="14">
        <v>0.2</v>
      </c>
      <c r="O195" t="s">
        <v>179</v>
      </c>
      <c r="P195" t="s">
        <v>213</v>
      </c>
    </row>
    <row r="196" spans="1:16">
      <c r="A196" t="s">
        <v>598</v>
      </c>
      <c r="B196" s="13">
        <v>45779</v>
      </c>
      <c r="C196" t="s">
        <v>433</v>
      </c>
      <c r="D196" t="s">
        <v>538</v>
      </c>
      <c r="E196" t="s">
        <v>308</v>
      </c>
      <c r="F196" t="s">
        <v>309</v>
      </c>
      <c r="G196" t="s">
        <v>19</v>
      </c>
      <c r="H196" t="s">
        <v>14</v>
      </c>
      <c r="I196" t="s">
        <v>193</v>
      </c>
      <c r="J196" t="s">
        <v>171</v>
      </c>
      <c r="K196">
        <v>8</v>
      </c>
      <c r="L196" s="12">
        <v>265</v>
      </c>
      <c r="M196" s="12">
        <v>155</v>
      </c>
      <c r="N196" s="14">
        <v>0</v>
      </c>
      <c r="O196" t="s">
        <v>179</v>
      </c>
      <c r="P196" t="s">
        <v>34</v>
      </c>
    </row>
    <row r="197" spans="1:16">
      <c r="A197" t="s">
        <v>599</v>
      </c>
      <c r="B197" s="13">
        <v>45702</v>
      </c>
      <c r="C197" t="s">
        <v>600</v>
      </c>
      <c r="D197" t="s">
        <v>601</v>
      </c>
      <c r="E197" t="s">
        <v>176</v>
      </c>
      <c r="F197" t="s">
        <v>177</v>
      </c>
      <c r="G197" t="s">
        <v>20</v>
      </c>
      <c r="H197" t="s">
        <v>16</v>
      </c>
      <c r="I197" t="s">
        <v>193</v>
      </c>
      <c r="J197" t="s">
        <v>185</v>
      </c>
      <c r="K197">
        <v>2</v>
      </c>
      <c r="L197" s="12">
        <v>195</v>
      </c>
      <c r="M197" s="12">
        <v>105</v>
      </c>
      <c r="N197" s="14">
        <v>0.05</v>
      </c>
      <c r="O197" t="s">
        <v>172</v>
      </c>
      <c r="P197" t="s">
        <v>34</v>
      </c>
    </row>
    <row r="198" spans="1:16">
      <c r="A198" t="s">
        <v>602</v>
      </c>
      <c r="B198" s="13">
        <v>45820</v>
      </c>
      <c r="C198" t="s">
        <v>425</v>
      </c>
      <c r="D198" t="s">
        <v>603</v>
      </c>
      <c r="E198" t="s">
        <v>308</v>
      </c>
      <c r="F198" t="s">
        <v>309</v>
      </c>
      <c r="G198" t="s">
        <v>19</v>
      </c>
      <c r="H198" t="s">
        <v>16</v>
      </c>
      <c r="I198" t="s">
        <v>193</v>
      </c>
      <c r="J198" t="s">
        <v>204</v>
      </c>
      <c r="K198">
        <v>11</v>
      </c>
      <c r="L198" s="12">
        <v>265</v>
      </c>
      <c r="M198" s="12">
        <v>155</v>
      </c>
      <c r="N198" s="14">
        <v>0</v>
      </c>
      <c r="O198" t="s">
        <v>179</v>
      </c>
      <c r="P198" t="s">
        <v>34</v>
      </c>
    </row>
    <row r="199" spans="1:16">
      <c r="A199" t="s">
        <v>604</v>
      </c>
      <c r="B199" s="13">
        <v>45879</v>
      </c>
      <c r="C199" t="s">
        <v>542</v>
      </c>
      <c r="D199" t="s">
        <v>365</v>
      </c>
      <c r="E199" t="s">
        <v>308</v>
      </c>
      <c r="F199" t="s">
        <v>309</v>
      </c>
      <c r="G199" t="s">
        <v>19</v>
      </c>
      <c r="H199" t="s">
        <v>14</v>
      </c>
      <c r="I199" t="s">
        <v>203</v>
      </c>
      <c r="J199" t="s">
        <v>204</v>
      </c>
      <c r="K199">
        <v>9</v>
      </c>
      <c r="L199" s="12">
        <v>265</v>
      </c>
      <c r="M199" s="12">
        <v>155</v>
      </c>
      <c r="N199" s="14">
        <v>0</v>
      </c>
      <c r="O199" t="s">
        <v>186</v>
      </c>
      <c r="P199" t="s">
        <v>34</v>
      </c>
    </row>
    <row r="200" spans="1:16">
      <c r="A200" t="s">
        <v>605</v>
      </c>
      <c r="B200" s="13">
        <v>45835</v>
      </c>
      <c r="C200" t="s">
        <v>458</v>
      </c>
      <c r="D200" t="s">
        <v>332</v>
      </c>
      <c r="E200" t="s">
        <v>220</v>
      </c>
      <c r="F200" t="s">
        <v>221</v>
      </c>
      <c r="G200" t="s">
        <v>19</v>
      </c>
      <c r="H200" t="s">
        <v>16</v>
      </c>
      <c r="I200" t="s">
        <v>193</v>
      </c>
      <c r="J200" t="s">
        <v>204</v>
      </c>
      <c r="K200">
        <v>9</v>
      </c>
      <c r="L200" s="12">
        <v>175</v>
      </c>
      <c r="M200" s="12">
        <v>98</v>
      </c>
      <c r="N200" s="14">
        <v>0.05</v>
      </c>
      <c r="O200" t="s">
        <v>186</v>
      </c>
      <c r="P200" t="s">
        <v>34</v>
      </c>
    </row>
    <row r="201" spans="1:16">
      <c r="A201" t="s">
        <v>606</v>
      </c>
      <c r="B201" s="13">
        <v>45931</v>
      </c>
      <c r="C201" t="s">
        <v>607</v>
      </c>
      <c r="D201" t="s">
        <v>378</v>
      </c>
      <c r="E201" t="s">
        <v>176</v>
      </c>
      <c r="F201" t="s">
        <v>177</v>
      </c>
      <c r="G201" t="s">
        <v>20</v>
      </c>
      <c r="H201" t="s">
        <v>16</v>
      </c>
      <c r="I201" t="s">
        <v>203</v>
      </c>
      <c r="J201" t="s">
        <v>204</v>
      </c>
      <c r="K201">
        <v>2</v>
      </c>
      <c r="L201" s="12">
        <v>195</v>
      </c>
      <c r="M201" s="12">
        <v>105</v>
      </c>
      <c r="N201" s="14">
        <v>0.15</v>
      </c>
      <c r="O201" t="s">
        <v>186</v>
      </c>
      <c r="P201" t="s">
        <v>213</v>
      </c>
    </row>
    <row r="202" spans="1:16">
      <c r="A202" t="s">
        <v>126</v>
      </c>
      <c r="B202" s="13">
        <v>45679</v>
      </c>
      <c r="C202" t="s">
        <v>483</v>
      </c>
      <c r="D202" t="s">
        <v>575</v>
      </c>
      <c r="E202" t="s">
        <v>176</v>
      </c>
      <c r="F202" t="s">
        <v>177</v>
      </c>
      <c r="G202" t="s">
        <v>20</v>
      </c>
      <c r="H202" t="s">
        <v>16</v>
      </c>
      <c r="I202" t="s">
        <v>193</v>
      </c>
      <c r="J202" t="s">
        <v>204</v>
      </c>
      <c r="K202">
        <v>1</v>
      </c>
      <c r="L202" s="12">
        <v>195</v>
      </c>
      <c r="M202" s="12">
        <v>105</v>
      </c>
      <c r="N202" s="14">
        <v>0</v>
      </c>
      <c r="O202" t="s">
        <v>226</v>
      </c>
      <c r="P202" t="s">
        <v>34</v>
      </c>
    </row>
    <row r="203" spans="1:16">
      <c r="A203" t="s">
        <v>126</v>
      </c>
      <c r="B203" s="13">
        <v>45679</v>
      </c>
      <c r="C203" t="s">
        <v>483</v>
      </c>
      <c r="D203" t="s">
        <v>575</v>
      </c>
      <c r="E203" t="s">
        <v>176</v>
      </c>
      <c r="F203" t="s">
        <v>177</v>
      </c>
      <c r="G203" t="s">
        <v>20</v>
      </c>
      <c r="H203" t="s">
        <v>16</v>
      </c>
      <c r="I203" t="s">
        <v>193</v>
      </c>
      <c r="J203" t="s">
        <v>204</v>
      </c>
      <c r="K203">
        <v>1</v>
      </c>
      <c r="L203" s="12">
        <v>195</v>
      </c>
      <c r="M203" s="12">
        <v>105</v>
      </c>
      <c r="N203" s="14">
        <v>0</v>
      </c>
      <c r="O203" t="s">
        <v>226</v>
      </c>
      <c r="P203" t="s">
        <v>34</v>
      </c>
    </row>
    <row r="204" spans="1:16">
      <c r="A204" t="s">
        <v>608</v>
      </c>
      <c r="B204" s="13">
        <v>45890</v>
      </c>
      <c r="C204" t="s">
        <v>206</v>
      </c>
      <c r="D204" t="s">
        <v>609</v>
      </c>
      <c r="E204" t="s">
        <v>191</v>
      </c>
      <c r="F204" t="s">
        <v>192</v>
      </c>
      <c r="G204" t="s">
        <v>20</v>
      </c>
      <c r="H204" t="s">
        <v>15</v>
      </c>
      <c r="I204" t="s">
        <v>193</v>
      </c>
      <c r="J204" t="s">
        <v>185</v>
      </c>
      <c r="K204">
        <v>2</v>
      </c>
      <c r="L204" s="12">
        <v>720</v>
      </c>
      <c r="M204" s="12">
        <v>510</v>
      </c>
      <c r="N204" s="14">
        <v>0.2</v>
      </c>
      <c r="O204" t="s">
        <v>179</v>
      </c>
      <c r="P204" t="s">
        <v>34</v>
      </c>
    </row>
    <row r="205" spans="1:16">
      <c r="A205" t="s">
        <v>610</v>
      </c>
      <c r="B205" s="13">
        <v>45968</v>
      </c>
      <c r="C205" t="s">
        <v>591</v>
      </c>
      <c r="D205" t="s">
        <v>460</v>
      </c>
      <c r="E205" t="s">
        <v>217</v>
      </c>
      <c r="F205" t="s">
        <v>218</v>
      </c>
      <c r="G205" t="s">
        <v>20</v>
      </c>
      <c r="H205" t="s">
        <v>15</v>
      </c>
      <c r="I205" t="s">
        <v>203</v>
      </c>
      <c r="J205" t="s">
        <v>194</v>
      </c>
      <c r="K205">
        <v>3</v>
      </c>
      <c r="L205" s="12">
        <v>1090</v>
      </c>
      <c r="M205" s="12">
        <v>790</v>
      </c>
      <c r="N205" s="14">
        <v>0.05</v>
      </c>
      <c r="O205" t="s">
        <v>172</v>
      </c>
      <c r="P205" t="s">
        <v>213</v>
      </c>
    </row>
    <row r="206" spans="1:16">
      <c r="A206" t="s">
        <v>611</v>
      </c>
      <c r="B206" s="13">
        <v>45781</v>
      </c>
      <c r="C206" t="s">
        <v>537</v>
      </c>
      <c r="D206" t="s">
        <v>612</v>
      </c>
      <c r="E206" t="s">
        <v>217</v>
      </c>
      <c r="F206" t="s">
        <v>218</v>
      </c>
      <c r="G206" t="s">
        <v>20</v>
      </c>
      <c r="H206" t="s">
        <v>13</v>
      </c>
      <c r="I206" t="s">
        <v>203</v>
      </c>
      <c r="J206" t="s">
        <v>178</v>
      </c>
      <c r="K206">
        <v>8</v>
      </c>
      <c r="L206" s="12">
        <v>1090</v>
      </c>
      <c r="M206" s="12">
        <v>790</v>
      </c>
      <c r="N206" s="14">
        <v>0</v>
      </c>
      <c r="O206" t="s">
        <v>186</v>
      </c>
      <c r="P206" t="s">
        <v>34</v>
      </c>
    </row>
    <row r="207" spans="1:16">
      <c r="A207" t="s">
        <v>613</v>
      </c>
      <c r="B207" s="13">
        <v>45973</v>
      </c>
      <c r="C207" t="s">
        <v>240</v>
      </c>
      <c r="D207" t="s">
        <v>614</v>
      </c>
      <c r="E207" t="s">
        <v>208</v>
      </c>
      <c r="F207" t="s">
        <v>209</v>
      </c>
      <c r="G207" t="s">
        <v>21</v>
      </c>
      <c r="H207" t="s">
        <v>16</v>
      </c>
      <c r="I207" t="s">
        <v>170</v>
      </c>
      <c r="J207" t="s">
        <v>194</v>
      </c>
      <c r="K207">
        <v>7</v>
      </c>
      <c r="L207" s="12">
        <v>840</v>
      </c>
      <c r="M207" s="12">
        <v>590</v>
      </c>
      <c r="N207" s="14">
        <v>0</v>
      </c>
      <c r="O207" t="s">
        <v>179</v>
      </c>
      <c r="P207" t="s">
        <v>34</v>
      </c>
    </row>
    <row r="208" spans="1:16">
      <c r="A208" t="s">
        <v>615</v>
      </c>
      <c r="B208" s="13">
        <v>45913</v>
      </c>
      <c r="C208" t="s">
        <v>616</v>
      </c>
      <c r="D208" t="s">
        <v>617</v>
      </c>
      <c r="E208" t="s">
        <v>308</v>
      </c>
      <c r="F208" t="s">
        <v>309</v>
      </c>
      <c r="G208" t="s">
        <v>19</v>
      </c>
      <c r="H208" t="s">
        <v>15</v>
      </c>
      <c r="I208" t="s">
        <v>203</v>
      </c>
      <c r="J208" t="s">
        <v>178</v>
      </c>
      <c r="K208">
        <v>9</v>
      </c>
      <c r="L208" s="12">
        <v>265</v>
      </c>
      <c r="M208" s="12">
        <v>155</v>
      </c>
      <c r="N208" s="14">
        <v>0.1</v>
      </c>
      <c r="O208" t="s">
        <v>226</v>
      </c>
      <c r="P208" t="s">
        <v>34</v>
      </c>
    </row>
    <row r="209" spans="1:16">
      <c r="A209" t="s">
        <v>618</v>
      </c>
      <c r="B209" s="13">
        <v>45892</v>
      </c>
      <c r="C209" t="s">
        <v>304</v>
      </c>
      <c r="D209" t="s">
        <v>619</v>
      </c>
      <c r="E209" t="s">
        <v>183</v>
      </c>
      <c r="F209" t="s">
        <v>184</v>
      </c>
      <c r="G209" t="s">
        <v>20</v>
      </c>
      <c r="H209" t="s">
        <v>12</v>
      </c>
      <c r="I209" t="s">
        <v>193</v>
      </c>
      <c r="J209" t="s">
        <v>185</v>
      </c>
      <c r="K209">
        <v>4</v>
      </c>
      <c r="L209" s="12">
        <v>230</v>
      </c>
      <c r="M209" s="12">
        <v>132</v>
      </c>
      <c r="N209" s="14">
        <v>0</v>
      </c>
      <c r="O209" t="s">
        <v>226</v>
      </c>
      <c r="P209" t="s">
        <v>187</v>
      </c>
    </row>
    <row r="210" spans="1:16">
      <c r="A210" t="s">
        <v>620</v>
      </c>
      <c r="B210" s="13">
        <v>45932</v>
      </c>
      <c r="C210" t="s">
        <v>340</v>
      </c>
      <c r="D210" t="s">
        <v>232</v>
      </c>
      <c r="E210" t="s">
        <v>191</v>
      </c>
      <c r="F210" t="s">
        <v>192</v>
      </c>
      <c r="G210" t="s">
        <v>20</v>
      </c>
      <c r="H210" t="s">
        <v>14</v>
      </c>
      <c r="I210" t="s">
        <v>193</v>
      </c>
      <c r="J210" t="s">
        <v>194</v>
      </c>
      <c r="K210">
        <v>1</v>
      </c>
      <c r="L210" s="12">
        <v>720</v>
      </c>
      <c r="M210" s="12">
        <v>510</v>
      </c>
      <c r="N210" s="14">
        <v>0</v>
      </c>
      <c r="O210" t="s">
        <v>172</v>
      </c>
      <c r="P210" t="s">
        <v>34</v>
      </c>
    </row>
    <row r="211" spans="1:16">
      <c r="A211" t="s">
        <v>621</v>
      </c>
      <c r="B211" s="13">
        <v>45684</v>
      </c>
      <c r="C211" t="s">
        <v>466</v>
      </c>
      <c r="D211" t="s">
        <v>197</v>
      </c>
      <c r="E211" t="s">
        <v>208</v>
      </c>
      <c r="F211" t="s">
        <v>209</v>
      </c>
      <c r="G211" t="s">
        <v>21</v>
      </c>
      <c r="H211" t="s">
        <v>14</v>
      </c>
      <c r="I211" t="s">
        <v>203</v>
      </c>
      <c r="J211" t="s">
        <v>185</v>
      </c>
      <c r="K211">
        <v>10</v>
      </c>
      <c r="L211" s="12">
        <v>840</v>
      </c>
      <c r="M211" s="12">
        <v>590</v>
      </c>
      <c r="N211" s="14">
        <v>0.15</v>
      </c>
      <c r="O211" t="s">
        <v>226</v>
      </c>
      <c r="P211" t="s">
        <v>34</v>
      </c>
    </row>
    <row r="212" spans="1:16">
      <c r="A212" t="s">
        <v>622</v>
      </c>
      <c r="B212" s="13">
        <v>45801</v>
      </c>
      <c r="C212" t="s">
        <v>274</v>
      </c>
      <c r="D212" t="s">
        <v>549</v>
      </c>
      <c r="E212" t="s">
        <v>183</v>
      </c>
      <c r="F212" t="s">
        <v>184</v>
      </c>
      <c r="G212" t="s">
        <v>20</v>
      </c>
      <c r="H212" t="s">
        <v>12</v>
      </c>
      <c r="I212" t="s">
        <v>193</v>
      </c>
      <c r="J212" t="s">
        <v>194</v>
      </c>
      <c r="K212">
        <v>10</v>
      </c>
      <c r="L212" s="12">
        <v>230</v>
      </c>
      <c r="M212" s="12">
        <v>132</v>
      </c>
      <c r="N212" s="14">
        <v>0.2</v>
      </c>
      <c r="O212" t="s">
        <v>186</v>
      </c>
      <c r="P212" t="s">
        <v>187</v>
      </c>
    </row>
    <row r="213" spans="1:16">
      <c r="A213" t="s">
        <v>623</v>
      </c>
      <c r="B213" s="13">
        <v>45845</v>
      </c>
      <c r="C213" t="s">
        <v>251</v>
      </c>
      <c r="D213" t="s">
        <v>314</v>
      </c>
      <c r="E213" t="s">
        <v>183</v>
      </c>
      <c r="F213" t="s">
        <v>184</v>
      </c>
      <c r="G213" t="s">
        <v>20</v>
      </c>
      <c r="H213" t="s">
        <v>16</v>
      </c>
      <c r="I213" t="s">
        <v>203</v>
      </c>
      <c r="J213" t="s">
        <v>178</v>
      </c>
      <c r="K213">
        <v>3</v>
      </c>
      <c r="L213" s="12">
        <v>230</v>
      </c>
      <c r="M213" s="12">
        <v>132</v>
      </c>
      <c r="N213" s="14">
        <v>0</v>
      </c>
      <c r="O213" t="s">
        <v>172</v>
      </c>
      <c r="P213" t="s">
        <v>187</v>
      </c>
    </row>
    <row r="214" spans="1:16">
      <c r="A214" t="s">
        <v>624</v>
      </c>
      <c r="B214" s="13">
        <v>45828</v>
      </c>
      <c r="C214" t="s">
        <v>234</v>
      </c>
      <c r="D214" t="s">
        <v>625</v>
      </c>
      <c r="E214" t="s">
        <v>308</v>
      </c>
      <c r="F214" t="s">
        <v>309</v>
      </c>
      <c r="G214" t="s">
        <v>19</v>
      </c>
      <c r="H214" t="s">
        <v>16</v>
      </c>
      <c r="I214" t="s">
        <v>203</v>
      </c>
      <c r="J214" t="s">
        <v>194</v>
      </c>
      <c r="K214">
        <v>8</v>
      </c>
      <c r="L214" s="12">
        <v>265</v>
      </c>
      <c r="M214" s="12">
        <v>155</v>
      </c>
      <c r="N214" s="14">
        <v>0.15</v>
      </c>
      <c r="O214" t="s">
        <v>186</v>
      </c>
      <c r="P214" t="s">
        <v>34</v>
      </c>
    </row>
    <row r="215" spans="1:16">
      <c r="A215" t="s">
        <v>626</v>
      </c>
      <c r="B215" s="13">
        <v>45859</v>
      </c>
      <c r="C215" t="s">
        <v>357</v>
      </c>
      <c r="D215" t="s">
        <v>627</v>
      </c>
      <c r="E215" t="s">
        <v>308</v>
      </c>
      <c r="F215" t="s">
        <v>309</v>
      </c>
      <c r="G215" t="s">
        <v>19</v>
      </c>
      <c r="H215" t="s">
        <v>16</v>
      </c>
      <c r="I215" t="s">
        <v>170</v>
      </c>
      <c r="J215" t="s">
        <v>171</v>
      </c>
      <c r="K215">
        <v>10</v>
      </c>
      <c r="L215" s="12">
        <v>265</v>
      </c>
      <c r="M215" s="12">
        <v>155</v>
      </c>
      <c r="N215" s="14">
        <v>0.2</v>
      </c>
      <c r="O215" t="s">
        <v>226</v>
      </c>
      <c r="P215" t="s">
        <v>34</v>
      </c>
    </row>
    <row r="216" spans="1:16">
      <c r="A216" t="s">
        <v>628</v>
      </c>
      <c r="B216" s="13">
        <v>45811</v>
      </c>
      <c r="C216" t="s">
        <v>438</v>
      </c>
      <c r="D216" t="s">
        <v>629</v>
      </c>
      <c r="E216" t="s">
        <v>176</v>
      </c>
      <c r="F216" t="s">
        <v>177</v>
      </c>
      <c r="G216" t="s">
        <v>20</v>
      </c>
      <c r="H216" t="s">
        <v>12</v>
      </c>
      <c r="I216" t="s">
        <v>193</v>
      </c>
      <c r="J216" t="s">
        <v>171</v>
      </c>
      <c r="K216">
        <v>8</v>
      </c>
      <c r="L216" s="12">
        <v>195</v>
      </c>
      <c r="M216" s="12">
        <v>105</v>
      </c>
      <c r="N216" s="14">
        <v>0</v>
      </c>
      <c r="O216" t="s">
        <v>186</v>
      </c>
      <c r="P216" t="s">
        <v>34</v>
      </c>
    </row>
    <row r="217" spans="1:16">
      <c r="A217" t="s">
        <v>630</v>
      </c>
      <c r="B217" s="13">
        <v>45963</v>
      </c>
      <c r="C217" t="s">
        <v>573</v>
      </c>
      <c r="D217" t="s">
        <v>631</v>
      </c>
      <c r="E217" t="s">
        <v>198</v>
      </c>
      <c r="F217" t="s">
        <v>199</v>
      </c>
      <c r="G217" t="s">
        <v>19</v>
      </c>
      <c r="H217" t="s">
        <v>16</v>
      </c>
      <c r="I217" t="s">
        <v>203</v>
      </c>
      <c r="J217" t="s">
        <v>178</v>
      </c>
      <c r="K217">
        <v>8</v>
      </c>
      <c r="L217" s="12">
        <v>95</v>
      </c>
      <c r="M217" s="12">
        <v>52</v>
      </c>
      <c r="N217" s="14">
        <v>0.05</v>
      </c>
      <c r="O217" t="s">
        <v>226</v>
      </c>
      <c r="P217" t="s">
        <v>213</v>
      </c>
    </row>
    <row r="218" spans="1:16">
      <c r="A218" t="s">
        <v>632</v>
      </c>
      <c r="B218" s="13">
        <v>45926</v>
      </c>
      <c r="C218" t="s">
        <v>633</v>
      </c>
      <c r="D218" t="s">
        <v>190</v>
      </c>
      <c r="E218" t="s">
        <v>308</v>
      </c>
      <c r="F218" t="s">
        <v>309</v>
      </c>
      <c r="G218" t="s">
        <v>19</v>
      </c>
      <c r="H218" t="s">
        <v>13</v>
      </c>
      <c r="I218" t="s">
        <v>170</v>
      </c>
      <c r="J218" t="s">
        <v>204</v>
      </c>
      <c r="K218">
        <v>11</v>
      </c>
      <c r="L218" s="12">
        <v>265</v>
      </c>
      <c r="M218" s="12">
        <v>155</v>
      </c>
      <c r="N218" s="14">
        <v>0.2</v>
      </c>
      <c r="O218" t="s">
        <v>172</v>
      </c>
      <c r="P218" t="s">
        <v>187</v>
      </c>
    </row>
    <row r="219" spans="1:16">
      <c r="A219" t="s">
        <v>634</v>
      </c>
      <c r="B219" s="13">
        <v>46016</v>
      </c>
      <c r="C219" t="s">
        <v>287</v>
      </c>
      <c r="D219" t="s">
        <v>391</v>
      </c>
      <c r="E219" t="s">
        <v>176</v>
      </c>
      <c r="F219" t="s">
        <v>177</v>
      </c>
      <c r="G219" t="s">
        <v>20</v>
      </c>
      <c r="H219" t="s">
        <v>15</v>
      </c>
      <c r="I219" t="s">
        <v>203</v>
      </c>
      <c r="J219" t="s">
        <v>185</v>
      </c>
      <c r="K219">
        <v>2</v>
      </c>
      <c r="L219" s="12">
        <v>195</v>
      </c>
      <c r="M219" s="12">
        <v>105</v>
      </c>
      <c r="N219" s="14">
        <v>0</v>
      </c>
      <c r="O219" t="s">
        <v>179</v>
      </c>
      <c r="P219" t="s">
        <v>34</v>
      </c>
    </row>
    <row r="220" spans="1:16">
      <c r="A220" t="s">
        <v>635</v>
      </c>
      <c r="B220" s="13">
        <v>45914</v>
      </c>
      <c r="C220" t="s">
        <v>525</v>
      </c>
      <c r="D220" t="s">
        <v>636</v>
      </c>
      <c r="E220" t="s">
        <v>208</v>
      </c>
      <c r="F220" t="s">
        <v>209</v>
      </c>
      <c r="G220" t="s">
        <v>21</v>
      </c>
      <c r="H220" t="s">
        <v>13</v>
      </c>
      <c r="I220" t="s">
        <v>170</v>
      </c>
      <c r="J220" t="s">
        <v>204</v>
      </c>
      <c r="K220">
        <v>10</v>
      </c>
      <c r="L220" s="12">
        <v>840</v>
      </c>
      <c r="M220" s="12">
        <v>590</v>
      </c>
      <c r="N220" s="14">
        <v>0.1</v>
      </c>
      <c r="O220" t="s">
        <v>186</v>
      </c>
      <c r="P220" t="s">
        <v>213</v>
      </c>
    </row>
    <row r="221" spans="1:16">
      <c r="A221" t="s">
        <v>637</v>
      </c>
      <c r="B221" s="13">
        <v>45927</v>
      </c>
      <c r="C221" t="s">
        <v>219</v>
      </c>
      <c r="D221" t="s">
        <v>638</v>
      </c>
      <c r="E221" t="s">
        <v>284</v>
      </c>
      <c r="F221" t="s">
        <v>285</v>
      </c>
      <c r="G221" t="s">
        <v>21</v>
      </c>
      <c r="H221" t="s">
        <v>14</v>
      </c>
      <c r="I221" t="s">
        <v>170</v>
      </c>
      <c r="J221" t="s">
        <v>194</v>
      </c>
      <c r="K221">
        <v>7</v>
      </c>
      <c r="L221" s="12">
        <v>1450</v>
      </c>
      <c r="M221" s="12">
        <v>1030</v>
      </c>
      <c r="N221" s="14">
        <v>0.05</v>
      </c>
      <c r="O221" t="s">
        <v>186</v>
      </c>
      <c r="P221" t="s">
        <v>34</v>
      </c>
    </row>
    <row r="222" spans="1:16">
      <c r="A222" t="s">
        <v>639</v>
      </c>
      <c r="B222" s="13">
        <v>45905</v>
      </c>
      <c r="C222" t="s">
        <v>640</v>
      </c>
      <c r="D222" t="s">
        <v>281</v>
      </c>
      <c r="E222" t="s">
        <v>176</v>
      </c>
      <c r="F222" t="s">
        <v>177</v>
      </c>
      <c r="G222" t="s">
        <v>20</v>
      </c>
      <c r="H222" t="s">
        <v>13</v>
      </c>
      <c r="I222" t="s">
        <v>193</v>
      </c>
      <c r="J222" t="s">
        <v>194</v>
      </c>
      <c r="K222">
        <v>4</v>
      </c>
      <c r="L222" s="12">
        <v>195</v>
      </c>
      <c r="M222" s="12">
        <v>105</v>
      </c>
      <c r="N222" s="14">
        <v>0</v>
      </c>
      <c r="O222" t="s">
        <v>179</v>
      </c>
      <c r="P222" t="s">
        <v>34</v>
      </c>
    </row>
    <row r="223" spans="1:16">
      <c r="A223" t="s">
        <v>641</v>
      </c>
      <c r="B223" s="13">
        <v>45820</v>
      </c>
      <c r="C223" t="s">
        <v>642</v>
      </c>
      <c r="D223" t="s">
        <v>533</v>
      </c>
      <c r="E223" t="s">
        <v>284</v>
      </c>
      <c r="F223" t="s">
        <v>285</v>
      </c>
      <c r="G223" t="s">
        <v>21</v>
      </c>
      <c r="H223" t="s">
        <v>14</v>
      </c>
      <c r="I223" t="s">
        <v>203</v>
      </c>
      <c r="J223" t="s">
        <v>171</v>
      </c>
      <c r="K223">
        <v>8</v>
      </c>
      <c r="L223" s="12">
        <v>1450</v>
      </c>
      <c r="M223" s="12">
        <v>1030</v>
      </c>
      <c r="N223" s="14">
        <v>0.05</v>
      </c>
      <c r="O223" t="s">
        <v>226</v>
      </c>
      <c r="P223" t="s">
        <v>187</v>
      </c>
    </row>
    <row r="224" spans="1:16">
      <c r="A224" t="s">
        <v>643</v>
      </c>
      <c r="B224" s="13">
        <v>45834</v>
      </c>
      <c r="C224" t="s">
        <v>644</v>
      </c>
      <c r="D224" t="s">
        <v>510</v>
      </c>
      <c r="E224" t="s">
        <v>208</v>
      </c>
      <c r="F224" t="s">
        <v>209</v>
      </c>
      <c r="G224" t="s">
        <v>21</v>
      </c>
      <c r="H224" t="s">
        <v>14</v>
      </c>
      <c r="I224" t="s">
        <v>193</v>
      </c>
      <c r="J224" t="s">
        <v>194</v>
      </c>
      <c r="K224">
        <v>3</v>
      </c>
      <c r="L224" s="12">
        <v>840</v>
      </c>
      <c r="M224" s="12">
        <v>590</v>
      </c>
      <c r="N224" s="14">
        <v>0.05</v>
      </c>
      <c r="O224" t="s">
        <v>226</v>
      </c>
      <c r="P224" t="s">
        <v>34</v>
      </c>
    </row>
    <row r="225" spans="1:16">
      <c r="A225" t="s">
        <v>645</v>
      </c>
      <c r="B225" s="13">
        <v>45761</v>
      </c>
      <c r="C225" t="s">
        <v>646</v>
      </c>
      <c r="D225" t="s">
        <v>505</v>
      </c>
      <c r="E225" t="s">
        <v>220</v>
      </c>
      <c r="F225" t="s">
        <v>221</v>
      </c>
      <c r="G225" t="s">
        <v>19</v>
      </c>
      <c r="H225" t="s">
        <v>13</v>
      </c>
      <c r="I225" t="s">
        <v>203</v>
      </c>
      <c r="J225" t="s">
        <v>171</v>
      </c>
      <c r="K225">
        <v>9</v>
      </c>
      <c r="L225" s="12">
        <v>175</v>
      </c>
      <c r="M225" s="12">
        <v>98</v>
      </c>
      <c r="N225" s="14">
        <v>0.05</v>
      </c>
      <c r="O225" t="s">
        <v>179</v>
      </c>
      <c r="P225" t="s">
        <v>187</v>
      </c>
    </row>
    <row r="226" spans="1:16">
      <c r="A226" t="s">
        <v>647</v>
      </c>
      <c r="B226" s="13">
        <v>45683</v>
      </c>
      <c r="C226" t="s">
        <v>374</v>
      </c>
      <c r="D226" t="s">
        <v>175</v>
      </c>
      <c r="E226" t="s">
        <v>220</v>
      </c>
      <c r="F226" t="s">
        <v>221</v>
      </c>
      <c r="G226" t="s">
        <v>19</v>
      </c>
      <c r="H226" t="s">
        <v>12</v>
      </c>
      <c r="I226" t="s">
        <v>203</v>
      </c>
      <c r="J226" t="s">
        <v>185</v>
      </c>
      <c r="K226">
        <v>11</v>
      </c>
      <c r="L226" s="12">
        <v>175</v>
      </c>
      <c r="M226" s="12">
        <v>98</v>
      </c>
      <c r="N226" s="14">
        <v>0.15</v>
      </c>
      <c r="O226" t="s">
        <v>186</v>
      </c>
      <c r="P226" t="s">
        <v>34</v>
      </c>
    </row>
    <row r="227" spans="1:16">
      <c r="A227" t="s">
        <v>129</v>
      </c>
      <c r="B227" s="13">
        <v>45709</v>
      </c>
      <c r="C227" t="s">
        <v>399</v>
      </c>
      <c r="D227" t="s">
        <v>263</v>
      </c>
      <c r="E227" t="s">
        <v>284</v>
      </c>
      <c r="G227" t="s">
        <v>21</v>
      </c>
      <c r="H227" t="s">
        <v>13</v>
      </c>
      <c r="I227" t="s">
        <v>193</v>
      </c>
      <c r="J227" t="s">
        <v>185</v>
      </c>
      <c r="K227">
        <v>11</v>
      </c>
      <c r="L227" s="12">
        <v>1450</v>
      </c>
      <c r="M227" s="12">
        <v>1030</v>
      </c>
      <c r="N227" s="14">
        <v>0</v>
      </c>
      <c r="O227" t="s">
        <v>226</v>
      </c>
      <c r="P227" t="s">
        <v>34</v>
      </c>
    </row>
    <row r="228" spans="1:16">
      <c r="A228" t="s">
        <v>648</v>
      </c>
      <c r="B228" s="13">
        <v>45805</v>
      </c>
      <c r="C228" t="s">
        <v>649</v>
      </c>
      <c r="D228" t="s">
        <v>424</v>
      </c>
      <c r="E228" t="s">
        <v>220</v>
      </c>
      <c r="F228" t="s">
        <v>221</v>
      </c>
      <c r="G228" t="s">
        <v>19</v>
      </c>
      <c r="H228" t="s">
        <v>16</v>
      </c>
      <c r="I228" t="s">
        <v>203</v>
      </c>
      <c r="J228" t="s">
        <v>171</v>
      </c>
      <c r="K228">
        <v>6</v>
      </c>
      <c r="L228" s="12">
        <v>175</v>
      </c>
      <c r="M228" s="12">
        <v>98</v>
      </c>
      <c r="N228" s="14">
        <v>0.05</v>
      </c>
      <c r="O228" t="s">
        <v>172</v>
      </c>
      <c r="P228" t="s">
        <v>213</v>
      </c>
    </row>
    <row r="229" spans="1:16">
      <c r="A229" t="s">
        <v>650</v>
      </c>
      <c r="B229" s="13">
        <v>45871</v>
      </c>
      <c r="C229" t="s">
        <v>573</v>
      </c>
      <c r="D229" t="s">
        <v>651</v>
      </c>
      <c r="E229" t="s">
        <v>308</v>
      </c>
      <c r="F229" t="s">
        <v>309</v>
      </c>
      <c r="G229" t="s">
        <v>19</v>
      </c>
      <c r="H229" t="s">
        <v>13</v>
      </c>
      <c r="I229" t="s">
        <v>170</v>
      </c>
      <c r="J229" t="s">
        <v>194</v>
      </c>
      <c r="K229">
        <v>3</v>
      </c>
      <c r="L229" s="12">
        <v>265</v>
      </c>
      <c r="M229" s="12">
        <v>155</v>
      </c>
      <c r="N229" s="14">
        <v>0</v>
      </c>
      <c r="O229" t="s">
        <v>172</v>
      </c>
      <c r="P229" t="s">
        <v>34</v>
      </c>
    </row>
    <row r="230" spans="1:16">
      <c r="A230" t="s">
        <v>652</v>
      </c>
      <c r="B230" s="13">
        <v>45810</v>
      </c>
      <c r="C230" t="s">
        <v>237</v>
      </c>
      <c r="D230" t="s">
        <v>307</v>
      </c>
      <c r="E230" t="s">
        <v>198</v>
      </c>
      <c r="F230" t="s">
        <v>199</v>
      </c>
      <c r="G230" t="s">
        <v>19</v>
      </c>
      <c r="H230" t="s">
        <v>14</v>
      </c>
      <c r="I230" t="s">
        <v>193</v>
      </c>
      <c r="J230" t="s">
        <v>171</v>
      </c>
      <c r="K230">
        <v>10</v>
      </c>
      <c r="L230" s="12">
        <v>95</v>
      </c>
      <c r="M230" s="12">
        <v>52</v>
      </c>
      <c r="N230" s="14">
        <v>0.15</v>
      </c>
      <c r="O230" t="s">
        <v>226</v>
      </c>
      <c r="P230" t="s">
        <v>34</v>
      </c>
    </row>
    <row r="231" spans="1:16">
      <c r="A231" t="s">
        <v>653</v>
      </c>
      <c r="B231" s="13">
        <v>45916</v>
      </c>
      <c r="C231" t="s">
        <v>262</v>
      </c>
      <c r="D231" t="s">
        <v>299</v>
      </c>
      <c r="E231" t="s">
        <v>308</v>
      </c>
      <c r="F231" t="s">
        <v>309</v>
      </c>
      <c r="G231" t="s">
        <v>19</v>
      </c>
      <c r="H231" t="s">
        <v>14</v>
      </c>
      <c r="I231" t="s">
        <v>203</v>
      </c>
      <c r="J231" t="s">
        <v>185</v>
      </c>
      <c r="K231">
        <v>8</v>
      </c>
      <c r="L231" s="12">
        <v>265</v>
      </c>
      <c r="M231" s="12">
        <v>155</v>
      </c>
      <c r="N231" s="14">
        <v>0.05</v>
      </c>
      <c r="O231" t="s">
        <v>186</v>
      </c>
      <c r="P231" t="s">
        <v>34</v>
      </c>
    </row>
    <row r="232" spans="1:16">
      <c r="A232" t="s">
        <v>654</v>
      </c>
      <c r="B232" s="13">
        <v>45665</v>
      </c>
      <c r="C232" t="s">
        <v>277</v>
      </c>
      <c r="D232" t="s">
        <v>629</v>
      </c>
      <c r="E232" t="s">
        <v>308</v>
      </c>
      <c r="F232" t="s">
        <v>309</v>
      </c>
      <c r="G232" t="s">
        <v>19</v>
      </c>
      <c r="H232" t="s">
        <v>13</v>
      </c>
      <c r="I232" t="s">
        <v>203</v>
      </c>
      <c r="J232" t="s">
        <v>171</v>
      </c>
      <c r="K232">
        <v>12</v>
      </c>
      <c r="L232" s="12">
        <v>265</v>
      </c>
      <c r="M232" s="12">
        <v>155</v>
      </c>
      <c r="N232" s="14">
        <v>0.05</v>
      </c>
      <c r="O232" t="s">
        <v>226</v>
      </c>
      <c r="P232" t="s">
        <v>34</v>
      </c>
    </row>
    <row r="233" spans="1:16">
      <c r="A233" t="s">
        <v>655</v>
      </c>
      <c r="B233" s="13">
        <v>45921</v>
      </c>
      <c r="C233" t="s">
        <v>422</v>
      </c>
      <c r="D233" t="s">
        <v>656</v>
      </c>
      <c r="E233" t="s">
        <v>208</v>
      </c>
      <c r="F233" t="s">
        <v>209</v>
      </c>
      <c r="G233" t="s">
        <v>21</v>
      </c>
      <c r="H233" t="s">
        <v>13</v>
      </c>
      <c r="I233" t="s">
        <v>203</v>
      </c>
      <c r="J233" t="s">
        <v>185</v>
      </c>
      <c r="K233">
        <v>6</v>
      </c>
      <c r="L233" s="12">
        <v>840</v>
      </c>
      <c r="M233" s="12">
        <v>590</v>
      </c>
      <c r="N233" s="14">
        <v>0</v>
      </c>
      <c r="O233" t="s">
        <v>186</v>
      </c>
      <c r="P233" t="s">
        <v>34</v>
      </c>
    </row>
    <row r="234" spans="1:16">
      <c r="A234" t="s">
        <v>657</v>
      </c>
      <c r="B234" s="13">
        <v>45661</v>
      </c>
      <c r="C234" t="s">
        <v>537</v>
      </c>
      <c r="D234" t="s">
        <v>216</v>
      </c>
      <c r="E234" t="s">
        <v>220</v>
      </c>
      <c r="F234" t="s">
        <v>221</v>
      </c>
      <c r="G234" t="s">
        <v>19</v>
      </c>
      <c r="H234" t="s">
        <v>14</v>
      </c>
      <c r="I234" t="s">
        <v>193</v>
      </c>
      <c r="J234" t="s">
        <v>171</v>
      </c>
      <c r="K234">
        <v>5</v>
      </c>
      <c r="L234" s="12">
        <v>175</v>
      </c>
      <c r="M234" s="12">
        <v>98</v>
      </c>
      <c r="N234" s="14">
        <v>0.1</v>
      </c>
      <c r="O234" t="s">
        <v>172</v>
      </c>
      <c r="P234" t="s">
        <v>34</v>
      </c>
    </row>
    <row r="235" spans="1:16">
      <c r="A235" t="s">
        <v>658</v>
      </c>
      <c r="B235" s="13">
        <v>45992</v>
      </c>
      <c r="C235" t="s">
        <v>649</v>
      </c>
      <c r="D235" t="s">
        <v>513</v>
      </c>
      <c r="E235" t="s">
        <v>191</v>
      </c>
      <c r="F235" t="s">
        <v>192</v>
      </c>
      <c r="G235" t="s">
        <v>20</v>
      </c>
      <c r="H235" t="s">
        <v>12</v>
      </c>
      <c r="I235" t="s">
        <v>193</v>
      </c>
      <c r="J235" t="s">
        <v>194</v>
      </c>
      <c r="K235">
        <v>6</v>
      </c>
      <c r="L235" s="12">
        <v>720</v>
      </c>
      <c r="M235" s="12">
        <v>510</v>
      </c>
      <c r="N235" s="14">
        <v>0.2</v>
      </c>
      <c r="O235" t="s">
        <v>179</v>
      </c>
      <c r="P235" t="s">
        <v>34</v>
      </c>
    </row>
    <row r="236" spans="1:16">
      <c r="A236" t="s">
        <v>659</v>
      </c>
      <c r="B236" s="13">
        <v>46009</v>
      </c>
      <c r="C236" t="s">
        <v>584</v>
      </c>
      <c r="D236" t="s">
        <v>431</v>
      </c>
      <c r="E236" t="s">
        <v>208</v>
      </c>
      <c r="F236" t="s">
        <v>209</v>
      </c>
      <c r="G236" t="s">
        <v>21</v>
      </c>
      <c r="H236" t="s">
        <v>14</v>
      </c>
      <c r="I236" t="s">
        <v>193</v>
      </c>
      <c r="J236" t="s">
        <v>171</v>
      </c>
      <c r="K236">
        <v>9</v>
      </c>
      <c r="L236" s="12">
        <v>840</v>
      </c>
      <c r="M236" s="12">
        <v>590</v>
      </c>
      <c r="N236" s="14">
        <v>0.2</v>
      </c>
      <c r="O236" t="s">
        <v>179</v>
      </c>
      <c r="P236" t="s">
        <v>34</v>
      </c>
    </row>
    <row r="237" spans="1:16">
      <c r="A237" t="s">
        <v>660</v>
      </c>
      <c r="B237" s="13">
        <v>45726</v>
      </c>
      <c r="C237" t="s">
        <v>389</v>
      </c>
      <c r="D237" t="s">
        <v>625</v>
      </c>
      <c r="E237" t="s">
        <v>220</v>
      </c>
      <c r="F237" t="s">
        <v>221</v>
      </c>
      <c r="G237" t="s">
        <v>19</v>
      </c>
      <c r="H237" t="s">
        <v>14</v>
      </c>
      <c r="I237" t="s">
        <v>193</v>
      </c>
      <c r="J237" t="s">
        <v>171</v>
      </c>
      <c r="K237">
        <v>8</v>
      </c>
      <c r="L237" s="12">
        <v>175</v>
      </c>
      <c r="M237" s="12">
        <v>98</v>
      </c>
      <c r="N237" s="14">
        <v>0</v>
      </c>
      <c r="O237" t="s">
        <v>226</v>
      </c>
      <c r="P237" t="s">
        <v>34</v>
      </c>
    </row>
    <row r="238" spans="1:16">
      <c r="A238" t="s">
        <v>661</v>
      </c>
      <c r="B238" s="13">
        <v>45998</v>
      </c>
      <c r="C238" t="s">
        <v>662</v>
      </c>
      <c r="D238" t="s">
        <v>225</v>
      </c>
      <c r="E238" t="s">
        <v>183</v>
      </c>
      <c r="F238" t="s">
        <v>184</v>
      </c>
      <c r="G238" t="s">
        <v>20</v>
      </c>
      <c r="H238" t="s">
        <v>12</v>
      </c>
      <c r="I238" t="s">
        <v>170</v>
      </c>
      <c r="J238" t="s">
        <v>185</v>
      </c>
      <c r="K238">
        <v>4</v>
      </c>
      <c r="L238" s="12">
        <v>230</v>
      </c>
      <c r="M238" s="12">
        <v>132</v>
      </c>
      <c r="N238" s="14">
        <v>0</v>
      </c>
      <c r="O238" t="s">
        <v>186</v>
      </c>
      <c r="P238" t="s">
        <v>213</v>
      </c>
    </row>
    <row r="239" spans="1:16">
      <c r="A239" t="s">
        <v>663</v>
      </c>
      <c r="B239" s="13">
        <v>45946</v>
      </c>
      <c r="C239" t="s">
        <v>245</v>
      </c>
      <c r="D239" t="s">
        <v>664</v>
      </c>
      <c r="E239" t="s">
        <v>168</v>
      </c>
      <c r="F239" t="s">
        <v>169</v>
      </c>
      <c r="G239" t="s">
        <v>19</v>
      </c>
      <c r="H239" t="s">
        <v>13</v>
      </c>
      <c r="I239" t="s">
        <v>170</v>
      </c>
      <c r="J239" t="s">
        <v>171</v>
      </c>
      <c r="K239">
        <v>2</v>
      </c>
      <c r="L239" s="12">
        <v>85</v>
      </c>
      <c r="M239" s="12">
        <v>44</v>
      </c>
      <c r="N239" s="14">
        <v>0</v>
      </c>
      <c r="O239" t="s">
        <v>179</v>
      </c>
      <c r="P239" t="s">
        <v>187</v>
      </c>
    </row>
    <row r="240" spans="1:16">
      <c r="A240" t="s">
        <v>665</v>
      </c>
      <c r="B240" s="13">
        <v>45825</v>
      </c>
      <c r="C240" t="s">
        <v>402</v>
      </c>
      <c r="D240" t="s">
        <v>293</v>
      </c>
      <c r="E240" t="s">
        <v>308</v>
      </c>
      <c r="F240" t="s">
        <v>309</v>
      </c>
      <c r="G240" t="s">
        <v>19</v>
      </c>
      <c r="H240" t="s">
        <v>16</v>
      </c>
      <c r="I240" t="s">
        <v>193</v>
      </c>
      <c r="J240" t="s">
        <v>178</v>
      </c>
      <c r="K240">
        <v>9</v>
      </c>
      <c r="L240" s="12">
        <v>265</v>
      </c>
      <c r="M240" s="12">
        <v>155</v>
      </c>
      <c r="N240" s="14">
        <v>0.1</v>
      </c>
      <c r="O240" t="s">
        <v>226</v>
      </c>
      <c r="P240" t="s">
        <v>34</v>
      </c>
    </row>
    <row r="241" spans="1:16">
      <c r="A241" t="s">
        <v>666</v>
      </c>
      <c r="B241" s="13">
        <v>45890</v>
      </c>
      <c r="C241" t="s">
        <v>219</v>
      </c>
      <c r="D241" t="s">
        <v>358</v>
      </c>
      <c r="E241" t="s">
        <v>198</v>
      </c>
      <c r="F241" t="s">
        <v>199</v>
      </c>
      <c r="G241" t="s">
        <v>19</v>
      </c>
      <c r="H241" t="s">
        <v>12</v>
      </c>
      <c r="I241" t="s">
        <v>170</v>
      </c>
      <c r="J241" t="s">
        <v>185</v>
      </c>
      <c r="K241">
        <v>3</v>
      </c>
      <c r="L241" s="12">
        <v>95</v>
      </c>
      <c r="M241" s="12">
        <v>52</v>
      </c>
      <c r="N241" s="14">
        <v>0.15</v>
      </c>
      <c r="O241" t="s">
        <v>186</v>
      </c>
      <c r="P241" t="s">
        <v>34</v>
      </c>
    </row>
    <row r="242" spans="1:16">
      <c r="A242" t="s">
        <v>667</v>
      </c>
      <c r="B242" s="13">
        <v>45860</v>
      </c>
      <c r="C242" t="s">
        <v>174</v>
      </c>
      <c r="D242" t="s">
        <v>631</v>
      </c>
      <c r="E242" t="s">
        <v>198</v>
      </c>
      <c r="F242" t="s">
        <v>199</v>
      </c>
      <c r="G242" t="s">
        <v>19</v>
      </c>
      <c r="H242" t="s">
        <v>12</v>
      </c>
      <c r="I242" t="s">
        <v>203</v>
      </c>
      <c r="J242" t="s">
        <v>185</v>
      </c>
      <c r="K242">
        <v>5</v>
      </c>
      <c r="L242" s="12">
        <v>95</v>
      </c>
      <c r="M242" s="12">
        <v>52</v>
      </c>
      <c r="N242" s="14">
        <v>0</v>
      </c>
      <c r="O242" t="s">
        <v>186</v>
      </c>
      <c r="P242" t="s">
        <v>213</v>
      </c>
    </row>
    <row r="243" spans="1:16">
      <c r="A243" t="s">
        <v>668</v>
      </c>
      <c r="B243" s="13">
        <v>45935</v>
      </c>
      <c r="C243" t="s">
        <v>448</v>
      </c>
      <c r="D243" t="s">
        <v>535</v>
      </c>
      <c r="E243" t="s">
        <v>168</v>
      </c>
      <c r="F243" t="s">
        <v>169</v>
      </c>
      <c r="G243" t="s">
        <v>19</v>
      </c>
      <c r="H243" t="s">
        <v>15</v>
      </c>
      <c r="I243" t="s">
        <v>203</v>
      </c>
      <c r="J243" t="s">
        <v>204</v>
      </c>
      <c r="K243">
        <v>1</v>
      </c>
      <c r="L243" s="12">
        <v>85</v>
      </c>
      <c r="M243" s="12">
        <v>44</v>
      </c>
      <c r="N243" s="14">
        <v>0</v>
      </c>
      <c r="O243" t="s">
        <v>226</v>
      </c>
      <c r="P243" t="s">
        <v>34</v>
      </c>
    </row>
    <row r="244" spans="1:16">
      <c r="A244" t="s">
        <v>669</v>
      </c>
      <c r="B244" s="13">
        <v>45853</v>
      </c>
      <c r="C244" t="s">
        <v>196</v>
      </c>
      <c r="D244" t="s">
        <v>603</v>
      </c>
      <c r="E244" t="s">
        <v>217</v>
      </c>
      <c r="F244" t="s">
        <v>218</v>
      </c>
      <c r="G244" t="s">
        <v>20</v>
      </c>
      <c r="H244" t="s">
        <v>16</v>
      </c>
      <c r="I244" t="s">
        <v>203</v>
      </c>
      <c r="J244" t="s">
        <v>194</v>
      </c>
      <c r="K244">
        <v>8</v>
      </c>
      <c r="L244" s="12">
        <v>1090</v>
      </c>
      <c r="M244" s="12">
        <v>790</v>
      </c>
      <c r="N244" s="14">
        <v>0.1</v>
      </c>
      <c r="O244" t="s">
        <v>172</v>
      </c>
      <c r="P244" t="s">
        <v>34</v>
      </c>
    </row>
    <row r="245" spans="1:16">
      <c r="A245" t="s">
        <v>670</v>
      </c>
      <c r="B245" s="13">
        <v>45933</v>
      </c>
      <c r="C245" t="s">
        <v>525</v>
      </c>
      <c r="D245" t="s">
        <v>473</v>
      </c>
      <c r="E245" t="s">
        <v>308</v>
      </c>
      <c r="F245" t="s">
        <v>309</v>
      </c>
      <c r="G245" t="s">
        <v>19</v>
      </c>
      <c r="H245" t="s">
        <v>12</v>
      </c>
      <c r="I245" t="s">
        <v>203</v>
      </c>
      <c r="J245" t="s">
        <v>194</v>
      </c>
      <c r="K245">
        <v>7</v>
      </c>
      <c r="L245" s="12">
        <v>265</v>
      </c>
      <c r="M245" s="12">
        <v>155</v>
      </c>
      <c r="N245" s="14">
        <v>0.15</v>
      </c>
      <c r="O245" t="s">
        <v>226</v>
      </c>
      <c r="P245" t="s">
        <v>34</v>
      </c>
    </row>
    <row r="246" spans="1:16">
      <c r="A246" t="s">
        <v>671</v>
      </c>
      <c r="B246" s="13">
        <v>45875</v>
      </c>
      <c r="C246" t="s">
        <v>211</v>
      </c>
      <c r="D246" t="s">
        <v>375</v>
      </c>
      <c r="E246" t="s">
        <v>183</v>
      </c>
      <c r="F246" t="s">
        <v>184</v>
      </c>
      <c r="G246" t="s">
        <v>20</v>
      </c>
      <c r="H246" t="s">
        <v>14</v>
      </c>
      <c r="I246" t="s">
        <v>203</v>
      </c>
      <c r="J246" t="s">
        <v>194</v>
      </c>
      <c r="K246">
        <v>9</v>
      </c>
      <c r="L246" s="12">
        <v>230</v>
      </c>
      <c r="M246" s="12">
        <v>132</v>
      </c>
      <c r="N246" s="14">
        <v>0.1</v>
      </c>
      <c r="O246" t="s">
        <v>179</v>
      </c>
      <c r="P246" t="s">
        <v>34</v>
      </c>
    </row>
    <row r="247" spans="1:16">
      <c r="A247" t="s">
        <v>672</v>
      </c>
      <c r="B247" s="13">
        <v>45674</v>
      </c>
      <c r="C247" t="s">
        <v>367</v>
      </c>
      <c r="D247" t="s">
        <v>673</v>
      </c>
      <c r="E247" t="s">
        <v>168</v>
      </c>
      <c r="F247" t="s">
        <v>169</v>
      </c>
      <c r="G247" t="s">
        <v>19</v>
      </c>
      <c r="H247" t="s">
        <v>13</v>
      </c>
      <c r="I247" t="s">
        <v>203</v>
      </c>
      <c r="J247" t="s">
        <v>178</v>
      </c>
      <c r="K247">
        <v>11</v>
      </c>
      <c r="L247" s="12">
        <v>85</v>
      </c>
      <c r="M247" s="12">
        <v>44</v>
      </c>
      <c r="N247" s="14">
        <v>0.1</v>
      </c>
      <c r="O247" t="s">
        <v>172</v>
      </c>
      <c r="P247" t="s">
        <v>187</v>
      </c>
    </row>
    <row r="248" spans="1:16">
      <c r="A248" t="s">
        <v>674</v>
      </c>
      <c r="B248" s="13">
        <v>45675</v>
      </c>
      <c r="C248" t="s">
        <v>596</v>
      </c>
      <c r="D248" t="s">
        <v>619</v>
      </c>
      <c r="E248" t="s">
        <v>176</v>
      </c>
      <c r="F248" t="s">
        <v>177</v>
      </c>
      <c r="G248" t="s">
        <v>20</v>
      </c>
      <c r="H248" t="s">
        <v>13</v>
      </c>
      <c r="I248" t="s">
        <v>170</v>
      </c>
      <c r="J248" t="s">
        <v>178</v>
      </c>
      <c r="K248">
        <v>8</v>
      </c>
      <c r="L248" s="12">
        <v>195</v>
      </c>
      <c r="M248" s="12">
        <v>105</v>
      </c>
      <c r="N248" s="14">
        <v>0.15</v>
      </c>
      <c r="O248" t="s">
        <v>226</v>
      </c>
      <c r="P248" t="s">
        <v>213</v>
      </c>
    </row>
    <row r="249" spans="1:16">
      <c r="A249" t="s">
        <v>675</v>
      </c>
      <c r="B249" s="13">
        <v>45777</v>
      </c>
      <c r="C249" t="s">
        <v>340</v>
      </c>
      <c r="D249" t="s">
        <v>470</v>
      </c>
      <c r="E249" t="s">
        <v>284</v>
      </c>
      <c r="F249" t="s">
        <v>285</v>
      </c>
      <c r="G249" t="s">
        <v>21</v>
      </c>
      <c r="H249" t="s">
        <v>14</v>
      </c>
      <c r="I249" t="s">
        <v>203</v>
      </c>
      <c r="J249" t="s">
        <v>171</v>
      </c>
      <c r="K249">
        <v>9</v>
      </c>
      <c r="L249" s="12">
        <v>1450</v>
      </c>
      <c r="M249" s="12">
        <v>1030</v>
      </c>
      <c r="N249" s="14">
        <v>0</v>
      </c>
      <c r="O249" t="s">
        <v>186</v>
      </c>
      <c r="P249" t="s">
        <v>34</v>
      </c>
    </row>
    <row r="250" spans="1:16">
      <c r="A250" t="s">
        <v>676</v>
      </c>
      <c r="B250" s="13">
        <v>45964</v>
      </c>
      <c r="C250" t="s">
        <v>394</v>
      </c>
      <c r="D250" t="s">
        <v>443</v>
      </c>
      <c r="E250" t="s">
        <v>176</v>
      </c>
      <c r="F250" t="s">
        <v>177</v>
      </c>
      <c r="G250" t="s">
        <v>20</v>
      </c>
      <c r="H250" t="s">
        <v>16</v>
      </c>
      <c r="I250" t="s">
        <v>203</v>
      </c>
      <c r="J250" t="s">
        <v>185</v>
      </c>
      <c r="K250">
        <v>11</v>
      </c>
      <c r="L250" s="12">
        <v>195</v>
      </c>
      <c r="M250" s="12">
        <v>105</v>
      </c>
      <c r="N250" s="14">
        <v>0.05</v>
      </c>
      <c r="O250" t="s">
        <v>186</v>
      </c>
      <c r="P250" t="s">
        <v>34</v>
      </c>
    </row>
    <row r="251" spans="1:16">
      <c r="A251" t="s">
        <v>677</v>
      </c>
      <c r="B251" s="13">
        <v>45689</v>
      </c>
      <c r="C251" t="s">
        <v>412</v>
      </c>
      <c r="D251" t="s">
        <v>678</v>
      </c>
      <c r="E251" t="s">
        <v>191</v>
      </c>
      <c r="F251" t="s">
        <v>192</v>
      </c>
      <c r="G251" t="s">
        <v>20</v>
      </c>
      <c r="H251" t="s">
        <v>15</v>
      </c>
      <c r="I251" t="s">
        <v>170</v>
      </c>
      <c r="J251" t="s">
        <v>185</v>
      </c>
      <c r="K251">
        <v>9</v>
      </c>
      <c r="L251" s="12">
        <v>720</v>
      </c>
      <c r="M251" s="12">
        <v>510</v>
      </c>
      <c r="N251" s="14">
        <v>0.15</v>
      </c>
      <c r="O251" t="s">
        <v>172</v>
      </c>
      <c r="P251" t="s">
        <v>213</v>
      </c>
    </row>
    <row r="252" spans="1:16">
      <c r="A252" t="s">
        <v>679</v>
      </c>
      <c r="B252" s="13">
        <v>45987</v>
      </c>
      <c r="C252" t="s">
        <v>591</v>
      </c>
      <c r="D252" t="s">
        <v>267</v>
      </c>
      <c r="E252" t="s">
        <v>217</v>
      </c>
      <c r="F252" t="s">
        <v>218</v>
      </c>
      <c r="G252" t="s">
        <v>20</v>
      </c>
      <c r="H252" t="s">
        <v>15</v>
      </c>
      <c r="I252" t="s">
        <v>193</v>
      </c>
      <c r="J252" t="s">
        <v>204</v>
      </c>
      <c r="K252">
        <v>11</v>
      </c>
      <c r="L252" s="12">
        <v>1090</v>
      </c>
      <c r="M252" s="12">
        <v>790</v>
      </c>
      <c r="N252" s="14">
        <v>0.1</v>
      </c>
      <c r="O252" t="s">
        <v>186</v>
      </c>
      <c r="P252" t="s">
        <v>187</v>
      </c>
    </row>
    <row r="253" spans="1:16">
      <c r="A253" t="s">
        <v>680</v>
      </c>
      <c r="B253" s="13">
        <v>45752</v>
      </c>
      <c r="C253" t="s">
        <v>491</v>
      </c>
      <c r="D253" t="s">
        <v>473</v>
      </c>
      <c r="E253" t="s">
        <v>208</v>
      </c>
      <c r="F253" t="s">
        <v>209</v>
      </c>
      <c r="G253" t="s">
        <v>21</v>
      </c>
      <c r="H253" t="s">
        <v>14</v>
      </c>
      <c r="I253" t="s">
        <v>170</v>
      </c>
      <c r="J253" t="s">
        <v>204</v>
      </c>
      <c r="K253">
        <v>9</v>
      </c>
      <c r="L253" s="12">
        <v>840</v>
      </c>
      <c r="M253" s="12">
        <v>590</v>
      </c>
      <c r="N253" s="14">
        <v>0.1</v>
      </c>
      <c r="O253" t="s">
        <v>226</v>
      </c>
      <c r="P253" t="s">
        <v>34</v>
      </c>
    </row>
    <row r="254" spans="1:16">
      <c r="A254" t="s">
        <v>681</v>
      </c>
      <c r="B254" s="13">
        <v>45945</v>
      </c>
      <c r="C254" t="s">
        <v>469</v>
      </c>
      <c r="D254" t="s">
        <v>594</v>
      </c>
      <c r="E254" t="s">
        <v>198</v>
      </c>
      <c r="F254" t="s">
        <v>199</v>
      </c>
      <c r="G254" t="s">
        <v>19</v>
      </c>
      <c r="H254" t="s">
        <v>15</v>
      </c>
      <c r="I254" t="s">
        <v>203</v>
      </c>
      <c r="J254" t="s">
        <v>194</v>
      </c>
      <c r="K254">
        <v>7</v>
      </c>
      <c r="L254" s="12">
        <v>95</v>
      </c>
      <c r="M254" s="12">
        <v>52</v>
      </c>
      <c r="N254" s="14">
        <v>0.1</v>
      </c>
      <c r="O254" t="s">
        <v>179</v>
      </c>
      <c r="P254" t="s">
        <v>187</v>
      </c>
    </row>
    <row r="255" spans="1:16">
      <c r="A255" t="s">
        <v>682</v>
      </c>
      <c r="B255" s="13">
        <v>45989</v>
      </c>
      <c r="C255" t="s">
        <v>189</v>
      </c>
      <c r="D255" t="s">
        <v>261</v>
      </c>
      <c r="E255" t="s">
        <v>217</v>
      </c>
      <c r="F255" t="s">
        <v>218</v>
      </c>
      <c r="G255" t="s">
        <v>20</v>
      </c>
      <c r="H255" t="s">
        <v>13</v>
      </c>
      <c r="I255" t="s">
        <v>203</v>
      </c>
      <c r="J255" t="s">
        <v>194</v>
      </c>
      <c r="K255">
        <v>2</v>
      </c>
      <c r="L255" s="12">
        <v>1090</v>
      </c>
      <c r="M255" s="12">
        <v>790</v>
      </c>
      <c r="N255" s="14">
        <v>0.1</v>
      </c>
      <c r="O255" t="s">
        <v>226</v>
      </c>
      <c r="P255" t="s">
        <v>34</v>
      </c>
    </row>
    <row r="256" spans="1:16">
      <c r="A256" t="s">
        <v>683</v>
      </c>
      <c r="B256" s="13">
        <v>45966</v>
      </c>
      <c r="C256" t="s">
        <v>381</v>
      </c>
      <c r="D256" t="s">
        <v>249</v>
      </c>
      <c r="E256" t="s">
        <v>176</v>
      </c>
      <c r="F256" t="s">
        <v>177</v>
      </c>
      <c r="G256" t="s">
        <v>20</v>
      </c>
      <c r="H256" t="s">
        <v>16</v>
      </c>
      <c r="I256" t="s">
        <v>203</v>
      </c>
      <c r="J256" t="s">
        <v>185</v>
      </c>
      <c r="K256">
        <v>1</v>
      </c>
      <c r="L256" s="12">
        <v>195</v>
      </c>
      <c r="M256" s="12">
        <v>105</v>
      </c>
      <c r="N256" s="14">
        <v>0</v>
      </c>
      <c r="O256" t="s">
        <v>179</v>
      </c>
      <c r="P256" t="s">
        <v>34</v>
      </c>
    </row>
    <row r="257" spans="1:16">
      <c r="A257" t="s">
        <v>684</v>
      </c>
      <c r="B257" s="13">
        <v>45813</v>
      </c>
      <c r="C257" t="s">
        <v>399</v>
      </c>
      <c r="D257" t="s">
        <v>431</v>
      </c>
      <c r="E257" t="s">
        <v>217</v>
      </c>
      <c r="F257" t="s">
        <v>218</v>
      </c>
      <c r="G257" t="s">
        <v>20</v>
      </c>
      <c r="H257" t="s">
        <v>15</v>
      </c>
      <c r="I257" t="s">
        <v>203</v>
      </c>
      <c r="J257" t="s">
        <v>171</v>
      </c>
      <c r="K257">
        <v>1</v>
      </c>
      <c r="L257" s="12">
        <v>1090</v>
      </c>
      <c r="M257" s="12">
        <v>790</v>
      </c>
      <c r="N257" s="14">
        <v>0</v>
      </c>
      <c r="O257" t="s">
        <v>179</v>
      </c>
      <c r="P257" t="s">
        <v>34</v>
      </c>
    </row>
    <row r="258" spans="1:16">
      <c r="A258" t="s">
        <v>685</v>
      </c>
      <c r="B258" s="13">
        <v>45780</v>
      </c>
      <c r="C258" t="s">
        <v>686</v>
      </c>
      <c r="D258" t="s">
        <v>258</v>
      </c>
      <c r="E258" t="s">
        <v>208</v>
      </c>
      <c r="F258" t="s">
        <v>209</v>
      </c>
      <c r="G258" t="s">
        <v>21</v>
      </c>
      <c r="H258" t="s">
        <v>16</v>
      </c>
      <c r="I258" t="s">
        <v>170</v>
      </c>
      <c r="J258" t="s">
        <v>194</v>
      </c>
      <c r="K258">
        <v>9</v>
      </c>
      <c r="L258" s="12">
        <v>840</v>
      </c>
      <c r="M258" s="12">
        <v>590</v>
      </c>
      <c r="N258" s="14">
        <v>0.05</v>
      </c>
      <c r="O258" t="s">
        <v>186</v>
      </c>
      <c r="P258" t="s">
        <v>34</v>
      </c>
    </row>
    <row r="259" spans="1:16">
      <c r="A259" t="s">
        <v>687</v>
      </c>
      <c r="B259" s="13">
        <v>45842</v>
      </c>
      <c r="C259" t="s">
        <v>688</v>
      </c>
      <c r="D259" t="s">
        <v>312</v>
      </c>
      <c r="E259" t="s">
        <v>191</v>
      </c>
      <c r="F259" t="s">
        <v>192</v>
      </c>
      <c r="G259" t="s">
        <v>20</v>
      </c>
      <c r="H259" t="s">
        <v>14</v>
      </c>
      <c r="I259" t="s">
        <v>203</v>
      </c>
      <c r="J259" t="s">
        <v>194</v>
      </c>
      <c r="K259">
        <v>9</v>
      </c>
      <c r="L259" s="12">
        <v>720</v>
      </c>
      <c r="M259" s="12">
        <v>510</v>
      </c>
      <c r="N259" s="14">
        <v>0.1</v>
      </c>
      <c r="O259" t="s">
        <v>186</v>
      </c>
      <c r="P259" t="s">
        <v>34</v>
      </c>
    </row>
    <row r="260" spans="1:16">
      <c r="A260" t="s">
        <v>689</v>
      </c>
      <c r="B260" s="13">
        <v>45681</v>
      </c>
      <c r="C260" t="s">
        <v>472</v>
      </c>
      <c r="D260" t="s">
        <v>673</v>
      </c>
      <c r="E260" t="s">
        <v>208</v>
      </c>
      <c r="F260" t="s">
        <v>209</v>
      </c>
      <c r="G260" t="s">
        <v>21</v>
      </c>
      <c r="H260" t="s">
        <v>14</v>
      </c>
      <c r="I260" t="s">
        <v>170</v>
      </c>
      <c r="J260" t="s">
        <v>171</v>
      </c>
      <c r="K260">
        <v>10</v>
      </c>
      <c r="L260" s="12">
        <v>840</v>
      </c>
      <c r="M260" s="12">
        <v>590</v>
      </c>
      <c r="N260" s="14">
        <v>0</v>
      </c>
      <c r="O260" t="s">
        <v>226</v>
      </c>
      <c r="P260" t="s">
        <v>213</v>
      </c>
    </row>
    <row r="261" spans="1:16">
      <c r="A261" t="s">
        <v>690</v>
      </c>
      <c r="B261" s="13">
        <v>45736</v>
      </c>
      <c r="C261" t="s">
        <v>686</v>
      </c>
      <c r="D261" t="s">
        <v>275</v>
      </c>
      <c r="E261" t="s">
        <v>191</v>
      </c>
      <c r="F261" t="s">
        <v>192</v>
      </c>
      <c r="G261" t="s">
        <v>20</v>
      </c>
      <c r="H261" t="s">
        <v>13</v>
      </c>
      <c r="I261" t="s">
        <v>193</v>
      </c>
      <c r="J261" t="s">
        <v>171</v>
      </c>
      <c r="K261">
        <v>4</v>
      </c>
      <c r="L261" s="12">
        <v>720</v>
      </c>
      <c r="M261" s="12">
        <v>510</v>
      </c>
      <c r="N261" s="14">
        <v>0.05</v>
      </c>
      <c r="O261" t="s">
        <v>186</v>
      </c>
      <c r="P261" t="s">
        <v>34</v>
      </c>
    </row>
    <row r="262" spans="1:16">
      <c r="B262" s="13">
        <v>45908</v>
      </c>
      <c r="C262" t="s">
        <v>345</v>
      </c>
      <c r="D262" t="s">
        <v>375</v>
      </c>
      <c r="E262" t="s">
        <v>191</v>
      </c>
      <c r="F262" t="s">
        <v>192</v>
      </c>
      <c r="G262" t="s">
        <v>20</v>
      </c>
      <c r="H262" t="s">
        <v>13</v>
      </c>
      <c r="I262" t="s">
        <v>170</v>
      </c>
      <c r="J262" t="s">
        <v>194</v>
      </c>
      <c r="K262">
        <v>12</v>
      </c>
      <c r="L262" s="12">
        <v>720</v>
      </c>
      <c r="M262" s="12">
        <v>510</v>
      </c>
      <c r="N262" s="14">
        <v>0.2</v>
      </c>
      <c r="O262" t="s">
        <v>179</v>
      </c>
      <c r="P262" t="s">
        <v>213</v>
      </c>
    </row>
    <row r="263" spans="1:16">
      <c r="A263" t="s">
        <v>691</v>
      </c>
      <c r="B263" s="13">
        <v>45937</v>
      </c>
      <c r="C263" t="s">
        <v>280</v>
      </c>
      <c r="D263" t="s">
        <v>636</v>
      </c>
      <c r="E263" t="s">
        <v>308</v>
      </c>
      <c r="F263" t="s">
        <v>309</v>
      </c>
      <c r="G263" t="s">
        <v>19</v>
      </c>
      <c r="H263" t="s">
        <v>16</v>
      </c>
      <c r="I263" t="s">
        <v>203</v>
      </c>
      <c r="J263" t="s">
        <v>178</v>
      </c>
      <c r="K263">
        <v>8</v>
      </c>
      <c r="L263" s="12">
        <v>265</v>
      </c>
      <c r="M263" s="12">
        <v>155</v>
      </c>
      <c r="N263" s="14">
        <v>0</v>
      </c>
      <c r="O263" t="s">
        <v>172</v>
      </c>
      <c r="P263" t="s">
        <v>187</v>
      </c>
    </row>
    <row r="264" spans="1:16">
      <c r="A264" t="s">
        <v>692</v>
      </c>
      <c r="B264" s="13">
        <v>45869</v>
      </c>
      <c r="C264" t="s">
        <v>350</v>
      </c>
      <c r="D264" t="s">
        <v>693</v>
      </c>
      <c r="E264" t="s">
        <v>198</v>
      </c>
      <c r="F264" t="s">
        <v>199</v>
      </c>
      <c r="G264" t="s">
        <v>19</v>
      </c>
      <c r="H264" t="s">
        <v>12</v>
      </c>
      <c r="I264" t="s">
        <v>203</v>
      </c>
      <c r="J264" t="s">
        <v>171</v>
      </c>
      <c r="K264">
        <v>3</v>
      </c>
      <c r="L264" s="12">
        <v>95</v>
      </c>
      <c r="M264" s="12">
        <v>52</v>
      </c>
      <c r="N264" s="14">
        <v>0.2</v>
      </c>
      <c r="O264" t="s">
        <v>226</v>
      </c>
      <c r="P264" t="s">
        <v>34</v>
      </c>
    </row>
    <row r="265" spans="1:16">
      <c r="A265" t="s">
        <v>694</v>
      </c>
      <c r="B265" s="13">
        <v>45688</v>
      </c>
      <c r="C265" t="s">
        <v>642</v>
      </c>
      <c r="D265" t="s">
        <v>489</v>
      </c>
      <c r="E265" t="s">
        <v>217</v>
      </c>
      <c r="F265" t="s">
        <v>218</v>
      </c>
      <c r="G265" t="s">
        <v>20</v>
      </c>
      <c r="H265" t="s">
        <v>15</v>
      </c>
      <c r="I265" t="s">
        <v>170</v>
      </c>
      <c r="J265" t="s">
        <v>185</v>
      </c>
      <c r="K265">
        <v>10</v>
      </c>
      <c r="L265" s="12">
        <v>1090</v>
      </c>
      <c r="M265" s="12">
        <v>790</v>
      </c>
      <c r="N265" s="14">
        <v>0.2</v>
      </c>
      <c r="O265" t="s">
        <v>172</v>
      </c>
      <c r="P265" t="s">
        <v>213</v>
      </c>
    </row>
    <row r="266" spans="1:16">
      <c r="A266" t="s">
        <v>695</v>
      </c>
      <c r="B266" s="13">
        <v>45930</v>
      </c>
      <c r="C266" t="s">
        <v>362</v>
      </c>
      <c r="D266" t="s">
        <v>696</v>
      </c>
      <c r="E266" t="s">
        <v>198</v>
      </c>
      <c r="F266" t="s">
        <v>199</v>
      </c>
      <c r="G266" t="s">
        <v>19</v>
      </c>
      <c r="H266" t="s">
        <v>14</v>
      </c>
      <c r="I266" t="s">
        <v>170</v>
      </c>
      <c r="J266" t="s">
        <v>194</v>
      </c>
      <c r="K266">
        <v>9</v>
      </c>
      <c r="L266" s="12">
        <v>95</v>
      </c>
      <c r="M266" s="12">
        <v>52</v>
      </c>
      <c r="N266" s="14">
        <v>0.1</v>
      </c>
      <c r="O266" t="s">
        <v>172</v>
      </c>
      <c r="P266" t="s">
        <v>34</v>
      </c>
    </row>
    <row r="267" spans="1:16">
      <c r="A267" t="s">
        <v>697</v>
      </c>
      <c r="B267" s="13">
        <v>46015</v>
      </c>
      <c r="C267" t="s">
        <v>462</v>
      </c>
      <c r="D267" t="s">
        <v>656</v>
      </c>
      <c r="E267" t="s">
        <v>183</v>
      </c>
      <c r="F267" t="s">
        <v>184</v>
      </c>
      <c r="G267" t="s">
        <v>20</v>
      </c>
      <c r="H267" t="s">
        <v>16</v>
      </c>
      <c r="I267" t="s">
        <v>203</v>
      </c>
      <c r="J267" t="s">
        <v>204</v>
      </c>
      <c r="K267">
        <v>11</v>
      </c>
      <c r="L267" s="12">
        <v>230</v>
      </c>
      <c r="M267" s="12">
        <v>132</v>
      </c>
      <c r="N267" s="14">
        <v>0.1</v>
      </c>
      <c r="O267" t="s">
        <v>179</v>
      </c>
      <c r="P267" t="s">
        <v>34</v>
      </c>
    </row>
    <row r="268" spans="1:16">
      <c r="A268" t="s">
        <v>698</v>
      </c>
      <c r="B268" s="13">
        <v>45927</v>
      </c>
      <c r="C268" t="s">
        <v>699</v>
      </c>
      <c r="D268" t="s">
        <v>700</v>
      </c>
      <c r="E268" t="s">
        <v>176</v>
      </c>
      <c r="F268" t="s">
        <v>177</v>
      </c>
      <c r="G268" t="s">
        <v>20</v>
      </c>
      <c r="H268" t="s">
        <v>12</v>
      </c>
      <c r="I268" t="s">
        <v>193</v>
      </c>
      <c r="J268" t="s">
        <v>185</v>
      </c>
      <c r="K268">
        <v>5</v>
      </c>
      <c r="L268" s="12">
        <v>195</v>
      </c>
      <c r="M268" s="12">
        <v>105</v>
      </c>
      <c r="N268" s="14">
        <v>0.05</v>
      </c>
      <c r="O268" t="s">
        <v>226</v>
      </c>
      <c r="P268" t="s">
        <v>34</v>
      </c>
    </row>
    <row r="269" spans="1:16">
      <c r="A269" t="s">
        <v>701</v>
      </c>
      <c r="B269" s="13">
        <v>45782</v>
      </c>
      <c r="C269" t="s">
        <v>402</v>
      </c>
      <c r="D269" t="s">
        <v>510</v>
      </c>
      <c r="E269" t="s">
        <v>176</v>
      </c>
      <c r="F269" t="s">
        <v>177</v>
      </c>
      <c r="G269" t="s">
        <v>20</v>
      </c>
      <c r="H269" t="s">
        <v>12</v>
      </c>
      <c r="I269" t="s">
        <v>203</v>
      </c>
      <c r="J269" t="s">
        <v>185</v>
      </c>
      <c r="K269">
        <v>12</v>
      </c>
      <c r="L269" s="12">
        <v>195</v>
      </c>
      <c r="M269" s="12">
        <v>105</v>
      </c>
      <c r="N269" s="14">
        <v>0</v>
      </c>
      <c r="O269" t="s">
        <v>226</v>
      </c>
      <c r="P269" t="s">
        <v>34</v>
      </c>
    </row>
    <row r="270" spans="1:16">
      <c r="A270" t="s">
        <v>702</v>
      </c>
      <c r="B270" s="13">
        <v>45940</v>
      </c>
      <c r="C270" t="s">
        <v>298</v>
      </c>
      <c r="D270" t="s">
        <v>703</v>
      </c>
      <c r="E270" t="s">
        <v>208</v>
      </c>
      <c r="F270" t="s">
        <v>209</v>
      </c>
      <c r="G270" t="s">
        <v>21</v>
      </c>
      <c r="H270" t="s">
        <v>13</v>
      </c>
      <c r="I270" t="s">
        <v>203</v>
      </c>
      <c r="J270" t="s">
        <v>185</v>
      </c>
      <c r="K270">
        <v>8</v>
      </c>
      <c r="L270" s="12">
        <v>840</v>
      </c>
      <c r="M270" s="12">
        <v>590</v>
      </c>
      <c r="N270" s="14">
        <v>0</v>
      </c>
      <c r="O270" t="s">
        <v>226</v>
      </c>
      <c r="P270" t="s">
        <v>213</v>
      </c>
    </row>
    <row r="271" spans="1:16">
      <c r="A271" t="s">
        <v>704</v>
      </c>
      <c r="B271" s="13">
        <v>45947</v>
      </c>
      <c r="C271" t="s">
        <v>248</v>
      </c>
      <c r="D271" t="s">
        <v>243</v>
      </c>
      <c r="E271" t="s">
        <v>217</v>
      </c>
      <c r="F271" t="s">
        <v>218</v>
      </c>
      <c r="G271" t="s">
        <v>20</v>
      </c>
      <c r="H271" t="s">
        <v>16</v>
      </c>
      <c r="I271" t="s">
        <v>193</v>
      </c>
      <c r="J271" t="s">
        <v>194</v>
      </c>
      <c r="K271">
        <v>2</v>
      </c>
      <c r="L271" s="12">
        <v>1090</v>
      </c>
      <c r="M271" s="12">
        <v>790</v>
      </c>
      <c r="N271" s="14">
        <v>0.15</v>
      </c>
      <c r="O271" t="s">
        <v>172</v>
      </c>
      <c r="P271" t="s">
        <v>34</v>
      </c>
    </row>
    <row r="272" spans="1:16">
      <c r="A272" t="s">
        <v>705</v>
      </c>
      <c r="B272" s="13">
        <v>46008</v>
      </c>
      <c r="C272" t="s">
        <v>201</v>
      </c>
      <c r="D272" t="s">
        <v>706</v>
      </c>
      <c r="E272" t="s">
        <v>168</v>
      </c>
      <c r="F272" t="s">
        <v>169</v>
      </c>
      <c r="G272" t="s">
        <v>19</v>
      </c>
      <c r="H272" t="s">
        <v>13</v>
      </c>
      <c r="I272" t="s">
        <v>193</v>
      </c>
      <c r="J272" t="s">
        <v>178</v>
      </c>
      <c r="K272">
        <v>5</v>
      </c>
      <c r="L272" s="12">
        <v>85</v>
      </c>
      <c r="M272" s="12">
        <v>44</v>
      </c>
      <c r="N272" s="14">
        <v>0.15</v>
      </c>
      <c r="O272" t="s">
        <v>179</v>
      </c>
      <c r="P272" t="s">
        <v>187</v>
      </c>
    </row>
    <row r="273" spans="1:16">
      <c r="A273" t="s">
        <v>707</v>
      </c>
      <c r="B273" s="13">
        <v>45731</v>
      </c>
      <c r="C273" t="s">
        <v>394</v>
      </c>
      <c r="D273" t="s">
        <v>212</v>
      </c>
      <c r="E273" t="s">
        <v>176</v>
      </c>
      <c r="F273" t="s">
        <v>177</v>
      </c>
      <c r="G273" t="s">
        <v>20</v>
      </c>
      <c r="H273" t="s">
        <v>16</v>
      </c>
      <c r="I273" t="s">
        <v>203</v>
      </c>
      <c r="J273" t="s">
        <v>171</v>
      </c>
      <c r="K273">
        <v>12</v>
      </c>
      <c r="L273" s="12">
        <v>195</v>
      </c>
      <c r="M273" s="12">
        <v>105</v>
      </c>
      <c r="N273" s="14">
        <v>0.1</v>
      </c>
      <c r="O273" t="s">
        <v>226</v>
      </c>
      <c r="P273" t="s">
        <v>34</v>
      </c>
    </row>
    <row r="274" spans="1:16">
      <c r="A274" t="s">
        <v>708</v>
      </c>
      <c r="B274" s="13">
        <v>45827</v>
      </c>
      <c r="C274" t="s">
        <v>699</v>
      </c>
      <c r="D274" t="s">
        <v>709</v>
      </c>
      <c r="E274" t="s">
        <v>183</v>
      </c>
      <c r="F274" t="s">
        <v>184</v>
      </c>
      <c r="G274" t="s">
        <v>20</v>
      </c>
      <c r="H274" t="s">
        <v>12</v>
      </c>
      <c r="I274" t="s">
        <v>170</v>
      </c>
      <c r="J274" t="s">
        <v>194</v>
      </c>
      <c r="K274">
        <v>7</v>
      </c>
      <c r="L274" s="12">
        <v>230</v>
      </c>
      <c r="M274" s="12">
        <v>132</v>
      </c>
      <c r="N274" s="14">
        <v>0.2</v>
      </c>
      <c r="O274" t="s">
        <v>172</v>
      </c>
      <c r="P274" t="s">
        <v>34</v>
      </c>
    </row>
    <row r="275" spans="1:16">
      <c r="A275" t="s">
        <v>710</v>
      </c>
      <c r="B275" s="13">
        <v>45881</v>
      </c>
      <c r="C275" t="s">
        <v>404</v>
      </c>
      <c r="D275" t="s">
        <v>489</v>
      </c>
      <c r="E275" t="s">
        <v>168</v>
      </c>
      <c r="F275" t="s">
        <v>169</v>
      </c>
      <c r="G275" t="s">
        <v>19</v>
      </c>
      <c r="H275" t="s">
        <v>16</v>
      </c>
      <c r="I275" t="s">
        <v>193</v>
      </c>
      <c r="J275" t="s">
        <v>194</v>
      </c>
      <c r="K275">
        <v>4</v>
      </c>
      <c r="L275" s="12">
        <v>85</v>
      </c>
      <c r="M275" s="12">
        <v>44</v>
      </c>
      <c r="N275" s="14">
        <v>0</v>
      </c>
      <c r="O275" t="s">
        <v>172</v>
      </c>
      <c r="P275" t="s">
        <v>34</v>
      </c>
    </row>
    <row r="276" spans="1:16">
      <c r="A276" t="s">
        <v>711</v>
      </c>
      <c r="B276" s="13">
        <v>45888</v>
      </c>
      <c r="C276" t="s">
        <v>433</v>
      </c>
      <c r="D276" t="s">
        <v>712</v>
      </c>
      <c r="E276" t="s">
        <v>191</v>
      </c>
      <c r="F276" t="s">
        <v>192</v>
      </c>
      <c r="G276" t="s">
        <v>20</v>
      </c>
      <c r="H276" t="s">
        <v>15</v>
      </c>
      <c r="I276" t="s">
        <v>203</v>
      </c>
      <c r="J276" t="s">
        <v>171</v>
      </c>
      <c r="K276">
        <v>8</v>
      </c>
      <c r="L276" s="12">
        <v>720</v>
      </c>
      <c r="M276" s="12">
        <v>510</v>
      </c>
      <c r="N276" s="14">
        <v>0</v>
      </c>
      <c r="O276" t="s">
        <v>226</v>
      </c>
      <c r="P276" t="s">
        <v>34</v>
      </c>
    </row>
    <row r="277" spans="1:16">
      <c r="A277" t="s">
        <v>713</v>
      </c>
      <c r="B277" s="13">
        <v>45974</v>
      </c>
      <c r="C277" t="s">
        <v>586</v>
      </c>
      <c r="D277" t="s">
        <v>714</v>
      </c>
      <c r="E277" t="s">
        <v>168</v>
      </c>
      <c r="F277" t="s">
        <v>169</v>
      </c>
      <c r="G277" t="s">
        <v>19</v>
      </c>
      <c r="H277" t="s">
        <v>14</v>
      </c>
      <c r="I277" t="s">
        <v>203</v>
      </c>
      <c r="J277" t="s">
        <v>185</v>
      </c>
      <c r="K277">
        <v>5</v>
      </c>
      <c r="L277" s="12">
        <v>85</v>
      </c>
      <c r="M277" s="12">
        <v>44</v>
      </c>
      <c r="N277" s="14">
        <v>0</v>
      </c>
      <c r="O277" t="s">
        <v>179</v>
      </c>
      <c r="P277" t="s">
        <v>213</v>
      </c>
    </row>
    <row r="278" spans="1:16">
      <c r="A278" t="s">
        <v>715</v>
      </c>
      <c r="B278" s="13">
        <v>45820</v>
      </c>
      <c r="C278" t="s">
        <v>337</v>
      </c>
      <c r="D278" t="s">
        <v>617</v>
      </c>
      <c r="E278" t="s">
        <v>208</v>
      </c>
      <c r="F278" t="s">
        <v>209</v>
      </c>
      <c r="G278" t="s">
        <v>21</v>
      </c>
      <c r="H278" t="s">
        <v>15</v>
      </c>
      <c r="I278" t="s">
        <v>193</v>
      </c>
      <c r="J278" t="s">
        <v>194</v>
      </c>
      <c r="K278">
        <v>6</v>
      </c>
      <c r="L278" s="12">
        <v>840</v>
      </c>
      <c r="M278" s="12">
        <v>590</v>
      </c>
      <c r="N278" s="14">
        <v>0</v>
      </c>
      <c r="O278" t="s">
        <v>172</v>
      </c>
      <c r="P278" t="s">
        <v>34</v>
      </c>
    </row>
    <row r="279" spans="1:16">
      <c r="A279" t="s">
        <v>716</v>
      </c>
      <c r="B279" s="13">
        <v>45702</v>
      </c>
      <c r="C279" t="s">
        <v>640</v>
      </c>
      <c r="D279" t="s">
        <v>717</v>
      </c>
      <c r="E279" t="s">
        <v>308</v>
      </c>
      <c r="F279" t="s">
        <v>309</v>
      </c>
      <c r="G279" t="s">
        <v>19</v>
      </c>
      <c r="H279" t="s">
        <v>16</v>
      </c>
      <c r="I279" t="s">
        <v>193</v>
      </c>
      <c r="J279" t="s">
        <v>178</v>
      </c>
      <c r="K279">
        <v>3</v>
      </c>
      <c r="L279" s="12">
        <v>265</v>
      </c>
      <c r="M279" s="12">
        <v>155</v>
      </c>
      <c r="N279" s="14">
        <v>0.1</v>
      </c>
      <c r="O279" t="s">
        <v>172</v>
      </c>
      <c r="P279" t="s">
        <v>34</v>
      </c>
    </row>
    <row r="280" spans="1:16">
      <c r="A280" t="s">
        <v>718</v>
      </c>
      <c r="B280" s="13">
        <v>45839</v>
      </c>
      <c r="C280" t="s">
        <v>318</v>
      </c>
      <c r="D280" t="s">
        <v>614</v>
      </c>
      <c r="E280" t="s">
        <v>168</v>
      </c>
      <c r="F280" t="s">
        <v>169</v>
      </c>
      <c r="G280" t="s">
        <v>19</v>
      </c>
      <c r="H280" t="s">
        <v>15</v>
      </c>
      <c r="I280" t="s">
        <v>203</v>
      </c>
      <c r="J280" t="s">
        <v>194</v>
      </c>
      <c r="K280">
        <v>9</v>
      </c>
      <c r="L280" s="12">
        <v>85</v>
      </c>
      <c r="M280" s="12">
        <v>44</v>
      </c>
      <c r="N280" s="14">
        <v>0</v>
      </c>
      <c r="O280" t="s">
        <v>226</v>
      </c>
      <c r="P280" t="s">
        <v>187</v>
      </c>
    </row>
    <row r="281" spans="1:16">
      <c r="A281" t="s">
        <v>719</v>
      </c>
      <c r="B281" s="13">
        <v>45701</v>
      </c>
      <c r="C281" t="s">
        <v>720</v>
      </c>
      <c r="D281" t="s">
        <v>278</v>
      </c>
      <c r="E281" t="s">
        <v>208</v>
      </c>
      <c r="F281" t="s">
        <v>209</v>
      </c>
      <c r="G281" t="s">
        <v>21</v>
      </c>
      <c r="H281" t="s">
        <v>13</v>
      </c>
      <c r="I281" t="s">
        <v>170</v>
      </c>
      <c r="J281" t="s">
        <v>185</v>
      </c>
      <c r="K281">
        <v>12</v>
      </c>
      <c r="L281" s="12">
        <v>840</v>
      </c>
      <c r="M281" s="12">
        <v>590</v>
      </c>
      <c r="N281" s="14">
        <v>0.15</v>
      </c>
      <c r="O281" t="s">
        <v>179</v>
      </c>
      <c r="P281" t="s">
        <v>34</v>
      </c>
    </row>
    <row r="282" spans="1:16">
      <c r="A282" t="s">
        <v>135</v>
      </c>
      <c r="B282" s="13">
        <v>45795</v>
      </c>
      <c r="C282" t="s">
        <v>472</v>
      </c>
      <c r="D282" t="s">
        <v>136</v>
      </c>
      <c r="E282" t="s">
        <v>308</v>
      </c>
      <c r="F282" t="s">
        <v>309</v>
      </c>
      <c r="G282" t="s">
        <v>19</v>
      </c>
      <c r="H282" t="s">
        <v>13</v>
      </c>
      <c r="I282" t="s">
        <v>193</v>
      </c>
      <c r="J282" t="s">
        <v>194</v>
      </c>
      <c r="K282">
        <v>5</v>
      </c>
      <c r="L282" s="12">
        <v>265</v>
      </c>
      <c r="M282" s="12">
        <v>155</v>
      </c>
      <c r="N282" s="14">
        <v>0.05</v>
      </c>
      <c r="O282" t="s">
        <v>226</v>
      </c>
      <c r="P282" t="s">
        <v>34</v>
      </c>
    </row>
    <row r="283" spans="1:16">
      <c r="A283" t="s">
        <v>721</v>
      </c>
      <c r="B283" s="13">
        <v>45905</v>
      </c>
      <c r="C283" t="s">
        <v>722</v>
      </c>
      <c r="D283" t="s">
        <v>612</v>
      </c>
      <c r="E283" t="s">
        <v>191</v>
      </c>
      <c r="F283" t="s">
        <v>192</v>
      </c>
      <c r="G283" t="s">
        <v>20</v>
      </c>
      <c r="H283" t="s">
        <v>15</v>
      </c>
      <c r="I283" t="s">
        <v>170</v>
      </c>
      <c r="J283" t="s">
        <v>171</v>
      </c>
      <c r="K283">
        <v>2</v>
      </c>
      <c r="L283" s="12">
        <v>720</v>
      </c>
      <c r="M283" s="12">
        <v>510</v>
      </c>
      <c r="N283" s="14">
        <v>0.05</v>
      </c>
      <c r="O283" t="s">
        <v>179</v>
      </c>
      <c r="P283" t="s">
        <v>34</v>
      </c>
    </row>
    <row r="284" spans="1:16">
      <c r="A284" t="s">
        <v>723</v>
      </c>
      <c r="B284" s="13">
        <v>45712</v>
      </c>
      <c r="C284" t="s">
        <v>483</v>
      </c>
      <c r="D284" t="s">
        <v>700</v>
      </c>
      <c r="E284" t="s">
        <v>284</v>
      </c>
      <c r="F284" t="s">
        <v>285</v>
      </c>
      <c r="G284" t="s">
        <v>21</v>
      </c>
      <c r="H284" t="s">
        <v>14</v>
      </c>
      <c r="I284" t="s">
        <v>170</v>
      </c>
      <c r="J284" t="s">
        <v>185</v>
      </c>
      <c r="K284">
        <v>3</v>
      </c>
      <c r="L284" s="12">
        <v>1450</v>
      </c>
      <c r="M284" s="12">
        <v>1030</v>
      </c>
      <c r="N284" s="14">
        <v>0.05</v>
      </c>
      <c r="O284" t="s">
        <v>186</v>
      </c>
      <c r="P284" t="s">
        <v>34</v>
      </c>
    </row>
    <row r="285" spans="1:16">
      <c r="A285" t="s">
        <v>724</v>
      </c>
      <c r="B285" s="13">
        <v>45829</v>
      </c>
      <c r="C285" t="s">
        <v>340</v>
      </c>
      <c r="D285" t="s">
        <v>281</v>
      </c>
      <c r="E285" t="s">
        <v>284</v>
      </c>
      <c r="F285" t="s">
        <v>285</v>
      </c>
      <c r="G285" t="s">
        <v>21</v>
      </c>
      <c r="H285" t="s">
        <v>14</v>
      </c>
      <c r="I285" t="s">
        <v>170</v>
      </c>
      <c r="J285" t="s">
        <v>204</v>
      </c>
      <c r="K285">
        <v>7</v>
      </c>
      <c r="L285" s="12">
        <v>1450</v>
      </c>
      <c r="M285" s="12">
        <v>1030</v>
      </c>
      <c r="N285" s="14">
        <v>0.2</v>
      </c>
      <c r="O285" t="s">
        <v>226</v>
      </c>
      <c r="P285" t="s">
        <v>187</v>
      </c>
    </row>
    <row r="286" spans="1:16">
      <c r="A286" t="s">
        <v>725</v>
      </c>
      <c r="B286" s="13">
        <v>45748</v>
      </c>
      <c r="C286" t="s">
        <v>269</v>
      </c>
      <c r="D286" t="s">
        <v>555</v>
      </c>
      <c r="E286" t="s">
        <v>217</v>
      </c>
      <c r="F286" t="s">
        <v>218</v>
      </c>
      <c r="G286" t="s">
        <v>20</v>
      </c>
      <c r="H286" t="s">
        <v>15</v>
      </c>
      <c r="I286" t="s">
        <v>170</v>
      </c>
      <c r="J286" t="s">
        <v>204</v>
      </c>
      <c r="K286">
        <v>7</v>
      </c>
      <c r="L286" s="12">
        <v>1090</v>
      </c>
      <c r="M286" s="12">
        <v>790</v>
      </c>
      <c r="N286" s="14">
        <v>0.05</v>
      </c>
      <c r="O286" t="s">
        <v>186</v>
      </c>
      <c r="P286" t="s">
        <v>34</v>
      </c>
    </row>
    <row r="287" spans="1:16">
      <c r="A287" t="s">
        <v>726</v>
      </c>
      <c r="B287" s="13">
        <v>45801</v>
      </c>
      <c r="C287" t="s">
        <v>642</v>
      </c>
      <c r="D287" t="s">
        <v>358</v>
      </c>
      <c r="E287" t="s">
        <v>208</v>
      </c>
      <c r="F287" t="s">
        <v>209</v>
      </c>
      <c r="G287" t="s">
        <v>21</v>
      </c>
      <c r="H287" t="s">
        <v>13</v>
      </c>
      <c r="I287" t="s">
        <v>170</v>
      </c>
      <c r="J287" t="s">
        <v>171</v>
      </c>
      <c r="K287">
        <v>7</v>
      </c>
      <c r="L287" s="12">
        <v>840</v>
      </c>
      <c r="M287" s="12">
        <v>590</v>
      </c>
      <c r="N287" s="14">
        <v>0.05</v>
      </c>
      <c r="O287" t="s">
        <v>179</v>
      </c>
      <c r="P287" t="s">
        <v>34</v>
      </c>
    </row>
    <row r="288" spans="1:16">
      <c r="A288" t="s">
        <v>727</v>
      </c>
      <c r="B288" s="13">
        <v>45671</v>
      </c>
      <c r="C288" t="s">
        <v>327</v>
      </c>
      <c r="D288" t="s">
        <v>609</v>
      </c>
      <c r="E288" t="s">
        <v>183</v>
      </c>
      <c r="F288" t="s">
        <v>184</v>
      </c>
      <c r="G288" t="s">
        <v>20</v>
      </c>
      <c r="H288" t="s">
        <v>14</v>
      </c>
      <c r="I288" t="s">
        <v>170</v>
      </c>
      <c r="J288" t="s">
        <v>178</v>
      </c>
      <c r="K288">
        <v>12</v>
      </c>
      <c r="L288" s="12">
        <v>230</v>
      </c>
      <c r="M288" s="12">
        <v>132</v>
      </c>
      <c r="N288" s="14">
        <v>0.1</v>
      </c>
      <c r="O288" t="s">
        <v>226</v>
      </c>
      <c r="P288" t="s">
        <v>213</v>
      </c>
    </row>
    <row r="289" spans="1:16">
      <c r="A289" t="s">
        <v>728</v>
      </c>
      <c r="B289" s="13">
        <v>45729</v>
      </c>
      <c r="C289" t="s">
        <v>458</v>
      </c>
      <c r="D289" t="s">
        <v>546</v>
      </c>
      <c r="E289" t="s">
        <v>284</v>
      </c>
      <c r="F289" t="s">
        <v>285</v>
      </c>
      <c r="G289" t="s">
        <v>21</v>
      </c>
      <c r="H289" t="s">
        <v>13</v>
      </c>
      <c r="I289" t="s">
        <v>170</v>
      </c>
      <c r="J289" t="s">
        <v>185</v>
      </c>
      <c r="K289">
        <v>11</v>
      </c>
      <c r="L289" s="12">
        <v>1450</v>
      </c>
      <c r="M289" s="12">
        <v>1030</v>
      </c>
      <c r="N289" s="14">
        <v>0.05</v>
      </c>
      <c r="O289" t="s">
        <v>226</v>
      </c>
      <c r="P289" t="s">
        <v>34</v>
      </c>
    </row>
    <row r="290" spans="1:16">
      <c r="A290" t="s">
        <v>729</v>
      </c>
      <c r="B290" s="13">
        <v>45887</v>
      </c>
      <c r="C290" t="s">
        <v>215</v>
      </c>
      <c r="D290" t="s">
        <v>638</v>
      </c>
      <c r="E290" t="s">
        <v>168</v>
      </c>
      <c r="F290" t="s">
        <v>169</v>
      </c>
      <c r="G290" t="s">
        <v>19</v>
      </c>
      <c r="H290" t="s">
        <v>16</v>
      </c>
      <c r="I290" t="s">
        <v>170</v>
      </c>
      <c r="J290" t="s">
        <v>185</v>
      </c>
      <c r="K290">
        <v>10</v>
      </c>
      <c r="L290" s="12">
        <v>85</v>
      </c>
      <c r="M290" s="12">
        <v>44</v>
      </c>
      <c r="N290" s="14">
        <v>0.1</v>
      </c>
      <c r="O290" t="s">
        <v>172</v>
      </c>
      <c r="P290" t="s">
        <v>187</v>
      </c>
    </row>
    <row r="291" spans="1:16">
      <c r="A291" t="s">
        <v>730</v>
      </c>
      <c r="B291" s="13">
        <v>46017</v>
      </c>
      <c r="C291" t="s">
        <v>731</v>
      </c>
      <c r="D291" t="s">
        <v>714</v>
      </c>
      <c r="E291" t="s">
        <v>217</v>
      </c>
      <c r="F291" t="s">
        <v>218</v>
      </c>
      <c r="G291" t="s">
        <v>20</v>
      </c>
      <c r="H291" t="s">
        <v>12</v>
      </c>
      <c r="I291" t="s">
        <v>203</v>
      </c>
      <c r="J291" t="s">
        <v>194</v>
      </c>
      <c r="K291">
        <v>9</v>
      </c>
      <c r="L291" s="12">
        <v>1090</v>
      </c>
      <c r="M291" s="12">
        <v>790</v>
      </c>
      <c r="N291" s="14">
        <v>0.15</v>
      </c>
      <c r="O291" t="s">
        <v>179</v>
      </c>
      <c r="P291" t="s">
        <v>213</v>
      </c>
    </row>
    <row r="292" spans="1:16">
      <c r="A292" t="s">
        <v>732</v>
      </c>
      <c r="B292" s="13">
        <v>45680</v>
      </c>
      <c r="C292" t="s">
        <v>280</v>
      </c>
      <c r="D292" t="s">
        <v>314</v>
      </c>
      <c r="E292" t="s">
        <v>176</v>
      </c>
      <c r="F292" t="s">
        <v>177</v>
      </c>
      <c r="G292" t="s">
        <v>20</v>
      </c>
      <c r="H292" t="s">
        <v>14</v>
      </c>
      <c r="I292" t="s">
        <v>193</v>
      </c>
      <c r="J292" t="s">
        <v>178</v>
      </c>
      <c r="K292">
        <v>10</v>
      </c>
      <c r="L292" s="12">
        <v>195</v>
      </c>
      <c r="M292" s="12">
        <v>105</v>
      </c>
      <c r="N292" s="14">
        <v>0.2</v>
      </c>
      <c r="O292" t="s">
        <v>172</v>
      </c>
      <c r="P292" t="s">
        <v>213</v>
      </c>
    </row>
    <row r="293" spans="1:16">
      <c r="A293" t="s">
        <v>733</v>
      </c>
      <c r="B293" s="13">
        <v>45790</v>
      </c>
      <c r="C293" t="s">
        <v>542</v>
      </c>
      <c r="D293" t="s">
        <v>717</v>
      </c>
      <c r="E293" t="s">
        <v>168</v>
      </c>
      <c r="F293" t="s">
        <v>169</v>
      </c>
      <c r="G293" t="s">
        <v>19</v>
      </c>
      <c r="H293" t="s">
        <v>16</v>
      </c>
      <c r="I293" t="s">
        <v>170</v>
      </c>
      <c r="J293" t="s">
        <v>171</v>
      </c>
      <c r="K293">
        <v>4</v>
      </c>
      <c r="L293" s="12">
        <v>85</v>
      </c>
      <c r="M293" s="12">
        <v>44</v>
      </c>
      <c r="N293" s="14">
        <v>0.15</v>
      </c>
      <c r="O293" t="s">
        <v>179</v>
      </c>
      <c r="P293" t="s">
        <v>213</v>
      </c>
    </row>
    <row r="294" spans="1:16">
      <c r="A294" t="s">
        <v>734</v>
      </c>
      <c r="B294" s="13">
        <v>45849</v>
      </c>
      <c r="C294" t="s">
        <v>357</v>
      </c>
      <c r="D294" t="s">
        <v>709</v>
      </c>
      <c r="E294" t="s">
        <v>284</v>
      </c>
      <c r="F294" t="s">
        <v>285</v>
      </c>
      <c r="G294" t="s">
        <v>21</v>
      </c>
      <c r="H294" t="s">
        <v>16</v>
      </c>
      <c r="I294" t="s">
        <v>203</v>
      </c>
      <c r="J294" t="s">
        <v>194</v>
      </c>
      <c r="K294">
        <v>7</v>
      </c>
      <c r="L294" s="12">
        <v>1450</v>
      </c>
      <c r="M294" s="12">
        <v>1030</v>
      </c>
      <c r="N294" s="14">
        <v>0.1</v>
      </c>
      <c r="O294" t="s">
        <v>172</v>
      </c>
      <c r="P294" t="s">
        <v>213</v>
      </c>
    </row>
    <row r="295" spans="1:16">
      <c r="A295" t="s">
        <v>735</v>
      </c>
      <c r="B295" s="13">
        <v>45711</v>
      </c>
      <c r="C295" t="s">
        <v>476</v>
      </c>
      <c r="D295" t="s">
        <v>443</v>
      </c>
      <c r="E295" t="s">
        <v>284</v>
      </c>
      <c r="F295" t="s">
        <v>285</v>
      </c>
      <c r="G295" t="s">
        <v>21</v>
      </c>
      <c r="H295" t="s">
        <v>14</v>
      </c>
      <c r="I295" t="s">
        <v>193</v>
      </c>
      <c r="J295" t="s">
        <v>194</v>
      </c>
      <c r="K295">
        <v>5</v>
      </c>
      <c r="L295" s="12">
        <v>1450</v>
      </c>
      <c r="M295" s="12">
        <v>1030</v>
      </c>
      <c r="N295" s="14">
        <v>0.1</v>
      </c>
      <c r="O295" t="s">
        <v>226</v>
      </c>
      <c r="P295" t="s">
        <v>34</v>
      </c>
    </row>
    <row r="296" spans="1:16">
      <c r="A296" t="s">
        <v>736</v>
      </c>
      <c r="B296" s="13">
        <v>45924</v>
      </c>
      <c r="C296" t="s">
        <v>688</v>
      </c>
      <c r="D296" t="s">
        <v>609</v>
      </c>
      <c r="E296" t="s">
        <v>220</v>
      </c>
      <c r="F296" t="s">
        <v>221</v>
      </c>
      <c r="G296" t="s">
        <v>19</v>
      </c>
      <c r="H296" t="s">
        <v>15</v>
      </c>
      <c r="I296" t="s">
        <v>193</v>
      </c>
      <c r="J296" t="s">
        <v>178</v>
      </c>
      <c r="K296">
        <v>8</v>
      </c>
      <c r="L296" s="12">
        <v>175</v>
      </c>
      <c r="M296" s="12">
        <v>98</v>
      </c>
      <c r="N296" s="14">
        <v>0.05</v>
      </c>
      <c r="O296" t="s">
        <v>186</v>
      </c>
      <c r="P296" t="s">
        <v>34</v>
      </c>
    </row>
    <row r="297" spans="1:16">
      <c r="A297" t="s">
        <v>737</v>
      </c>
      <c r="B297" s="13">
        <v>46021</v>
      </c>
      <c r="C297" t="s">
        <v>280</v>
      </c>
      <c r="D297" t="s">
        <v>338</v>
      </c>
      <c r="E297" t="s">
        <v>198</v>
      </c>
      <c r="F297" t="s">
        <v>199</v>
      </c>
      <c r="G297" t="s">
        <v>19</v>
      </c>
      <c r="H297" t="s">
        <v>13</v>
      </c>
      <c r="I297" t="s">
        <v>170</v>
      </c>
      <c r="J297" t="s">
        <v>204</v>
      </c>
      <c r="K297">
        <v>2</v>
      </c>
      <c r="L297" s="12">
        <v>95</v>
      </c>
      <c r="M297" s="12">
        <v>52</v>
      </c>
      <c r="N297" s="14">
        <v>0</v>
      </c>
      <c r="O297" t="s">
        <v>179</v>
      </c>
      <c r="P297" t="s">
        <v>34</v>
      </c>
    </row>
    <row r="298" spans="1:16">
      <c r="A298" t="s">
        <v>738</v>
      </c>
      <c r="B298" s="13">
        <v>45739</v>
      </c>
      <c r="C298" t="s">
        <v>231</v>
      </c>
      <c r="D298" t="s">
        <v>341</v>
      </c>
      <c r="E298" t="s">
        <v>183</v>
      </c>
      <c r="F298" t="s">
        <v>184</v>
      </c>
      <c r="G298" t="s">
        <v>20</v>
      </c>
      <c r="H298" t="s">
        <v>13</v>
      </c>
      <c r="I298" t="s">
        <v>193</v>
      </c>
      <c r="J298" t="s">
        <v>204</v>
      </c>
      <c r="K298">
        <v>6</v>
      </c>
      <c r="L298" s="12">
        <v>230</v>
      </c>
      <c r="M298" s="12">
        <v>132</v>
      </c>
      <c r="N298" s="14">
        <v>0.15</v>
      </c>
      <c r="O298" t="s">
        <v>179</v>
      </c>
      <c r="P298" t="s">
        <v>34</v>
      </c>
    </row>
    <row r="299" spans="1:16">
      <c r="A299" t="s">
        <v>739</v>
      </c>
      <c r="B299" s="13">
        <v>45860</v>
      </c>
      <c r="C299" t="s">
        <v>334</v>
      </c>
      <c r="D299" t="s">
        <v>332</v>
      </c>
      <c r="E299" t="s">
        <v>208</v>
      </c>
      <c r="F299" t="s">
        <v>209</v>
      </c>
      <c r="G299" t="s">
        <v>21</v>
      </c>
      <c r="H299" t="s">
        <v>15</v>
      </c>
      <c r="I299" t="s">
        <v>170</v>
      </c>
      <c r="J299" t="s">
        <v>185</v>
      </c>
      <c r="K299">
        <v>1</v>
      </c>
      <c r="L299" s="12">
        <v>840</v>
      </c>
      <c r="M299" s="12">
        <v>590</v>
      </c>
      <c r="N299" s="14">
        <v>0.2</v>
      </c>
      <c r="O299" t="s">
        <v>226</v>
      </c>
      <c r="P299" t="s">
        <v>187</v>
      </c>
    </row>
    <row r="300" spans="1:16">
      <c r="A300" t="s">
        <v>740</v>
      </c>
      <c r="B300" s="13">
        <v>46018</v>
      </c>
      <c r="C300" t="s">
        <v>662</v>
      </c>
      <c r="D300" t="s">
        <v>493</v>
      </c>
      <c r="E300" t="s">
        <v>198</v>
      </c>
      <c r="F300" t="s">
        <v>199</v>
      </c>
      <c r="G300" t="s">
        <v>19</v>
      </c>
      <c r="H300" t="s">
        <v>16</v>
      </c>
      <c r="I300" t="s">
        <v>203</v>
      </c>
      <c r="J300" t="s">
        <v>171</v>
      </c>
      <c r="K300">
        <v>4</v>
      </c>
      <c r="L300" s="12">
        <v>95</v>
      </c>
      <c r="M300" s="12">
        <v>52</v>
      </c>
      <c r="N300" s="14">
        <v>0</v>
      </c>
      <c r="O300" t="s">
        <v>179</v>
      </c>
      <c r="P300" t="s">
        <v>34</v>
      </c>
    </row>
    <row r="301" spans="1:16">
      <c r="A301" t="s">
        <v>741</v>
      </c>
      <c r="B301" s="13">
        <v>45824</v>
      </c>
      <c r="C301" t="s">
        <v>290</v>
      </c>
      <c r="D301" t="s">
        <v>323</v>
      </c>
      <c r="E301" t="s">
        <v>217</v>
      </c>
      <c r="F301" t="s">
        <v>218</v>
      </c>
      <c r="G301" t="s">
        <v>20</v>
      </c>
      <c r="H301" t="s">
        <v>15</v>
      </c>
      <c r="I301" t="s">
        <v>170</v>
      </c>
      <c r="J301" t="s">
        <v>194</v>
      </c>
      <c r="K301">
        <v>4</v>
      </c>
      <c r="L301" s="12">
        <v>1090</v>
      </c>
      <c r="M301" s="12">
        <v>790</v>
      </c>
      <c r="N301" s="14">
        <v>0.1</v>
      </c>
      <c r="O301" t="s">
        <v>226</v>
      </c>
      <c r="P301" t="s">
        <v>34</v>
      </c>
    </row>
  </sheetData>
  <conditionalFormatting sqref="A2:A301">
    <cfRule type="expression" dxfId="5" priority="1">
      <formula>OR(A2="",COUNTIF($A$2:$A$301,A2)&gt;1)</formula>
    </cfRule>
  </conditionalFormatting>
  <conditionalFormatting sqref="D2:D301">
    <cfRule type="expression" dxfId="4" priority="2">
      <formula>OR(D2="",ISERROR(SEARCH("@",D2)),ISERROR(SEARCH(".",D2)))</formula>
    </cfRule>
  </conditionalFormatting>
  <conditionalFormatting sqref="K2:K301">
    <cfRule type="expression" dxfId="3" priority="3">
      <formula>K2&lt;=0</formula>
    </cfRule>
  </conditionalFormatting>
  <conditionalFormatting sqref="N2:N301">
    <cfRule type="expression" dxfId="2" priority="4">
      <formula>OR(N2&lt;0,N2&gt;0.5)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17" sqref="A17:F22"/>
    </sheetView>
  </sheetViews>
  <sheetFormatPr defaultRowHeight="14.25"/>
  <cols>
    <col min="1" max="1" width="24.75" style="4" customWidth="1"/>
    <col min="2" max="2" width="24" style="4" customWidth="1"/>
    <col min="3" max="3" width="15" style="4" customWidth="1"/>
    <col min="4" max="4" width="12.25" style="4" customWidth="1"/>
    <col min="5" max="5" width="11.125" style="4" customWidth="1"/>
    <col min="6" max="6" width="9.125" style="4" customWidth="1"/>
    <col min="7" max="7" width="13" style="4" customWidth="1"/>
    <col min="8" max="9" width="26" style="4" customWidth="1"/>
    <col min="10" max="10" width="8.25" style="4" customWidth="1"/>
  </cols>
  <sheetData>
    <row r="1" spans="1:11">
      <c r="A1" s="37" t="s">
        <v>742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">
      <c r="A4" s="7" t="s">
        <v>100</v>
      </c>
      <c r="B4" s="7" t="s">
        <v>130</v>
      </c>
      <c r="C4" s="7" t="s">
        <v>17</v>
      </c>
      <c r="D4" s="7" t="s">
        <v>113</v>
      </c>
      <c r="E4" s="7" t="s">
        <v>140</v>
      </c>
      <c r="G4" s="7" t="s">
        <v>118</v>
      </c>
      <c r="H4" s="7" t="s">
        <v>743</v>
      </c>
      <c r="I4" s="7" t="s">
        <v>744</v>
      </c>
      <c r="J4" s="7" t="s">
        <v>10</v>
      </c>
    </row>
    <row r="5" spans="1:11">
      <c r="A5" t="s">
        <v>198</v>
      </c>
      <c r="B5" t="s">
        <v>199</v>
      </c>
      <c r="C5" t="s">
        <v>19</v>
      </c>
      <c r="D5" s="12">
        <v>95</v>
      </c>
      <c r="E5" s="12">
        <v>52</v>
      </c>
      <c r="G5" t="s">
        <v>337</v>
      </c>
      <c r="H5" t="s">
        <v>745</v>
      </c>
      <c r="I5" t="s">
        <v>746</v>
      </c>
      <c r="J5" t="s">
        <v>12</v>
      </c>
    </row>
    <row r="6" spans="1:11">
      <c r="A6" t="s">
        <v>168</v>
      </c>
      <c r="B6" t="s">
        <v>169</v>
      </c>
      <c r="C6" t="s">
        <v>19</v>
      </c>
      <c r="D6" s="12">
        <v>85</v>
      </c>
      <c r="E6" s="12">
        <v>44</v>
      </c>
      <c r="G6" t="s">
        <v>298</v>
      </c>
      <c r="H6" t="s">
        <v>747</v>
      </c>
      <c r="I6" t="s">
        <v>748</v>
      </c>
      <c r="J6" t="s">
        <v>13</v>
      </c>
    </row>
    <row r="7" spans="1:11">
      <c r="A7" t="s">
        <v>308</v>
      </c>
      <c r="B7" t="s">
        <v>309</v>
      </c>
      <c r="C7" t="s">
        <v>19</v>
      </c>
      <c r="D7" s="12">
        <v>265</v>
      </c>
      <c r="E7" s="12">
        <v>155</v>
      </c>
      <c r="G7" t="s">
        <v>362</v>
      </c>
      <c r="H7" t="s">
        <v>749</v>
      </c>
      <c r="I7" t="s">
        <v>750</v>
      </c>
      <c r="J7" t="s">
        <v>14</v>
      </c>
    </row>
    <row r="8" spans="1:11">
      <c r="A8" t="s">
        <v>220</v>
      </c>
      <c r="B8" t="s">
        <v>221</v>
      </c>
      <c r="C8" t="s">
        <v>19</v>
      </c>
      <c r="D8" s="12">
        <v>175</v>
      </c>
      <c r="E8" s="12">
        <v>98</v>
      </c>
      <c r="G8" t="s">
        <v>751</v>
      </c>
      <c r="H8" t="s">
        <v>752</v>
      </c>
      <c r="I8" t="s">
        <v>753</v>
      </c>
      <c r="J8" t="s">
        <v>16</v>
      </c>
    </row>
    <row r="9" spans="1:11">
      <c r="A9" t="s">
        <v>191</v>
      </c>
      <c r="B9" t="s">
        <v>192</v>
      </c>
      <c r="C9" t="s">
        <v>20</v>
      </c>
      <c r="D9" s="12">
        <v>720</v>
      </c>
      <c r="E9" s="12">
        <v>510</v>
      </c>
      <c r="G9" t="s">
        <v>448</v>
      </c>
      <c r="H9" t="s">
        <v>754</v>
      </c>
      <c r="I9" t="s">
        <v>755</v>
      </c>
      <c r="J9" t="s">
        <v>15</v>
      </c>
    </row>
    <row r="10" spans="1:11">
      <c r="A10" t="s">
        <v>217</v>
      </c>
      <c r="B10" t="s">
        <v>218</v>
      </c>
      <c r="C10" t="s">
        <v>20</v>
      </c>
      <c r="D10" s="12">
        <v>1090</v>
      </c>
      <c r="E10" s="12">
        <v>790</v>
      </c>
      <c r="G10" t="s">
        <v>295</v>
      </c>
      <c r="H10" t="s">
        <v>756</v>
      </c>
      <c r="I10" t="s">
        <v>757</v>
      </c>
      <c r="J10" t="s">
        <v>12</v>
      </c>
    </row>
    <row r="11" spans="1:11">
      <c r="A11" t="s">
        <v>208</v>
      </c>
      <c r="B11" t="s">
        <v>209</v>
      </c>
      <c r="C11" t="s">
        <v>21</v>
      </c>
      <c r="D11" s="12">
        <v>840</v>
      </c>
      <c r="E11" s="12">
        <v>590</v>
      </c>
      <c r="G11" t="s">
        <v>544</v>
      </c>
      <c r="H11" t="s">
        <v>758</v>
      </c>
      <c r="I11" t="s">
        <v>759</v>
      </c>
      <c r="J11" t="s">
        <v>13</v>
      </c>
    </row>
    <row r="12" spans="1:11">
      <c r="A12" t="s">
        <v>284</v>
      </c>
      <c r="B12" t="s">
        <v>285</v>
      </c>
      <c r="C12" t="s">
        <v>21</v>
      </c>
      <c r="D12" s="12">
        <v>1450</v>
      </c>
      <c r="E12" s="12">
        <v>1030</v>
      </c>
      <c r="G12" t="s">
        <v>649</v>
      </c>
      <c r="H12" t="s">
        <v>760</v>
      </c>
      <c r="I12" t="s">
        <v>761</v>
      </c>
      <c r="J12" t="s">
        <v>14</v>
      </c>
    </row>
    <row r="13" spans="1:11">
      <c r="A13" t="s">
        <v>183</v>
      </c>
      <c r="B13" t="s">
        <v>184</v>
      </c>
      <c r="C13" t="s">
        <v>20</v>
      </c>
      <c r="D13" s="12">
        <v>230</v>
      </c>
      <c r="E13" s="12">
        <v>132</v>
      </c>
      <c r="G13" t="s">
        <v>350</v>
      </c>
      <c r="H13" t="s">
        <v>762</v>
      </c>
      <c r="I13" t="s">
        <v>763</v>
      </c>
      <c r="J13" t="s">
        <v>16</v>
      </c>
    </row>
    <row r="14" spans="1:11">
      <c r="A14" t="s">
        <v>176</v>
      </c>
      <c r="B14" t="s">
        <v>177</v>
      </c>
      <c r="C14" t="s">
        <v>20</v>
      </c>
      <c r="D14" s="12">
        <v>195</v>
      </c>
      <c r="E14" s="12">
        <v>105</v>
      </c>
      <c r="G14" t="s">
        <v>586</v>
      </c>
      <c r="H14" t="s">
        <v>764</v>
      </c>
      <c r="I14" t="s">
        <v>765</v>
      </c>
      <c r="J14" t="s">
        <v>15</v>
      </c>
    </row>
    <row r="17" spans="1:6" ht="30">
      <c r="A17" s="7" t="s">
        <v>766</v>
      </c>
      <c r="B17" s="7" t="s">
        <v>767</v>
      </c>
      <c r="C17" s="7" t="s">
        <v>768</v>
      </c>
      <c r="D17" s="7" t="s">
        <v>769</v>
      </c>
      <c r="E17" s="7" t="s">
        <v>770</v>
      </c>
      <c r="F17" s="7" t="s">
        <v>771</v>
      </c>
    </row>
    <row r="18" spans="1:6">
      <c r="A18" t="s">
        <v>12</v>
      </c>
      <c r="B18" t="s">
        <v>203</v>
      </c>
      <c r="C18" t="s">
        <v>172</v>
      </c>
      <c r="D18" t="s">
        <v>34</v>
      </c>
      <c r="E18" t="s">
        <v>178</v>
      </c>
      <c r="F18" t="s">
        <v>19</v>
      </c>
    </row>
    <row r="19" spans="1:6">
      <c r="A19" t="s">
        <v>13</v>
      </c>
      <c r="B19" t="s">
        <v>193</v>
      </c>
      <c r="C19" t="s">
        <v>179</v>
      </c>
      <c r="D19" t="s">
        <v>187</v>
      </c>
      <c r="E19" t="s">
        <v>204</v>
      </c>
      <c r="F19" t="s">
        <v>20</v>
      </c>
    </row>
    <row r="20" spans="1:6">
      <c r="A20" t="s">
        <v>14</v>
      </c>
      <c r="B20" t="s">
        <v>170</v>
      </c>
      <c r="C20" t="s">
        <v>186</v>
      </c>
      <c r="D20" t="s">
        <v>213</v>
      </c>
      <c r="E20" t="s">
        <v>194</v>
      </c>
      <c r="F20" t="s">
        <v>21</v>
      </c>
    </row>
    <row r="21" spans="1:6">
      <c r="A21" t="s">
        <v>15</v>
      </c>
      <c r="C21" t="s">
        <v>226</v>
      </c>
      <c r="E21" t="s">
        <v>185</v>
      </c>
    </row>
    <row r="22" spans="1:6">
      <c r="A22" t="s">
        <v>16</v>
      </c>
      <c r="E22" t="s">
        <v>171</v>
      </c>
    </row>
  </sheetData>
  <autoFilter ref="A17:F22"/>
  <mergeCells count="1">
    <mergeCell ref="A1:K2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4" sqref="A4:D14"/>
    </sheetView>
  </sheetViews>
  <sheetFormatPr defaultRowHeight="14.25"/>
  <cols>
    <col min="1" max="1" width="21.375" style="4" customWidth="1"/>
    <col min="2" max="2" width="4.75" style="4" customWidth="1"/>
    <col min="3" max="3" width="34" style="4" customWidth="1"/>
    <col min="4" max="4" width="28" style="4" customWidth="1"/>
  </cols>
  <sheetData>
    <row r="1" spans="1:4">
      <c r="A1" s="37" t="s">
        <v>772</v>
      </c>
      <c r="B1" s="35"/>
      <c r="C1" s="35"/>
      <c r="D1" s="35"/>
    </row>
    <row r="2" spans="1:4">
      <c r="A2" s="35"/>
      <c r="B2" s="35"/>
      <c r="C2" s="35"/>
      <c r="D2" s="35"/>
    </row>
    <row r="4" spans="1:4" ht="30">
      <c r="A4" s="7" t="s">
        <v>773</v>
      </c>
      <c r="B4" s="7" t="s">
        <v>774</v>
      </c>
      <c r="C4" s="7" t="s">
        <v>775</v>
      </c>
      <c r="D4" s="7" t="s">
        <v>776</v>
      </c>
    </row>
    <row r="5" spans="1:4">
      <c r="A5" t="s">
        <v>777</v>
      </c>
      <c r="B5" s="8">
        <v>2025</v>
      </c>
      <c r="C5" t="s">
        <v>778</v>
      </c>
      <c r="D5" t="s">
        <v>779</v>
      </c>
    </row>
    <row r="6" spans="1:4">
      <c r="A6" t="s">
        <v>780</v>
      </c>
      <c r="B6" s="8" t="s">
        <v>781</v>
      </c>
      <c r="C6" t="s">
        <v>782</v>
      </c>
      <c r="D6" t="s">
        <v>783</v>
      </c>
    </row>
    <row r="7" spans="1:4">
      <c r="A7" t="s">
        <v>784</v>
      </c>
      <c r="B7" s="16">
        <v>0.5</v>
      </c>
      <c r="C7" t="s">
        <v>785</v>
      </c>
      <c r="D7" t="s">
        <v>786</v>
      </c>
    </row>
    <row r="8" spans="1:4">
      <c r="A8" t="s">
        <v>787</v>
      </c>
      <c r="B8" s="16">
        <v>0.2</v>
      </c>
      <c r="C8" t="s">
        <v>788</v>
      </c>
      <c r="D8" t="s">
        <v>789</v>
      </c>
    </row>
    <row r="9" spans="1:4">
      <c r="A9" t="s">
        <v>790</v>
      </c>
      <c r="B9" s="8">
        <v>5000</v>
      </c>
      <c r="C9" t="s">
        <v>791</v>
      </c>
      <c r="D9" t="s">
        <v>792</v>
      </c>
    </row>
    <row r="10" spans="1:4">
      <c r="A10" t="s">
        <v>793</v>
      </c>
      <c r="B10" s="8">
        <v>2000</v>
      </c>
      <c r="C10" t="s">
        <v>794</v>
      </c>
      <c r="D10" t="s">
        <v>792</v>
      </c>
    </row>
    <row r="11" spans="1:4">
      <c r="A11" t="s">
        <v>795</v>
      </c>
      <c r="B11" s="16">
        <v>0.25</v>
      </c>
      <c r="C11" t="s">
        <v>796</v>
      </c>
      <c r="D11" t="s">
        <v>797</v>
      </c>
    </row>
    <row r="12" spans="1:4">
      <c r="A12" t="s">
        <v>798</v>
      </c>
      <c r="B12" s="8">
        <v>1</v>
      </c>
      <c r="C12" t="s">
        <v>799</v>
      </c>
      <c r="D12" t="s">
        <v>800</v>
      </c>
    </row>
    <row r="13" spans="1:4">
      <c r="A13" t="s">
        <v>801</v>
      </c>
      <c r="B13" s="8" t="s">
        <v>802</v>
      </c>
      <c r="C13" t="s">
        <v>803</v>
      </c>
      <c r="D13" t="s">
        <v>800</v>
      </c>
    </row>
    <row r="14" spans="1:4">
      <c r="A14" t="s">
        <v>804</v>
      </c>
      <c r="B14" s="8" t="s">
        <v>805</v>
      </c>
      <c r="C14" t="s">
        <v>806</v>
      </c>
      <c r="D14" t="s">
        <v>800</v>
      </c>
    </row>
  </sheetData>
  <autoFilter ref="A4:D14"/>
  <mergeCells count="1">
    <mergeCell ref="A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1" sqref="G1:K6"/>
    </sheetView>
  </sheetViews>
  <sheetFormatPr defaultRowHeight="14.25"/>
  <cols>
    <col min="1" max="1" width="12.625" style="4" customWidth="1"/>
    <col min="2" max="2" width="16.5" style="4" customWidth="1"/>
    <col min="3" max="3" width="10.75" style="4" customWidth="1"/>
    <col min="4" max="4" width="12" style="4" customWidth="1"/>
    <col min="5" max="5" width="11.5" style="4" customWidth="1"/>
    <col min="7" max="7" width="10.125" style="4" customWidth="1"/>
    <col min="8" max="8" width="11.125" style="4" customWidth="1"/>
    <col min="9" max="9" width="13.25" style="4" customWidth="1"/>
    <col min="10" max="10" width="19" style="4" customWidth="1"/>
    <col min="11" max="11" width="10.5" style="4" customWidth="1"/>
  </cols>
  <sheetData>
    <row r="1" spans="1:11" ht="30">
      <c r="A1" s="1" t="s">
        <v>100</v>
      </c>
      <c r="B1" s="1" t="s">
        <v>130</v>
      </c>
      <c r="C1" s="1" t="s">
        <v>17</v>
      </c>
      <c r="D1" s="1" t="s">
        <v>113</v>
      </c>
      <c r="E1" s="1" t="s">
        <v>140</v>
      </c>
      <c r="G1" s="1" t="s">
        <v>766</v>
      </c>
      <c r="H1" s="1" t="s">
        <v>807</v>
      </c>
      <c r="I1" s="1" t="s">
        <v>770</v>
      </c>
      <c r="J1" s="1" t="s">
        <v>768</v>
      </c>
      <c r="K1" s="1" t="s">
        <v>808</v>
      </c>
    </row>
    <row r="2" spans="1:11">
      <c r="A2" t="s">
        <v>198</v>
      </c>
      <c r="B2" t="s">
        <v>199</v>
      </c>
      <c r="C2" t="s">
        <v>19</v>
      </c>
      <c r="D2">
        <v>95</v>
      </c>
      <c r="E2">
        <v>52</v>
      </c>
      <c r="G2" t="s">
        <v>12</v>
      </c>
      <c r="H2" t="s">
        <v>203</v>
      </c>
      <c r="I2" t="s">
        <v>178</v>
      </c>
      <c r="J2" t="s">
        <v>172</v>
      </c>
      <c r="K2" t="s">
        <v>34</v>
      </c>
    </row>
    <row r="3" spans="1:11">
      <c r="A3" t="s">
        <v>168</v>
      </c>
      <c r="B3" t="s">
        <v>169</v>
      </c>
      <c r="C3" t="s">
        <v>19</v>
      </c>
      <c r="D3">
        <v>85</v>
      </c>
      <c r="E3">
        <v>44</v>
      </c>
      <c r="G3" t="s">
        <v>13</v>
      </c>
      <c r="H3" t="s">
        <v>193</v>
      </c>
      <c r="I3" t="s">
        <v>204</v>
      </c>
      <c r="J3" t="s">
        <v>179</v>
      </c>
      <c r="K3" t="s">
        <v>187</v>
      </c>
    </row>
    <row r="4" spans="1:11">
      <c r="A4" t="s">
        <v>308</v>
      </c>
      <c r="B4" t="s">
        <v>309</v>
      </c>
      <c r="C4" t="s">
        <v>19</v>
      </c>
      <c r="D4">
        <v>265</v>
      </c>
      <c r="E4">
        <v>155</v>
      </c>
      <c r="G4" t="s">
        <v>14</v>
      </c>
      <c r="H4" t="s">
        <v>170</v>
      </c>
      <c r="I4" t="s">
        <v>194</v>
      </c>
      <c r="J4" t="s">
        <v>186</v>
      </c>
      <c r="K4" t="s">
        <v>213</v>
      </c>
    </row>
    <row r="5" spans="1:11">
      <c r="A5" t="s">
        <v>220</v>
      </c>
      <c r="B5" t="s">
        <v>221</v>
      </c>
      <c r="C5" t="s">
        <v>19</v>
      </c>
      <c r="D5">
        <v>175</v>
      </c>
      <c r="E5">
        <v>98</v>
      </c>
      <c r="G5" t="s">
        <v>15</v>
      </c>
      <c r="I5" t="s">
        <v>185</v>
      </c>
      <c r="J5" t="s">
        <v>226</v>
      </c>
    </row>
    <row r="6" spans="1:11">
      <c r="A6" t="s">
        <v>191</v>
      </c>
      <c r="B6" t="s">
        <v>192</v>
      </c>
      <c r="C6" t="s">
        <v>20</v>
      </c>
      <c r="D6">
        <v>720</v>
      </c>
      <c r="E6">
        <v>510</v>
      </c>
      <c r="G6" t="s">
        <v>16</v>
      </c>
      <c r="I6" t="s">
        <v>171</v>
      </c>
    </row>
    <row r="7" spans="1:11">
      <c r="A7" t="s">
        <v>217</v>
      </c>
      <c r="B7" t="s">
        <v>218</v>
      </c>
      <c r="C7" t="s">
        <v>20</v>
      </c>
      <c r="D7">
        <v>1090</v>
      </c>
      <c r="E7">
        <v>790</v>
      </c>
    </row>
    <row r="8" spans="1:11">
      <c r="A8" t="s">
        <v>208</v>
      </c>
      <c r="B8" t="s">
        <v>209</v>
      </c>
      <c r="C8" t="s">
        <v>21</v>
      </c>
      <c r="D8">
        <v>840</v>
      </c>
      <c r="E8">
        <v>590</v>
      </c>
    </row>
    <row r="9" spans="1:11">
      <c r="A9" t="s">
        <v>284</v>
      </c>
      <c r="B9" t="s">
        <v>285</v>
      </c>
      <c r="C9" t="s">
        <v>21</v>
      </c>
      <c r="D9">
        <v>1450</v>
      </c>
      <c r="E9">
        <v>1030</v>
      </c>
    </row>
    <row r="10" spans="1:11">
      <c r="A10" t="s">
        <v>183</v>
      </c>
      <c r="B10" t="s">
        <v>184</v>
      </c>
      <c r="C10" t="s">
        <v>20</v>
      </c>
      <c r="D10">
        <v>230</v>
      </c>
      <c r="E10">
        <v>132</v>
      </c>
    </row>
    <row r="11" spans="1:11">
      <c r="A11" t="s">
        <v>176</v>
      </c>
      <c r="B11" t="s">
        <v>177</v>
      </c>
      <c r="C11" t="s">
        <v>20</v>
      </c>
      <c r="D11">
        <v>195</v>
      </c>
      <c r="E11">
        <v>105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4" workbookViewId="0">
      <selection activeCell="H14" sqref="H14"/>
    </sheetView>
  </sheetViews>
  <sheetFormatPr defaultRowHeight="14.25"/>
  <cols>
    <col min="1" max="2" width="28" style="4" customWidth="1"/>
    <col min="4" max="4" width="21.875" style="4" customWidth="1"/>
    <col min="5" max="5" width="17.25" style="4" customWidth="1"/>
    <col min="6" max="6" width="28" style="4" customWidth="1"/>
    <col min="7" max="7" width="15" style="4" customWidth="1"/>
    <col min="8" max="8" width="30" style="4" customWidth="1"/>
  </cols>
  <sheetData>
    <row r="1" spans="1:8" ht="20.25">
      <c r="A1" s="32" t="s">
        <v>809</v>
      </c>
      <c r="B1" s="35"/>
      <c r="C1" s="35"/>
      <c r="D1" s="35"/>
      <c r="E1" s="35"/>
      <c r="F1" s="35"/>
      <c r="G1" s="35"/>
      <c r="H1" s="35"/>
    </row>
    <row r="3" spans="1:8" ht="30">
      <c r="A3" s="1" t="s">
        <v>810</v>
      </c>
      <c r="B3" s="1" t="s">
        <v>774</v>
      </c>
      <c r="D3" s="1" t="s">
        <v>811</v>
      </c>
      <c r="E3" s="1" t="s">
        <v>812</v>
      </c>
      <c r="F3" s="1" t="s">
        <v>813</v>
      </c>
      <c r="G3" s="1" t="s">
        <v>56</v>
      </c>
      <c r="H3" s="1" t="s">
        <v>775</v>
      </c>
    </row>
    <row r="4" spans="1:8" ht="15">
      <c r="A4" s="3" t="s">
        <v>814</v>
      </c>
      <c r="B4">
        <f>COUNTA(Clean_Data!A2:A301)</f>
        <v>300</v>
      </c>
      <c r="D4" s="2"/>
      <c r="E4" s="2"/>
      <c r="F4" s="2"/>
      <c r="G4" s="2"/>
      <c r="H4" s="2"/>
    </row>
    <row r="5" spans="1:8" ht="15">
      <c r="A5" s="3" t="s">
        <v>815</v>
      </c>
      <c r="B5">
        <f>COUNTIF(Clean_Data!V2:V301,"VALID")</f>
        <v>291</v>
      </c>
      <c r="D5" s="2"/>
      <c r="E5" s="2"/>
      <c r="F5" s="2"/>
      <c r="G5" s="2"/>
      <c r="H5" s="2"/>
    </row>
    <row r="6" spans="1:8" ht="15">
      <c r="A6" s="3" t="s">
        <v>816</v>
      </c>
      <c r="B6">
        <f>COUNTIF(Clean_Data!V2:V301,"ERROR")</f>
        <v>9</v>
      </c>
      <c r="D6" s="2"/>
      <c r="E6" s="2"/>
      <c r="F6" s="2"/>
      <c r="G6" s="2"/>
      <c r="H6" s="2"/>
    </row>
    <row r="7" spans="1:8" ht="15">
      <c r="A7" s="3" t="s">
        <v>817</v>
      </c>
      <c r="B7" s="11">
        <f>IFERROR(B5/B4,0)</f>
        <v>0.97</v>
      </c>
      <c r="D7" s="2"/>
      <c r="E7" s="2"/>
      <c r="F7" s="2"/>
      <c r="G7" s="2"/>
      <c r="H7" s="2"/>
    </row>
    <row r="8" spans="1:8" ht="15">
      <c r="A8" s="3" t="s">
        <v>818</v>
      </c>
      <c r="B8">
        <f>SUMPRODUCT(--(Clean_Data!A2:A301&lt;&gt;""),--(COUNTIF(Clean_Data!A2:A301,Clean_Data!A2:A301)&gt;1))</f>
        <v>2</v>
      </c>
      <c r="D8" s="2"/>
      <c r="E8" s="2"/>
      <c r="F8" s="2"/>
      <c r="G8" s="2"/>
      <c r="H8" s="2"/>
    </row>
    <row r="9" spans="1:8" ht="15">
      <c r="A9" s="3" t="s">
        <v>819</v>
      </c>
      <c r="B9">
        <f>COUNTBLANK(Clean_Data!C2:C301)</f>
        <v>0</v>
      </c>
      <c r="D9" s="2"/>
      <c r="E9" s="2"/>
      <c r="F9" s="2"/>
      <c r="G9" s="2"/>
      <c r="H9" s="2"/>
    </row>
    <row r="10" spans="1:8" ht="15">
      <c r="A10" s="3" t="s">
        <v>820</v>
      </c>
      <c r="B10">
        <f>SUMPRODUCT(--(Clean_Data!D2:D301&lt;&gt;""),--ISERROR(SEARCH("@",Clean_Data!D2:D301)))+COUNTBLANK(Clean_Data!D2:D301)</f>
        <v>1</v>
      </c>
      <c r="D10" s="2"/>
      <c r="E10" s="2"/>
      <c r="F10" s="2"/>
      <c r="G10" s="2"/>
      <c r="H10" s="2"/>
    </row>
    <row r="11" spans="1:8" ht="15">
      <c r="A11" s="3" t="s">
        <v>821</v>
      </c>
      <c r="B11">
        <f>SUMPRODUCT(--(COUNTIF(Lookups!A2:A11,Clean_Data!E2:E301)=0))</f>
        <v>1</v>
      </c>
      <c r="D11" s="2"/>
      <c r="E11" s="2"/>
      <c r="F11" s="2"/>
      <c r="G11" s="2"/>
      <c r="H11" s="2"/>
    </row>
    <row r="12" spans="1:8" ht="15">
      <c r="A12" s="3" t="s">
        <v>822</v>
      </c>
      <c r="B12">
        <f>COUNTIF(Clean_Data!K2:K301,"&lt;=0")</f>
        <v>1</v>
      </c>
    </row>
    <row r="13" spans="1:8" ht="15">
      <c r="A13" s="3" t="s">
        <v>823</v>
      </c>
      <c r="B13">
        <f>COUNTIF(Clean_Data!N2:N301,"&gt;0.5")+COUNTIF(Clean_Data!N2:N301,"&lt;0")</f>
        <v>1</v>
      </c>
    </row>
  </sheetData>
  <mergeCells count="1">
    <mergeCell ref="A1:H1"/>
  </mergeCells>
  <conditionalFormatting sqref="B4:B13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Filtered_Dashboard</vt:lpstr>
      <vt:lpstr>Target_vs_Actual</vt:lpstr>
      <vt:lpstr>Quality_Checklist</vt:lpstr>
      <vt:lpstr>Error_Report</vt:lpstr>
      <vt:lpstr>Clean_Data</vt:lpstr>
      <vt:lpstr>Raw_Data</vt:lpstr>
      <vt:lpstr>Master_Data</vt:lpstr>
      <vt:lpstr>Settings</vt:lpstr>
      <vt:lpstr>Lookups</vt:lpstr>
      <vt:lpstr>Data_Validation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Devil</cp:lastModifiedBy>
  <dcterms:modified xsi:type="dcterms:W3CDTF">2026-07-11T07:01:33Z</dcterms:modified>
</cp:coreProperties>
</file>